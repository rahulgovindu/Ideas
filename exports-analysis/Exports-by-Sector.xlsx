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summary" sheetId="1" state="visible" r:id="rId1"/>
    <sheet xmlns:r="http://schemas.openxmlformats.org/officeDocument/2006/relationships" name="All data by sector" sheetId="2" state="visible" r:id="rId2"/>
    <sheet xmlns:r="http://schemas.openxmlformats.org/officeDocument/2006/relationships" name="Pharmaceuticals" sheetId="3" state="visible" r:id="rId3"/>
  </sheets>
  <definedNames>
    <definedName name="_xlnm._FilterDatabase" localSheetId="1" hidden="1">'All data by sector'!$A$1:$I$5936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"/>
    <numFmt numFmtId="165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  <color rgb="008A6D0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2">
    <dxf>
      <font>
        <color rgb="001B7F4C"/>
      </font>
    </dxf>
    <dxf>
      <font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15" customWidth="1" min="4" max="4"/>
    <col width="15" customWidth="1" min="5" max="5"/>
    <col width="14" customWidth="1" min="6" max="6"/>
    <col width="11" customWidth="1" min="7" max="7"/>
    <col width="15" customWidth="1" min="8" max="8"/>
  </cols>
  <sheetData>
    <row r="1">
      <c r="A1" s="1" t="inlineStr">
        <is>
          <t>Exports by sector (₹ crore), FY 2023-24 vs 2024-25. Source: TradeStat EIDB export file; sector assigned by HS chapter.</t>
        </is>
      </c>
    </row>
    <row r="3">
      <c r="A3" s="2" t="inlineStr">
        <is>
          <t>Rank</t>
        </is>
      </c>
      <c r="B3" s="2" t="inlineStr">
        <is>
          <t>Sector</t>
        </is>
      </c>
      <c r="C3" s="2" t="inlineStr">
        <is>
          <t>HS lines</t>
        </is>
      </c>
      <c r="D3" s="2" t="inlineStr">
        <is>
          <t>2023-24 (₹ cr)</t>
        </is>
      </c>
      <c r="E3" s="2" t="inlineStr">
        <is>
          <t>2024-25 (₹ cr)</t>
        </is>
      </c>
      <c r="F3" s="2" t="inlineStr">
        <is>
          <t>Change (₹ cr)</t>
        </is>
      </c>
      <c r="G3" s="2" t="inlineStr">
        <is>
          <t>Growth %</t>
        </is>
      </c>
      <c r="H3" s="2" t="inlineStr">
        <is>
          <t>Share of 2024-25</t>
        </is>
      </c>
    </row>
    <row r="4"/>
    <row r="5">
      <c r="A5" t="n">
        <v>1</v>
      </c>
      <c r="B5" t="inlineStr">
        <is>
          <t>Petroleum &amp; energy</t>
        </is>
      </c>
      <c r="C5" t="n">
        <v>53</v>
      </c>
      <c r="D5" s="3" t="n">
        <v>15333.29</v>
      </c>
      <c r="E5" s="3" t="n">
        <v>13305.49</v>
      </c>
      <c r="F5" s="3">
        <f>E5-D5</f>
        <v/>
      </c>
      <c r="G5" s="4">
        <f>IF(D5=0,"",E5/D5-1)</f>
        <v/>
      </c>
      <c r="H5" s="5">
        <f>E5/$E$26</f>
        <v/>
      </c>
    </row>
    <row r="6">
      <c r="A6" t="n">
        <v>2</v>
      </c>
      <c r="B6" t="inlineStr">
        <is>
          <t>Organic &amp; inorganic chemicals</t>
        </is>
      </c>
      <c r="C6" t="n">
        <v>524</v>
      </c>
      <c r="D6" s="3" t="n">
        <v>2649.71</v>
      </c>
      <c r="E6" s="3" t="n">
        <v>3614.88</v>
      </c>
      <c r="F6" s="3">
        <f>E6-D6</f>
        <v/>
      </c>
      <c r="G6" s="4">
        <f>IF(D6=0,"",E6/D6-1)</f>
        <v/>
      </c>
      <c r="H6" s="5">
        <f>E6/$E$26</f>
        <v/>
      </c>
    </row>
    <row r="7">
      <c r="A7" t="n">
        <v>3</v>
      </c>
      <c r="B7" t="inlineStr">
        <is>
          <t>Machinery &amp; electronics</t>
        </is>
      </c>
      <c r="C7" t="n">
        <v>1085</v>
      </c>
      <c r="D7" s="3" t="n">
        <v>2259.01</v>
      </c>
      <c r="E7" s="3" t="n">
        <v>3228.71</v>
      </c>
      <c r="F7" s="3">
        <f>E7-D7</f>
        <v/>
      </c>
      <c r="G7" s="4">
        <f>IF(D7=0,"",E7/D7-1)</f>
        <v/>
      </c>
      <c r="H7" s="5">
        <f>E7/$E$26</f>
        <v/>
      </c>
    </row>
    <row r="8">
      <c r="A8" t="n">
        <v>4</v>
      </c>
      <c r="B8" t="inlineStr">
        <is>
          <t>Agri &amp; plantation crops</t>
        </is>
      </c>
      <c r="C8" t="n">
        <v>388</v>
      </c>
      <c r="D8" s="3" t="n">
        <v>2740.64</v>
      </c>
      <c r="E8" s="3" t="n">
        <v>2537.51</v>
      </c>
      <c r="F8" s="3">
        <f>E8-D8</f>
        <v/>
      </c>
      <c r="G8" s="4">
        <f>IF(D8=0,"",E8/D8-1)</f>
        <v/>
      </c>
      <c r="H8" s="5">
        <f>E8/$E$26</f>
        <v/>
      </c>
    </row>
    <row r="9">
      <c r="A9" t="n">
        <v>5</v>
      </c>
      <c r="B9" t="inlineStr">
        <is>
          <t>Transport equipment</t>
        </is>
      </c>
      <c r="C9" t="n">
        <v>96</v>
      </c>
      <c r="D9" s="3" t="n">
        <v>3762.6</v>
      </c>
      <c r="E9" s="3" t="n">
        <v>2063.51</v>
      </c>
      <c r="F9" s="3">
        <f>E9-D9</f>
        <v/>
      </c>
      <c r="G9" s="4">
        <f>IF(D9=0,"",E9/D9-1)</f>
        <v/>
      </c>
      <c r="H9" s="5">
        <f>E9/$E$26</f>
        <v/>
      </c>
    </row>
    <row r="10">
      <c r="A10" t="n">
        <v>6</v>
      </c>
      <c r="B10" t="inlineStr">
        <is>
          <t>Base metals &amp; articles</t>
        </is>
      </c>
      <c r="C10" t="n">
        <v>747</v>
      </c>
      <c r="D10" s="3" t="n">
        <v>2205.64</v>
      </c>
      <c r="E10" s="3" t="n">
        <v>2024.14</v>
      </c>
      <c r="F10" s="3">
        <f>E10-D10</f>
        <v/>
      </c>
      <c r="G10" s="4">
        <f>IF(D10=0,"",E10/D10-1)</f>
        <v/>
      </c>
      <c r="H10" s="5">
        <f>E10/$E$26</f>
        <v/>
      </c>
    </row>
    <row r="11">
      <c r="A11" t="n">
        <v>7</v>
      </c>
      <c r="B11" t="inlineStr">
        <is>
          <t>Cosmetics, dyes &amp; other chemicals</t>
        </is>
      </c>
      <c r="C11" t="n">
        <v>373</v>
      </c>
      <c r="D11" s="3" t="n">
        <v>1121.6</v>
      </c>
      <c r="E11" s="3" t="n">
        <v>1680.49</v>
      </c>
      <c r="F11" s="3">
        <f>E11-D11</f>
        <v/>
      </c>
      <c r="G11" s="4">
        <f>IF(D11=0,"",E11/D11-1)</f>
        <v/>
      </c>
      <c r="H11" s="5">
        <f>E11/$E$26</f>
        <v/>
      </c>
    </row>
    <row r="12">
      <c r="A12" t="n">
        <v>8</v>
      </c>
      <c r="B12" t="inlineStr">
        <is>
          <t>Animal products &amp; seafood</t>
        </is>
      </c>
      <c r="C12" t="n">
        <v>73</v>
      </c>
      <c r="D12" s="3" t="n">
        <v>1095.89</v>
      </c>
      <c r="E12" s="3" t="n">
        <v>1230.62</v>
      </c>
      <c r="F12" s="3">
        <f>E12-D12</f>
        <v/>
      </c>
      <c r="G12" s="4">
        <f>IF(D12=0,"",E12/D12-1)</f>
        <v/>
      </c>
      <c r="H12" s="5">
        <f>E12/$E$26</f>
        <v/>
      </c>
    </row>
    <row r="13">
      <c r="A13" t="n">
        <v>9</v>
      </c>
      <c r="B13" t="inlineStr">
        <is>
          <t>Textiles &amp; apparel</t>
        </is>
      </c>
      <c r="C13" t="n">
        <v>795</v>
      </c>
      <c r="D13" s="3" t="n">
        <v>927.0700000000001</v>
      </c>
      <c r="E13" s="3" t="n">
        <v>888.36</v>
      </c>
      <c r="F13" s="3">
        <f>E13-D13</f>
        <v/>
      </c>
      <c r="G13" s="4">
        <f>IF(D13=0,"",E13/D13-1)</f>
        <v/>
      </c>
      <c r="H13" s="5">
        <f>E13/$E$26</f>
        <v/>
      </c>
    </row>
    <row r="14">
      <c r="A14" t="n">
        <v>10</v>
      </c>
      <c r="B14" t="inlineStr">
        <is>
          <t>Stone, ceramics &amp; glass</t>
        </is>
      </c>
      <c r="C14" t="n">
        <v>176</v>
      </c>
      <c r="D14" s="3" t="n">
        <v>826.67</v>
      </c>
      <c r="E14" s="3" t="n">
        <v>800.71</v>
      </c>
      <c r="F14" s="3">
        <f>E14-D14</f>
        <v/>
      </c>
      <c r="G14" s="4">
        <f>IF(D14=0,"",E14/D14-1)</f>
        <v/>
      </c>
      <c r="H14" s="5">
        <f>E14/$E$26</f>
        <v/>
      </c>
    </row>
    <row r="15">
      <c r="A15" t="n">
        <v>11</v>
      </c>
      <c r="B15" t="inlineStr">
        <is>
          <t>Plastics &amp; rubber</t>
        </is>
      </c>
      <c r="C15" t="n">
        <v>338</v>
      </c>
      <c r="D15" s="3" t="n">
        <v>673.4</v>
      </c>
      <c r="E15" s="3" t="n">
        <v>780.75</v>
      </c>
      <c r="F15" s="3">
        <f>E15-D15</f>
        <v/>
      </c>
      <c r="G15" s="4">
        <f>IF(D15=0,"",E15/D15-1)</f>
        <v/>
      </c>
      <c r="H15" s="5">
        <f>E15/$E$26</f>
        <v/>
      </c>
    </row>
    <row r="16">
      <c r="A16" t="n">
        <v>12</v>
      </c>
      <c r="B16" t="inlineStr">
        <is>
          <t>Processed food &amp; beverages</t>
        </is>
      </c>
      <c r="C16" t="n">
        <v>238</v>
      </c>
      <c r="D16" s="3" t="n">
        <v>812.46</v>
      </c>
      <c r="E16" s="3" t="n">
        <v>734.33</v>
      </c>
      <c r="F16" s="3">
        <f>E16-D16</f>
        <v/>
      </c>
      <c r="G16" s="4">
        <f>IF(D16=0,"",E16/D16-1)</f>
        <v/>
      </c>
      <c r="H16" s="5">
        <f>E16/$E$26</f>
        <v/>
      </c>
    </row>
    <row r="17">
      <c r="A17" t="n">
        <v>13</v>
      </c>
      <c r="B17" t="inlineStr">
        <is>
          <t>Pharmaceuticals</t>
        </is>
      </c>
      <c r="C17" t="n">
        <v>173</v>
      </c>
      <c r="D17" s="3" t="n">
        <v>347.31</v>
      </c>
      <c r="E17" s="3" t="n">
        <v>458.19</v>
      </c>
      <c r="F17" s="3">
        <f>E17-D17</f>
        <v/>
      </c>
      <c r="G17" s="4">
        <f>IF(D17=0,"",E17/D17-1)</f>
        <v/>
      </c>
      <c r="H17" s="5">
        <f>E17/$E$26</f>
        <v/>
      </c>
    </row>
    <row r="18">
      <c r="A18" t="n">
        <v>14</v>
      </c>
      <c r="B18" t="inlineStr">
        <is>
          <t>Wood, paper &amp; printing</t>
        </is>
      </c>
      <c r="C18" t="n">
        <v>221</v>
      </c>
      <c r="D18" s="3" t="n">
        <v>195.39</v>
      </c>
      <c r="E18" s="3" t="n">
        <v>259.75</v>
      </c>
      <c r="F18" s="3">
        <f>E18-D18</f>
        <v/>
      </c>
      <c r="G18" s="4">
        <f>IF(D18=0,"",E18/D18-1)</f>
        <v/>
      </c>
      <c r="H18" s="5">
        <f>E18/$E$26</f>
        <v/>
      </c>
    </row>
    <row r="19">
      <c r="A19" t="n">
        <v>15</v>
      </c>
      <c r="B19" t="inlineStr">
        <is>
          <t>Instruments &amp; medical devices</t>
        </is>
      </c>
      <c r="C19" t="n">
        <v>223</v>
      </c>
      <c r="D19" s="3" t="n">
        <v>1092.41</v>
      </c>
      <c r="E19" s="3" t="n">
        <v>241.35</v>
      </c>
      <c r="F19" s="3">
        <f>E19-D19</f>
        <v/>
      </c>
      <c r="G19" s="4">
        <f>IF(D19=0,"",E19/D19-1)</f>
        <v/>
      </c>
      <c r="H19" s="5">
        <f>E19/$E$26</f>
        <v/>
      </c>
    </row>
    <row r="20">
      <c r="A20" t="n">
        <v>16</v>
      </c>
      <c r="B20" t="inlineStr">
        <is>
          <t>Gems &amp; jewellery</t>
        </is>
      </c>
      <c r="C20" t="n">
        <v>47</v>
      </c>
      <c r="D20" s="3" t="n">
        <v>287.89</v>
      </c>
      <c r="E20" s="3" t="n">
        <v>237.68</v>
      </c>
      <c r="F20" s="3">
        <f>E20-D20</f>
        <v/>
      </c>
      <c r="G20" s="4">
        <f>IF(D20=0,"",E20/D20-1)</f>
        <v/>
      </c>
      <c r="H20" s="5">
        <f>E20/$E$26</f>
        <v/>
      </c>
    </row>
    <row r="21">
      <c r="A21" t="n">
        <v>17</v>
      </c>
      <c r="B21" t="inlineStr">
        <is>
          <t>Minerals &amp; ores</t>
        </is>
      </c>
      <c r="C21" t="n">
        <v>79</v>
      </c>
      <c r="D21" s="3" t="n">
        <v>127.24</v>
      </c>
      <c r="E21" s="3" t="n">
        <v>153.69</v>
      </c>
      <c r="F21" s="3">
        <f>E21-D21</f>
        <v/>
      </c>
      <c r="G21" s="4">
        <f>IF(D21=0,"",E21/D21-1)</f>
        <v/>
      </c>
      <c r="H21" s="5">
        <f>E21/$E$26</f>
        <v/>
      </c>
    </row>
    <row r="22">
      <c r="A22" t="n">
        <v>18</v>
      </c>
      <c r="B22" t="inlineStr">
        <is>
          <t>Other manufactured goods</t>
        </is>
      </c>
      <c r="C22" t="n">
        <v>172</v>
      </c>
      <c r="D22" s="3" t="n">
        <v>124.96</v>
      </c>
      <c r="E22" s="3" t="n">
        <v>83.23999999999999</v>
      </c>
      <c r="F22" s="3">
        <f>E22-D22</f>
        <v/>
      </c>
      <c r="G22" s="4">
        <f>IF(D22=0,"",E22/D22-1)</f>
        <v/>
      </c>
      <c r="H22" s="5">
        <f>E22/$E$26</f>
        <v/>
      </c>
    </row>
    <row r="23">
      <c r="A23" t="n">
        <v>19</v>
      </c>
      <c r="B23" t="inlineStr">
        <is>
          <t>Footwear &amp; accessories</t>
        </is>
      </c>
      <c r="C23" t="n">
        <v>60</v>
      </c>
      <c r="D23" s="3" t="n">
        <v>69.14</v>
      </c>
      <c r="E23" s="3" t="n">
        <v>60.12</v>
      </c>
      <c r="F23" s="3">
        <f>E23-D23</f>
        <v/>
      </c>
      <c r="G23" s="4">
        <f>IF(D23=0,"",E23/D23-1)</f>
        <v/>
      </c>
      <c r="H23" s="5">
        <f>E23/$E$26</f>
        <v/>
      </c>
    </row>
    <row r="24">
      <c r="A24" t="n">
        <v>20</v>
      </c>
      <c r="B24" t="inlineStr">
        <is>
          <t>Leather &amp; leather goods</t>
        </is>
      </c>
      <c r="C24" t="n">
        <v>43</v>
      </c>
      <c r="D24" s="3" t="n">
        <v>11.42</v>
      </c>
      <c r="E24" s="3" t="n">
        <v>10.71</v>
      </c>
      <c r="F24" s="3">
        <f>E24-D24</f>
        <v/>
      </c>
      <c r="G24" s="4">
        <f>IF(D24=0,"",E24/D24-1)</f>
        <v/>
      </c>
      <c r="H24" s="5">
        <f>E24/$E$26</f>
        <v/>
      </c>
    </row>
    <row r="25">
      <c r="A25" t="n">
        <v>21</v>
      </c>
      <c r="B25" t="inlineStr">
        <is>
          <t>Special transactions</t>
        </is>
      </c>
      <c r="C25" t="n">
        <v>9</v>
      </c>
      <c r="D25" s="3" t="n">
        <v>0.65</v>
      </c>
      <c r="E25" s="3" t="n">
        <v>0.92</v>
      </c>
      <c r="F25" s="3">
        <f>E25-D25</f>
        <v/>
      </c>
      <c r="G25" s="4">
        <f>IF(D25=0,"",E25/D25-1)</f>
        <v/>
      </c>
      <c r="H25" s="5">
        <f>E25/$E$26</f>
        <v/>
      </c>
    </row>
    <row r="26">
      <c r="A26" s="6" t="inlineStr"/>
      <c r="B26" s="6" t="inlineStr">
        <is>
          <t>Total (sum of lines)</t>
        </is>
      </c>
      <c r="C26" s="6">
        <f>SUM(C5:C25)</f>
        <v/>
      </c>
      <c r="D26" s="7">
        <f>SUM(D5:D25)</f>
        <v/>
      </c>
      <c r="E26" s="7">
        <f>SUM(E5:E25)</f>
        <v/>
      </c>
      <c r="F26" s="7">
        <f>E26-D26</f>
        <v/>
      </c>
      <c r="G26" s="8">
        <f>E26/D26-1</f>
        <v/>
      </c>
      <c r="H26" s="9" t="n">
        <v>1</v>
      </c>
    </row>
    <row r="28">
      <c r="A28" s="10" t="inlineStr">
        <is>
          <t>Note: the Total row printed in the source file shows 2023-24 = 73,330.09 and growth -53.09%, but the commodity lines sum to 36,664.39. This workbook uses the sum of lines.</t>
        </is>
      </c>
    </row>
  </sheetData>
  <conditionalFormatting sqref="G5:G2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5:F2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5:E25">
    <cfRule type="dataBar" priority="5">
      <dataBar>
        <cfvo type="num" val="0"/>
        <cfvo type="max"/>
        <color rgb="004A86C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70" customWidth="1" min="4" max="4"/>
    <col width="14" customWidth="1" min="5" max="5"/>
    <col width="14" customWidth="1" min="6" max="6"/>
    <col width="13" customWidth="1" min="7" max="7"/>
    <col width="10" customWidth="1" min="8" max="8"/>
    <col width="30" customWidth="1" min="9" max="9"/>
  </cols>
  <sheetData>
    <row r="1">
      <c r="A1" s="2" t="inlineStr">
        <is>
          <t>Sector</t>
        </is>
      </c>
      <c r="B1" s="2" t="inlineStr">
        <is>
          <t>HS chapter</t>
        </is>
      </c>
      <c r="C1" s="2" t="inlineStr">
        <is>
          <t>HS code</t>
        </is>
      </c>
      <c r="D1" s="2" t="inlineStr">
        <is>
          <t>Commodity</t>
        </is>
      </c>
      <c r="E1" s="2" t="inlineStr">
        <is>
          <t>2023-24 (₹ cr)</t>
        </is>
      </c>
      <c r="F1" s="2" t="inlineStr">
        <is>
          <t>2024-25 (₹ cr)</t>
        </is>
      </c>
      <c r="G1" s="2" t="inlineStr">
        <is>
          <t>Change (₹ cr)</t>
        </is>
      </c>
      <c r="H1" s="2" t="inlineStr">
        <is>
          <t>Growth %</t>
        </is>
      </c>
      <c r="I1" s="2" t="inlineStr">
        <is>
          <t>Pharma therapy group</t>
        </is>
      </c>
    </row>
    <row r="2">
      <c r="E2" s="3" t="n"/>
      <c r="F2" s="3" t="n"/>
      <c r="G2" s="3" t="n"/>
      <c r="H2" s="4" t="n"/>
    </row>
    <row r="3">
      <c r="A3" s="6" t="inlineStr">
        <is>
          <t>Petroleum &amp; energy  —  53 lines</t>
        </is>
      </c>
      <c r="B3" s="6" t="inlineStr"/>
      <c r="C3" s="6" t="inlineStr"/>
      <c r="D3" s="6" t="inlineStr"/>
      <c r="E3" s="7" t="n">
        <v>15333.29</v>
      </c>
      <c r="F3" s="7" t="n">
        <v>13305.49</v>
      </c>
      <c r="G3" s="7" t="n">
        <v>-2027.8</v>
      </c>
      <c r="H3" s="8" t="n">
        <v>-0.1322481998318696</v>
      </c>
      <c r="I3" s="6" t="inlineStr"/>
    </row>
    <row r="4">
      <c r="A4" t="inlineStr">
        <is>
          <t>Petroleum &amp; energy</t>
        </is>
      </c>
      <c r="B4" t="inlineStr">
        <is>
          <t>27</t>
        </is>
      </c>
      <c r="C4" t="inlineStr">
        <is>
          <t>27101290</t>
        </is>
      </c>
      <c r="D4" t="inlineStr">
        <is>
          <t>OTHERS-OF-LIGHT OILS AND PREPARATIONS:</t>
        </is>
      </c>
      <c r="E4" s="3" t="n">
        <v>2268.79</v>
      </c>
      <c r="F4" s="3" t="n">
        <v>6369.61</v>
      </c>
      <c r="G4" s="3">
        <f>F4-E4</f>
        <v/>
      </c>
      <c r="H4" s="4">
        <f>IF(E4=0,"",F4/E4-1)</f>
        <v/>
      </c>
      <c r="I4" t="inlineStr"/>
    </row>
    <row r="5">
      <c r="A5" t="inlineStr">
        <is>
          <t>Petroleum &amp; energy</t>
        </is>
      </c>
      <c r="B5" t="inlineStr">
        <is>
          <t>27</t>
        </is>
      </c>
      <c r="C5" t="inlineStr">
        <is>
          <t>27101241</t>
        </is>
      </c>
      <c r="D5" t="inlineStr">
        <is>
          <t>MOTOR GASOLINE CONFORMING TO STANDARD IS 2796</t>
        </is>
      </c>
      <c r="E5" s="3" t="n">
        <v>11444.57</v>
      </c>
      <c r="F5" s="3" t="n">
        <v>4709.74</v>
      </c>
      <c r="G5" s="3">
        <f>F5-E5</f>
        <v/>
      </c>
      <c r="H5" s="4">
        <f>IF(E5=0,"",F5/E5-1)</f>
        <v/>
      </c>
      <c r="I5" t="inlineStr"/>
    </row>
    <row r="6">
      <c r="A6" t="inlineStr">
        <is>
          <t>Petroleum &amp; energy</t>
        </is>
      </c>
      <c r="B6" t="inlineStr">
        <is>
          <t>27</t>
        </is>
      </c>
      <c r="C6" t="inlineStr">
        <is>
          <t>27075000</t>
        </is>
      </c>
      <c r="D6" t="inlineStr">
        <is>
          <t>OTH ARMTC HYDCRBN MXTRS OF WHICH 65 PRCNT OR MORE BY VL (INCLDNG LOSSES) DISTLS AT 250 DGR.C. BY ISO 3405 (ASTM D 86 METHOD)</t>
        </is>
      </c>
      <c r="E6" s="3" t="n">
        <v>910.71</v>
      </c>
      <c r="F6" s="3" t="n">
        <v>855.0599999999999</v>
      </c>
      <c r="G6" s="3">
        <f>F6-E6</f>
        <v/>
      </c>
      <c r="H6" s="4">
        <f>IF(E6=0,"",F6/E6-1)</f>
        <v/>
      </c>
      <c r="I6" t="inlineStr"/>
    </row>
    <row r="7">
      <c r="A7" t="inlineStr">
        <is>
          <t>Petroleum &amp; energy</t>
        </is>
      </c>
      <c r="B7" t="inlineStr">
        <is>
          <t>27</t>
        </is>
      </c>
      <c r="C7" t="inlineStr">
        <is>
          <t>27101949</t>
        </is>
      </c>
      <c r="D7" t="inlineStr">
        <is>
          <t>HIGH FLASH HIGH SPEED DIESEL FUEL CONFORMING TO STANDARD IS 16861</t>
        </is>
      </c>
      <c r="E7" s="3" t="n">
        <v>17.03</v>
      </c>
      <c r="F7" s="3" t="n">
        <v>412.45</v>
      </c>
      <c r="G7" s="3">
        <f>F7-E7</f>
        <v/>
      </c>
      <c r="H7" s="4">
        <f>IF(E7=0,"",F7/E7-1)</f>
        <v/>
      </c>
      <c r="I7" t="inlineStr"/>
    </row>
    <row r="8">
      <c r="A8" t="inlineStr">
        <is>
          <t>Petroleum &amp; energy</t>
        </is>
      </c>
      <c r="B8" t="inlineStr">
        <is>
          <t>27</t>
        </is>
      </c>
      <c r="C8" t="inlineStr">
        <is>
          <t>27011910</t>
        </is>
      </c>
      <c r="D8" t="inlineStr">
        <is>
          <t>COKING COAL</t>
        </is>
      </c>
      <c r="E8" s="3" t="n">
        <v>230.1</v>
      </c>
      <c r="F8" s="3" t="n">
        <v>306.32</v>
      </c>
      <c r="G8" s="3">
        <f>F8-E8</f>
        <v/>
      </c>
      <c r="H8" s="4">
        <f>IF(E8=0,"",F8/E8-1)</f>
        <v/>
      </c>
      <c r="I8" t="inlineStr"/>
    </row>
    <row r="9">
      <c r="A9" t="inlineStr">
        <is>
          <t>Petroleum &amp; energy</t>
        </is>
      </c>
      <c r="B9" t="inlineStr">
        <is>
          <t>27</t>
        </is>
      </c>
      <c r="C9" t="inlineStr">
        <is>
          <t>27101221</t>
        </is>
      </c>
      <c r="D9" t="inlineStr">
        <is>
          <t>LIGHT NAPHTHA</t>
        </is>
      </c>
      <c r="E9" s="3" t="n">
        <v>0</v>
      </c>
      <c r="F9" s="3" t="n">
        <v>182.61</v>
      </c>
      <c r="G9" s="3">
        <f>F9-E9</f>
        <v/>
      </c>
      <c r="H9" s="4">
        <f>IF(E9=0,"",F9/E9-1)</f>
        <v/>
      </c>
      <c r="I9" t="inlineStr"/>
    </row>
    <row r="10">
      <c r="A10" t="inlineStr">
        <is>
          <t>Petroleum &amp; energy</t>
        </is>
      </c>
      <c r="B10" t="inlineStr">
        <is>
          <t>27</t>
        </is>
      </c>
      <c r="C10" t="inlineStr">
        <is>
          <t>27101229</t>
        </is>
      </c>
      <c r="D10" t="inlineStr">
        <is>
          <t>FULL RANGE NAPHTHA</t>
        </is>
      </c>
      <c r="E10" s="3" t="n">
        <v>0</v>
      </c>
      <c r="F10" s="3" t="n">
        <v>180.14</v>
      </c>
      <c r="G10" s="3">
        <f>F10-E10</f>
        <v/>
      </c>
      <c r="H10" s="4">
        <f>IF(E10=0,"",F10/E10-1)</f>
        <v/>
      </c>
      <c r="I10" t="inlineStr"/>
    </row>
    <row r="11">
      <c r="A11" t="inlineStr">
        <is>
          <t>Petroleum &amp; energy</t>
        </is>
      </c>
      <c r="B11" t="inlineStr">
        <is>
          <t>27</t>
        </is>
      </c>
      <c r="C11" t="inlineStr">
        <is>
          <t>27101942</t>
        </is>
      </c>
      <c r="D11" t="inlineStr">
        <is>
          <t>VACUUM GAS OIL</t>
        </is>
      </c>
      <c r="E11" s="3" t="n">
        <v>0</v>
      </c>
      <c r="F11" s="3" t="n">
        <v>180.05</v>
      </c>
      <c r="G11" s="3">
        <f>F11-E11</f>
        <v/>
      </c>
      <c r="H11" s="4">
        <f>IF(E11=0,"",F11/E11-1)</f>
        <v/>
      </c>
      <c r="I11" t="inlineStr"/>
    </row>
    <row r="12">
      <c r="A12" t="inlineStr">
        <is>
          <t>Petroleum &amp; energy</t>
        </is>
      </c>
      <c r="B12" t="inlineStr">
        <is>
          <t>27</t>
        </is>
      </c>
      <c r="C12" t="inlineStr">
        <is>
          <t>27040020</t>
        </is>
      </c>
      <c r="D12" t="inlineStr">
        <is>
          <t>COKE AND SEMI-COKE OF LIGNITE OR OF PEAT</t>
        </is>
      </c>
      <c r="E12" s="3" t="n">
        <v>0</v>
      </c>
      <c r="F12" s="3" t="n">
        <v>15.97</v>
      </c>
      <c r="G12" s="3">
        <f>F12-E12</f>
        <v/>
      </c>
      <c r="H12" s="4">
        <f>IF(E12=0,"",F12/E12-1)</f>
        <v/>
      </c>
      <c r="I12" t="inlineStr"/>
    </row>
    <row r="13">
      <c r="A13" t="inlineStr">
        <is>
          <t>Petroleum &amp; energy</t>
        </is>
      </c>
      <c r="B13" t="inlineStr">
        <is>
          <t>27</t>
        </is>
      </c>
      <c r="C13" t="inlineStr">
        <is>
          <t>27011100</t>
        </is>
      </c>
      <c r="D13" t="inlineStr">
        <is>
          <t>ANTHRCITE COAL W/N PULVRSD BUT NT AGLOMRTD</t>
        </is>
      </c>
      <c r="E13" s="3" t="n">
        <v>12.54</v>
      </c>
      <c r="F13" s="3" t="n">
        <v>15.82</v>
      </c>
      <c r="G13" s="3">
        <f>F13-E13</f>
        <v/>
      </c>
      <c r="H13" s="4">
        <f>IF(E13=0,"",F13/E13-1)</f>
        <v/>
      </c>
      <c r="I13" t="inlineStr"/>
    </row>
    <row r="14">
      <c r="A14" t="inlineStr">
        <is>
          <t>Petroleum &amp; energy</t>
        </is>
      </c>
      <c r="B14" t="inlineStr">
        <is>
          <t>27</t>
        </is>
      </c>
      <c r="C14" t="inlineStr">
        <is>
          <t>27101959</t>
        </is>
      </c>
      <c r="D14" t="inlineStr">
        <is>
          <t>GRADE HV</t>
        </is>
      </c>
      <c r="E14" s="3" t="n">
        <v>2.29</v>
      </c>
      <c r="F14" s="3" t="n">
        <v>12.94</v>
      </c>
      <c r="G14" s="3">
        <f>F14-E14</f>
        <v/>
      </c>
      <c r="H14" s="4">
        <f>IF(E14=0,"",F14/E14-1)</f>
        <v/>
      </c>
      <c r="I14" t="inlineStr"/>
    </row>
    <row r="15">
      <c r="A15" t="inlineStr">
        <is>
          <t>Petroleum &amp; energy</t>
        </is>
      </c>
      <c r="B15" t="inlineStr">
        <is>
          <t>27</t>
        </is>
      </c>
      <c r="C15" t="inlineStr">
        <is>
          <t>27101953</t>
        </is>
      </c>
      <c r="D15" t="inlineStr">
        <is>
          <t>GRADE MV2</t>
        </is>
      </c>
      <c r="E15" s="3" t="n">
        <v>10.56</v>
      </c>
      <c r="F15" s="3" t="n">
        <v>12.93</v>
      </c>
      <c r="G15" s="3">
        <f>F15-E15</f>
        <v/>
      </c>
      <c r="H15" s="4">
        <f>IF(E15=0,"",F15/E15-1)</f>
        <v/>
      </c>
      <c r="I15" t="inlineStr"/>
    </row>
    <row r="16">
      <c r="A16" t="inlineStr">
        <is>
          <t>Petroleum &amp; energy</t>
        </is>
      </c>
      <c r="B16" t="inlineStr">
        <is>
          <t>27</t>
        </is>
      </c>
      <c r="C16" t="inlineStr">
        <is>
          <t>27101989</t>
        </is>
      </c>
      <c r="D16" t="inlineStr">
        <is>
          <t>OTHER CUTTING OIL, HYDRAULIC OIL, INDUSTRIAL WHITE OIL, JUTE BATCHING OIL, MINERAL OIL FOR COSMETIC INDUSTRY</t>
        </is>
      </c>
      <c r="E16" s="3" t="n">
        <v>5.59</v>
      </c>
      <c r="F16" s="3" t="n">
        <v>10.3</v>
      </c>
      <c r="G16" s="3">
        <f>F16-E16</f>
        <v/>
      </c>
      <c r="H16" s="4">
        <f>IF(E16=0,"",F16/E16-1)</f>
        <v/>
      </c>
      <c r="I16" t="inlineStr"/>
    </row>
    <row r="17">
      <c r="A17" t="inlineStr">
        <is>
          <t>Petroleum &amp; energy</t>
        </is>
      </c>
      <c r="B17" t="inlineStr">
        <is>
          <t>27</t>
        </is>
      </c>
      <c r="C17" t="inlineStr">
        <is>
          <t>27101988</t>
        </is>
      </c>
      <c r="D17" t="inlineStr">
        <is>
          <t>OTHER CUTTING OIL, HYDRAULIC OIL, INDUSTRIAL WHITE OIL, JUTE BATCHING OIL, MINERAL OIL FOR COSMETIC INDUSTRY</t>
        </is>
      </c>
      <c r="E17" s="3" t="n">
        <v>6.28</v>
      </c>
      <c r="F17" s="3" t="n">
        <v>9.49</v>
      </c>
      <c r="G17" s="3">
        <f>F17-E17</f>
        <v/>
      </c>
      <c r="H17" s="4">
        <f>IF(E17=0,"",F17/E17-1)</f>
        <v/>
      </c>
      <c r="I17" t="inlineStr"/>
    </row>
    <row r="18">
      <c r="A18" t="inlineStr">
        <is>
          <t>Petroleum &amp; energy</t>
        </is>
      </c>
      <c r="B18" t="inlineStr">
        <is>
          <t>27</t>
        </is>
      </c>
      <c r="C18" t="inlineStr">
        <is>
          <t>27101990</t>
        </is>
      </c>
      <c r="D18" t="inlineStr">
        <is>
          <t>OTHER PETROLEUM OILS AND OILS OBTAINE FROMBITUMINOUS MINERALS NES</t>
        </is>
      </c>
      <c r="E18" s="3" t="n">
        <v>8.34</v>
      </c>
      <c r="F18" s="3" t="n">
        <v>8.859999999999999</v>
      </c>
      <c r="G18" s="3">
        <f>F18-E18</f>
        <v/>
      </c>
      <c r="H18" s="4">
        <f>IF(E18=0,"",F18/E18-1)</f>
        <v/>
      </c>
      <c r="I18" t="inlineStr"/>
    </row>
    <row r="19">
      <c r="A19" t="inlineStr">
        <is>
          <t>Petroleum &amp; energy</t>
        </is>
      </c>
      <c r="B19" t="inlineStr">
        <is>
          <t>27</t>
        </is>
      </c>
      <c r="C19" t="inlineStr">
        <is>
          <t>27011920</t>
        </is>
      </c>
      <c r="D19" t="inlineStr">
        <is>
          <t>STEAM COAL</t>
        </is>
      </c>
      <c r="E19" s="3" t="n">
        <v>1.48</v>
      </c>
      <c r="F19" s="3" t="n">
        <v>3.89</v>
      </c>
      <c r="G19" s="3">
        <f>F19-E19</f>
        <v/>
      </c>
      <c r="H19" s="4">
        <f>IF(E19=0,"",F19/E19-1)</f>
        <v/>
      </c>
      <c r="I19" t="inlineStr"/>
    </row>
    <row r="20">
      <c r="A20" t="inlineStr">
        <is>
          <t>Petroleum &amp; energy</t>
        </is>
      </c>
      <c r="B20" t="inlineStr">
        <is>
          <t>27</t>
        </is>
      </c>
      <c r="C20" t="inlineStr">
        <is>
          <t>27101951</t>
        </is>
      </c>
      <c r="D20" t="inlineStr">
        <is>
          <t>GRADE LV</t>
        </is>
      </c>
      <c r="E20" s="3" t="n">
        <v>2.23</v>
      </c>
      <c r="F20" s="3" t="n">
        <v>3.71</v>
      </c>
      <c r="G20" s="3">
        <f>F20-E20</f>
        <v/>
      </c>
      <c r="H20" s="4">
        <f>IF(E20=0,"",F20/E20-1)</f>
        <v/>
      </c>
      <c r="I20" t="inlineStr"/>
    </row>
    <row r="21">
      <c r="A21" t="inlineStr">
        <is>
          <t>Petroleum &amp; energy</t>
        </is>
      </c>
      <c r="B21" t="inlineStr">
        <is>
          <t>27</t>
        </is>
      </c>
      <c r="C21" t="inlineStr">
        <is>
          <t>27101979</t>
        </is>
      </c>
      <c r="D21" t="inlineStr">
        <is>
          <t>OTHER LUBRICATING OIL, NOT CONFORMING TO ANY BIS STANDARD</t>
        </is>
      </c>
      <c r="E21" s="3" t="n">
        <v>2.64</v>
      </c>
      <c r="F21" s="3" t="n">
        <v>3.48</v>
      </c>
      <c r="G21" s="3">
        <f>F21-E21</f>
        <v/>
      </c>
      <c r="H21" s="4">
        <f>IF(E21=0,"",F21/E21-1)</f>
        <v/>
      </c>
      <c r="I21" t="inlineStr"/>
    </row>
    <row r="22">
      <c r="A22" t="inlineStr">
        <is>
          <t>Petroleum &amp; energy</t>
        </is>
      </c>
      <c r="B22" t="inlineStr">
        <is>
          <t>27</t>
        </is>
      </c>
      <c r="C22" t="inlineStr">
        <is>
          <t>27149090</t>
        </is>
      </c>
      <c r="D22" t="inlineStr">
        <is>
          <t>OTHER ASPHALTITES AND ASPHALTIC ROCKS</t>
        </is>
      </c>
      <c r="E22" s="3" t="n">
        <v>0.42</v>
      </c>
      <c r="F22" s="3" t="n">
        <v>3.09</v>
      </c>
      <c r="G22" s="3">
        <f>F22-E22</f>
        <v/>
      </c>
      <c r="H22" s="4">
        <f>IF(E22=0,"",F22/E22-1)</f>
        <v/>
      </c>
      <c r="I22" t="inlineStr"/>
    </row>
    <row r="23">
      <c r="A23" t="inlineStr">
        <is>
          <t>Petroleum &amp; energy</t>
        </is>
      </c>
      <c r="B23" t="inlineStr">
        <is>
          <t>27</t>
        </is>
      </c>
      <c r="C23" t="inlineStr">
        <is>
          <t>27101972</t>
        </is>
      </c>
      <c r="D23" t="inlineStr">
        <is>
          <t>ENGINE OIL (INTERNAL COMBUSTION ENGINE CRANKCASE OILS) CONFORMING TO STANDARD IS 13656</t>
        </is>
      </c>
      <c r="E23" s="3" t="n">
        <v>2.68</v>
      </c>
      <c r="F23" s="3" t="n">
        <v>2.21</v>
      </c>
      <c r="G23" s="3">
        <f>F23-E23</f>
        <v/>
      </c>
      <c r="H23" s="4">
        <f>IF(E23=0,"",F23/E23-1)</f>
        <v/>
      </c>
      <c r="I23" t="inlineStr"/>
    </row>
    <row r="24">
      <c r="A24" t="inlineStr">
        <is>
          <t>Petroleum &amp; energy</t>
        </is>
      </c>
      <c r="B24" t="inlineStr">
        <is>
          <t>27</t>
        </is>
      </c>
      <c r="C24" t="inlineStr">
        <is>
          <t>27150090</t>
        </is>
      </c>
      <c r="D24" t="inlineStr">
        <is>
          <t>OTHER BITMNS MXTRS BASED ON MNRL TAR/PITCH</t>
        </is>
      </c>
      <c r="E24" s="3" t="n">
        <v>0.12</v>
      </c>
      <c r="F24" s="3" t="n">
        <v>1.67</v>
      </c>
      <c r="G24" s="3">
        <f>F24-E24</f>
        <v/>
      </c>
      <c r="H24" s="4">
        <f>IF(E24=0,"",F24/E24-1)</f>
        <v/>
      </c>
      <c r="I24" t="inlineStr"/>
    </row>
    <row r="25">
      <c r="A25" t="inlineStr">
        <is>
          <t>Petroleum &amp; energy</t>
        </is>
      </c>
      <c r="B25" t="inlineStr">
        <is>
          <t>27</t>
        </is>
      </c>
      <c r="C25" t="inlineStr">
        <is>
          <t>27081010</t>
        </is>
      </c>
      <c r="D25" t="inlineStr">
        <is>
          <t>OBTAINED BY BLENDING WITH CREOSOTE OIL OR OTHER COAL TAR DISTILLATES</t>
        </is>
      </c>
      <c r="E25" s="3" t="n">
        <v>0.17</v>
      </c>
      <c r="F25" s="3" t="n">
        <v>1.32</v>
      </c>
      <c r="G25" s="3">
        <f>F25-E25</f>
        <v/>
      </c>
      <c r="H25" s="4">
        <f>IF(E25=0,"",F25/E25-1)</f>
        <v/>
      </c>
      <c r="I25" t="inlineStr"/>
    </row>
    <row r="26">
      <c r="A26" t="inlineStr">
        <is>
          <t>Petroleum &amp; energy</t>
        </is>
      </c>
      <c r="B26" t="inlineStr">
        <is>
          <t>27</t>
        </is>
      </c>
      <c r="C26" t="inlineStr">
        <is>
          <t>27101983</t>
        </is>
      </c>
      <c r="D26" t="inlineStr">
        <is>
          <t>HYDRAULIC OIL CONFORMING TO STANDARD IS 3098 OR IS 11656</t>
        </is>
      </c>
      <c r="E26" s="3" t="n">
        <v>0.48</v>
      </c>
      <c r="F26" s="3" t="n">
        <v>0.89</v>
      </c>
      <c r="G26" s="3">
        <f>F26-E26</f>
        <v/>
      </c>
      <c r="H26" s="4">
        <f>IF(E26=0,"",F26/E26-1)</f>
        <v/>
      </c>
      <c r="I26" t="inlineStr"/>
    </row>
    <row r="27">
      <c r="A27" t="inlineStr">
        <is>
          <t>Petroleum &amp; energy</t>
        </is>
      </c>
      <c r="B27" t="inlineStr">
        <is>
          <t>27</t>
        </is>
      </c>
      <c r="C27" t="inlineStr">
        <is>
          <t>27079900</t>
        </is>
      </c>
      <c r="D27" t="inlineStr">
        <is>
          <t>OTHER OIL AND OIL PRODCTS OF DISTILATION OF HIGH TEMP. COAL TAR, ETC.</t>
        </is>
      </c>
      <c r="E27" s="3" t="n">
        <v>0</v>
      </c>
      <c r="F27" s="3" t="n">
        <v>0.59</v>
      </c>
      <c r="G27" s="3">
        <f>F27-E27</f>
        <v/>
      </c>
      <c r="H27" s="4">
        <f>IF(E27=0,"",F27/E27-1)</f>
        <v/>
      </c>
      <c r="I27" t="inlineStr"/>
    </row>
    <row r="28">
      <c r="A28" t="inlineStr">
        <is>
          <t>Petroleum &amp; energy</t>
        </is>
      </c>
      <c r="B28" t="inlineStr">
        <is>
          <t>27</t>
        </is>
      </c>
      <c r="C28" t="inlineStr">
        <is>
          <t>27081090</t>
        </is>
      </c>
      <c r="D28" t="inlineStr">
        <is>
          <t>OTHER PITCH AND PITCH COKE OBTAIND FROM COALTAR/OTHER MNRL TARS</t>
        </is>
      </c>
      <c r="E28" s="3" t="n">
        <v>0.17</v>
      </c>
      <c r="F28" s="3" t="n">
        <v>0.43</v>
      </c>
      <c r="G28" s="3">
        <f>F28-E28</f>
        <v/>
      </c>
      <c r="H28" s="4">
        <f>IF(E28=0,"",F28/E28-1)</f>
        <v/>
      </c>
      <c r="I28" t="inlineStr"/>
    </row>
    <row r="29">
      <c r="A29" t="inlineStr">
        <is>
          <t>Petroleum &amp; energy</t>
        </is>
      </c>
      <c r="B29" t="inlineStr">
        <is>
          <t>27</t>
        </is>
      </c>
      <c r="C29" t="inlineStr">
        <is>
          <t>27101939</t>
        </is>
      </c>
      <c r="D29" t="inlineStr">
        <is>
          <t>AVIATION TURBINE FUELS, KEROSENE TYPE CONFORMING TO STANDARD IS 1571</t>
        </is>
      </c>
      <c r="E29" s="3" t="n">
        <v>0.09</v>
      </c>
      <c r="F29" s="3" t="n">
        <v>0.38</v>
      </c>
      <c r="G29" s="3">
        <f>F29-E29</f>
        <v/>
      </c>
      <c r="H29" s="4">
        <f>IF(E29=0,"",F29/E29-1)</f>
        <v/>
      </c>
      <c r="I29" t="inlineStr"/>
    </row>
    <row r="30">
      <c r="A30" t="inlineStr">
        <is>
          <t>Petroleum &amp; energy</t>
        </is>
      </c>
      <c r="B30" t="inlineStr">
        <is>
          <t>27</t>
        </is>
      </c>
      <c r="C30" t="inlineStr">
        <is>
          <t>27121090</t>
        </is>
      </c>
      <c r="D30" t="inlineStr">
        <is>
          <t>OTHER PETROLEUM JELLY</t>
        </is>
      </c>
      <c r="E30" s="3" t="n">
        <v>0.21</v>
      </c>
      <c r="F30" s="3" t="n">
        <v>0.31</v>
      </c>
      <c r="G30" s="3">
        <f>F30-E30</f>
        <v/>
      </c>
      <c r="H30" s="4">
        <f>IF(E30=0,"",F30/E30-1)</f>
        <v/>
      </c>
      <c r="I30" t="inlineStr"/>
    </row>
    <row r="31">
      <c r="A31" t="inlineStr">
        <is>
          <t>Petroleum &amp; energy</t>
        </is>
      </c>
      <c r="B31" t="inlineStr">
        <is>
          <t>27</t>
        </is>
      </c>
      <c r="C31" t="inlineStr">
        <is>
          <t>27101974</t>
        </is>
      </c>
      <c r="D31" t="inlineStr">
        <is>
          <t>INDUSTRIAL GEAR OIL CONFORMING TO STANDARD IS 1118</t>
        </is>
      </c>
      <c r="E31" s="3" t="n">
        <v>0.53</v>
      </c>
      <c r="F31" s="3" t="n">
        <v>0.3</v>
      </c>
      <c r="G31" s="3">
        <f>F31-E31</f>
        <v/>
      </c>
      <c r="H31" s="4">
        <f>IF(E31=0,"",F31/E31-1)</f>
        <v/>
      </c>
      <c r="I31" t="inlineStr"/>
    </row>
    <row r="32">
      <c r="A32" t="inlineStr">
        <is>
          <t>Petroleum &amp; energy</t>
        </is>
      </c>
      <c r="B32" t="inlineStr">
        <is>
          <t>27</t>
        </is>
      </c>
      <c r="C32" t="inlineStr">
        <is>
          <t>27101981</t>
        </is>
      </c>
      <c r="D32" t="inlineStr">
        <is>
          <t>CUTTING OIL CONFORMING TO STANDARD IS 1115</t>
        </is>
      </c>
      <c r="E32" s="3" t="n">
        <v>0</v>
      </c>
      <c r="F32" s="3" t="n">
        <v>0.18</v>
      </c>
      <c r="G32" s="3">
        <f>F32-E32</f>
        <v/>
      </c>
      <c r="H32" s="4">
        <f>IF(E32=0,"",F32/E32-1)</f>
        <v/>
      </c>
      <c r="I32" t="inlineStr"/>
    </row>
    <row r="33">
      <c r="A33" t="inlineStr">
        <is>
          <t>Petroleum &amp; energy</t>
        </is>
      </c>
      <c r="B33" t="inlineStr">
        <is>
          <t>27</t>
        </is>
      </c>
      <c r="C33" t="inlineStr">
        <is>
          <t>27101975</t>
        </is>
      </c>
      <c r="D33" t="inlineStr">
        <is>
          <t>INDUSTRIAL GEAR OIL CONFORMING TO STANDARD IS 8406</t>
        </is>
      </c>
      <c r="E33" s="3" t="n">
        <v>0.62</v>
      </c>
      <c r="F33" s="3" t="n">
        <v>0.15</v>
      </c>
      <c r="G33" s="3">
        <f>F33-E33</f>
        <v/>
      </c>
      <c r="H33" s="4">
        <f>IF(E33=0,"",F33/E33-1)</f>
        <v/>
      </c>
      <c r="I33" t="inlineStr"/>
    </row>
    <row r="34">
      <c r="A34" t="inlineStr">
        <is>
          <t>Petroleum &amp; energy</t>
        </is>
      </c>
      <c r="B34" t="inlineStr">
        <is>
          <t>27</t>
        </is>
      </c>
      <c r="C34" t="inlineStr">
        <is>
          <t>27101973</t>
        </is>
      </c>
      <c r="D34" t="inlineStr">
        <is>
          <t>ENGINE OIL CONFORMING TO STANDARD IS 14234</t>
        </is>
      </c>
      <c r="E34" s="3" t="n">
        <v>0.13</v>
      </c>
      <c r="F34" s="3" t="n">
        <v>0.14</v>
      </c>
      <c r="G34" s="3">
        <f>F34-E34</f>
        <v/>
      </c>
      <c r="H34" s="4">
        <f>IF(E34=0,"",F34/E34-1)</f>
        <v/>
      </c>
      <c r="I34" t="inlineStr"/>
    </row>
    <row r="35">
      <c r="A35" t="inlineStr">
        <is>
          <t>Petroleum &amp; energy</t>
        </is>
      </c>
      <c r="B35" t="inlineStr">
        <is>
          <t>27</t>
        </is>
      </c>
      <c r="C35" t="inlineStr">
        <is>
          <t>27131210</t>
        </is>
      </c>
      <c r="D35" t="inlineStr">
        <is>
          <t>CALCINED PETROLEUM COKE FOR ANODE MAKING IN ALUMINIUM INDUSTRY CONFORMING TO STANDARD IS 17049</t>
        </is>
      </c>
      <c r="E35" s="3" t="n">
        <v>0.07000000000000001</v>
      </c>
      <c r="F35" s="3" t="n">
        <v>0.11</v>
      </c>
      <c r="G35" s="3">
        <f>F35-E35</f>
        <v/>
      </c>
      <c r="H35" s="4">
        <f>IF(E35=0,"",F35/E35-1)</f>
        <v/>
      </c>
      <c r="I35" t="inlineStr"/>
    </row>
    <row r="36">
      <c r="A36" t="inlineStr">
        <is>
          <t>Petroleum &amp; energy</t>
        </is>
      </c>
      <c r="B36" t="inlineStr">
        <is>
          <t>27</t>
        </is>
      </c>
      <c r="C36" t="inlineStr">
        <is>
          <t>27149010</t>
        </is>
      </c>
      <c r="D36" t="inlineStr">
        <is>
          <t>ASPHALT NATURAL</t>
        </is>
      </c>
      <c r="E36" s="3" t="n">
        <v>0.01</v>
      </c>
      <c r="F36" s="3" t="n">
        <v>0.11</v>
      </c>
      <c r="G36" s="3">
        <f>F36-E36</f>
        <v/>
      </c>
      <c r="H36" s="4">
        <f>IF(E36=0,"",F36/E36-1)</f>
        <v/>
      </c>
      <c r="I36" t="inlineStr"/>
    </row>
    <row r="37">
      <c r="A37" t="inlineStr">
        <is>
          <t>Petroleum &amp; energy</t>
        </is>
      </c>
      <c r="B37" t="inlineStr">
        <is>
          <t>27</t>
        </is>
      </c>
      <c r="C37" t="inlineStr">
        <is>
          <t>27101986</t>
        </is>
      </c>
      <c r="D37" t="inlineStr">
        <is>
          <t>MINERAL OIL FOR COSMETIC INDUSTRY CONFORMING TO STANDARD IS 7299</t>
        </is>
      </c>
      <c r="E37" s="3" t="n">
        <v>0.03</v>
      </c>
      <c r="F37" s="3" t="n">
        <v>0.09</v>
      </c>
      <c r="G37" s="3">
        <f>F37-E37</f>
        <v/>
      </c>
      <c r="H37" s="4">
        <f>IF(E37=0,"",F37/E37-1)</f>
        <v/>
      </c>
      <c r="I37" t="inlineStr"/>
    </row>
    <row r="38">
      <c r="A38" t="inlineStr">
        <is>
          <t>Petroleum &amp; energy</t>
        </is>
      </c>
      <c r="B38" t="inlineStr">
        <is>
          <t>27</t>
        </is>
      </c>
      <c r="C38" t="inlineStr">
        <is>
          <t>27129090</t>
        </is>
      </c>
      <c r="D38" t="inlineStr">
        <is>
          <t>OTHER WAXES OBTAINED BY SYNTHESIS/OTHER PROCESS W/N COLOURED NES</t>
        </is>
      </c>
      <c r="E38" s="3" t="n">
        <v>0.09</v>
      </c>
      <c r="F38" s="3" t="n">
        <v>0.06</v>
      </c>
      <c r="G38" s="3">
        <f>F38-E38</f>
        <v/>
      </c>
      <c r="H38" s="4">
        <f>IF(E38=0,"",F38/E38-1)</f>
        <v/>
      </c>
      <c r="I38" t="inlineStr"/>
    </row>
    <row r="39">
      <c r="A39" t="inlineStr">
        <is>
          <t>Petroleum &amp; energy</t>
        </is>
      </c>
      <c r="B39" t="inlineStr">
        <is>
          <t>27</t>
        </is>
      </c>
      <c r="C39" t="inlineStr">
        <is>
          <t>27101978</t>
        </is>
      </c>
      <c r="D39" t="inlineStr">
        <is>
          <t>OTHER LUBRICATING OIL, CONFORMING TO ANY OTHER BIS STANDARD</t>
        </is>
      </c>
      <c r="E39" s="3" t="n">
        <v>0.12</v>
      </c>
      <c r="F39" s="3" t="n">
        <v>0.04</v>
      </c>
      <c r="G39" s="3">
        <f>F39-E39</f>
        <v/>
      </c>
      <c r="H39" s="4">
        <f>IF(E39=0,"",F39/E39-1)</f>
        <v/>
      </c>
      <c r="I39" t="inlineStr"/>
    </row>
    <row r="40">
      <c r="A40" t="inlineStr">
        <is>
          <t>Petroleum &amp; energy</t>
        </is>
      </c>
      <c r="B40" t="inlineStr">
        <is>
          <t>27</t>
        </is>
      </c>
      <c r="C40" t="inlineStr">
        <is>
          <t>27101920</t>
        </is>
      </c>
      <c r="D40" t="inlineStr">
        <is>
          <t>AVIATION TURBINE FUEL (ATF)</t>
        </is>
      </c>
      <c r="E40" s="3" t="n">
        <v>0</v>
      </c>
      <c r="F40" s="3" t="n">
        <v>0.02</v>
      </c>
      <c r="G40" s="3">
        <f>F40-E40</f>
        <v/>
      </c>
      <c r="H40" s="4">
        <f>IF(E40=0,"",F40/E40-1)</f>
        <v/>
      </c>
      <c r="I40" t="inlineStr"/>
    </row>
    <row r="41">
      <c r="A41" t="inlineStr">
        <is>
          <t>Petroleum &amp; energy</t>
        </is>
      </c>
      <c r="B41" t="inlineStr">
        <is>
          <t>27</t>
        </is>
      </c>
      <c r="C41" t="inlineStr">
        <is>
          <t>27101239</t>
        </is>
      </c>
      <c r="D41" t="inlineStr">
        <is>
          <t>SOLVENT 145/205</t>
        </is>
      </c>
      <c r="E41" s="3" t="n">
        <v>0</v>
      </c>
      <c r="F41" s="3" t="n">
        <v>0.01</v>
      </c>
      <c r="G41" s="3">
        <f>F41-E41</f>
        <v/>
      </c>
      <c r="H41" s="4">
        <f>IF(E41=0,"",F41/E41-1)</f>
        <v/>
      </c>
      <c r="I41" t="inlineStr"/>
    </row>
    <row r="42">
      <c r="A42" t="inlineStr">
        <is>
          <t>Petroleum &amp; energy</t>
        </is>
      </c>
      <c r="B42" t="inlineStr">
        <is>
          <t>27</t>
        </is>
      </c>
      <c r="C42" t="inlineStr">
        <is>
          <t>27111400</t>
        </is>
      </c>
      <c r="D42" t="inlineStr">
        <is>
          <t>LQFD ETHYLNE PROPYLENE BUTYLENE AND BUTADENE</t>
        </is>
      </c>
      <c r="E42" s="3" t="n">
        <v>0</v>
      </c>
      <c r="F42" s="3" t="n">
        <v>0.01</v>
      </c>
      <c r="G42" s="3">
        <f>F42-E42</f>
        <v/>
      </c>
      <c r="H42" s="4">
        <f>IF(E42=0,"",F42/E42-1)</f>
        <v/>
      </c>
      <c r="I42" t="inlineStr"/>
    </row>
    <row r="43">
      <c r="A43" t="inlineStr">
        <is>
          <t>Petroleum &amp; energy</t>
        </is>
      </c>
      <c r="B43" t="inlineStr">
        <is>
          <t>27</t>
        </is>
      </c>
      <c r="C43" t="inlineStr">
        <is>
          <t>27131290</t>
        </is>
      </c>
      <c r="D43" t="inlineStr">
        <is>
          <t>OTHERS-OF-PETROLEUM COKE CALCINED</t>
        </is>
      </c>
      <c r="E43" s="3" t="n">
        <v>0.1</v>
      </c>
      <c r="F43" s="3" t="n">
        <v>0.01</v>
      </c>
      <c r="G43" s="3">
        <f>F43-E43</f>
        <v/>
      </c>
      <c r="H43" s="4">
        <f>IF(E43=0,"",F43/E43-1)</f>
        <v/>
      </c>
      <c r="I43" t="inlineStr"/>
    </row>
    <row r="44">
      <c r="A44" t="inlineStr">
        <is>
          <t>Petroleum &amp; energy</t>
        </is>
      </c>
      <c r="B44" t="inlineStr">
        <is>
          <t>27</t>
        </is>
      </c>
      <c r="C44" t="inlineStr">
        <is>
          <t>27040030</t>
        </is>
      </c>
      <c r="D44" t="inlineStr">
        <is>
          <t>HARD COKE OF COAL</t>
        </is>
      </c>
      <c r="E44" s="3" t="n">
        <v>0</v>
      </c>
      <c r="F44" s="3" t="n">
        <v>0</v>
      </c>
      <c r="G44" s="3">
        <f>F44-E44</f>
        <v/>
      </c>
      <c r="H44" s="4">
        <f>IF(E44=0,"",F44/E44-1)</f>
        <v/>
      </c>
      <c r="I44" t="inlineStr"/>
    </row>
    <row r="45">
      <c r="A45" t="inlineStr">
        <is>
          <t>Petroleum &amp; energy</t>
        </is>
      </c>
      <c r="B45" t="inlineStr">
        <is>
          <t>27</t>
        </is>
      </c>
      <c r="C45" t="inlineStr">
        <is>
          <t>27073000</t>
        </is>
      </c>
      <c r="D45" t="inlineStr">
        <is>
          <t>XYLOLE (XYLENES)</t>
        </is>
      </c>
      <c r="E45" s="3" t="n">
        <v>1.11</v>
      </c>
      <c r="F45" s="3" t="n">
        <v>0</v>
      </c>
      <c r="G45" s="3">
        <f>F45-E45</f>
        <v/>
      </c>
      <c r="H45" s="4">
        <f>IF(E45=0,"",F45/E45-1)</f>
        <v/>
      </c>
      <c r="I45" t="inlineStr"/>
    </row>
    <row r="46">
      <c r="A46" t="inlineStr">
        <is>
          <t>Petroleum &amp; energy</t>
        </is>
      </c>
      <c r="B46" t="inlineStr">
        <is>
          <t>27</t>
        </is>
      </c>
      <c r="C46" t="inlineStr">
        <is>
          <t>27101944</t>
        </is>
      </c>
      <c r="D46" t="inlineStr">
        <is>
          <t>AUTOMOTIVE DIESEL FUEL, NOT CONTAINING BIODIESEL, CONFORMING TO STANDARD IS 1460</t>
        </is>
      </c>
      <c r="E46" s="3" t="n">
        <v>387.47</v>
      </c>
      <c r="F46" s="3" t="n">
        <v>0</v>
      </c>
      <c r="G46" s="3">
        <f>F46-E46</f>
        <v/>
      </c>
      <c r="H46" s="4">
        <f>IF(E46=0,"",F46/E46-1)</f>
        <v/>
      </c>
      <c r="I46" t="inlineStr"/>
    </row>
    <row r="47">
      <c r="A47" t="inlineStr">
        <is>
          <t>Petroleum &amp; energy</t>
        </is>
      </c>
      <c r="B47" t="inlineStr">
        <is>
          <t>27</t>
        </is>
      </c>
      <c r="C47" t="inlineStr">
        <is>
          <t>27101952</t>
        </is>
      </c>
      <c r="D47" t="inlineStr">
        <is>
          <t>GRADE MV1</t>
        </is>
      </c>
      <c r="E47" s="3" t="n">
        <v>11.5</v>
      </c>
      <c r="F47" s="3" t="n">
        <v>0</v>
      </c>
      <c r="G47" s="3">
        <f>F47-E47</f>
        <v/>
      </c>
      <c r="H47" s="4">
        <f>IF(E47=0,"",F47/E47-1)</f>
        <v/>
      </c>
      <c r="I47" t="inlineStr"/>
    </row>
    <row r="48">
      <c r="A48" t="inlineStr">
        <is>
          <t>Petroleum &amp; energy</t>
        </is>
      </c>
      <c r="B48" t="inlineStr">
        <is>
          <t>27</t>
        </is>
      </c>
      <c r="C48" t="inlineStr">
        <is>
          <t>27101969</t>
        </is>
      </c>
      <c r="D48" t="inlineStr">
        <is>
          <t>RESIDUAL OIL</t>
        </is>
      </c>
      <c r="E48" s="3" t="n">
        <v>3.86</v>
      </c>
      <c r="F48" s="3" t="n">
        <v>0</v>
      </c>
      <c r="G48" s="3">
        <f>F48-E48</f>
        <v/>
      </c>
      <c r="H48" s="4">
        <f>IF(E48=0,"",F48/E48-1)</f>
        <v/>
      </c>
      <c r="I48" t="inlineStr"/>
    </row>
    <row r="49">
      <c r="A49" t="inlineStr">
        <is>
          <t>Petroleum &amp; energy</t>
        </is>
      </c>
      <c r="B49" t="inlineStr">
        <is>
          <t>27</t>
        </is>
      </c>
      <c r="C49" t="inlineStr">
        <is>
          <t>27101971</t>
        </is>
      </c>
      <c r="D49" t="inlineStr">
        <is>
          <t>BASE OIL</t>
        </is>
      </c>
      <c r="E49" s="3" t="n">
        <v>0.04</v>
      </c>
      <c r="F49" s="3" t="n">
        <v>0</v>
      </c>
      <c r="G49" s="3">
        <f>F49-E49</f>
        <v/>
      </c>
      <c r="H49" s="4">
        <f>IF(E49=0,"",F49/E49-1)</f>
        <v/>
      </c>
      <c r="I49" t="inlineStr"/>
    </row>
    <row r="50">
      <c r="A50" t="inlineStr">
        <is>
          <t>Petroleum &amp; energy</t>
        </is>
      </c>
      <c r="B50" t="inlineStr">
        <is>
          <t>27</t>
        </is>
      </c>
      <c r="C50" t="inlineStr">
        <is>
          <t>27101982</t>
        </is>
      </c>
      <c r="D50" t="inlineStr">
        <is>
          <t>CUTTING OIL (NEAT) CONFORMING TO STANDARD IS 3065</t>
        </is>
      </c>
      <c r="E50" s="3" t="n">
        <v>0.03</v>
      </c>
      <c r="F50" s="3" t="n">
        <v>0</v>
      </c>
      <c r="G50" s="3">
        <f>F50-E50</f>
        <v/>
      </c>
      <c r="H50" s="4">
        <f>IF(E50=0,"",F50/E50-1)</f>
        <v/>
      </c>
      <c r="I50" t="inlineStr"/>
    </row>
    <row r="51">
      <c r="A51" t="inlineStr">
        <is>
          <t>Petroleum &amp; energy</t>
        </is>
      </c>
      <c r="B51" t="inlineStr">
        <is>
          <t>27</t>
        </is>
      </c>
      <c r="C51" t="inlineStr">
        <is>
          <t>27101985</t>
        </is>
      </c>
      <c r="D51" t="inlineStr">
        <is>
          <t>INSULATING OIL FOR TRANSFORMER AND CIRCUIT- BREAKER (TRANSFORMER AND CIRCUIT-BREAKER OILS)</t>
        </is>
      </c>
      <c r="E51" s="3" t="n">
        <v>0.01</v>
      </c>
      <c r="F51" s="3" t="n">
        <v>0</v>
      </c>
      <c r="G51" s="3">
        <f>F51-E51</f>
        <v/>
      </c>
      <c r="H51" s="4">
        <f>IF(E51=0,"",F51/E51-1)</f>
        <v/>
      </c>
      <c r="I51" t="inlineStr"/>
    </row>
    <row r="52">
      <c r="A52" t="inlineStr">
        <is>
          <t>Petroleum &amp; energy</t>
        </is>
      </c>
      <c r="B52" t="inlineStr">
        <is>
          <t>27</t>
        </is>
      </c>
      <c r="C52" t="inlineStr">
        <is>
          <t>27109900</t>
        </is>
      </c>
      <c r="D52" t="inlineStr">
        <is>
          <t>OTHER WASTE OIL</t>
        </is>
      </c>
      <c r="E52" s="3" t="n">
        <v>0.05</v>
      </c>
      <c r="F52" s="3" t="n">
        <v>0</v>
      </c>
      <c r="G52" s="3">
        <f>F52-E52</f>
        <v/>
      </c>
      <c r="H52" s="4">
        <f>IF(E52=0,"",F52/E52-1)</f>
        <v/>
      </c>
      <c r="I52" t="inlineStr"/>
    </row>
    <row r="53">
      <c r="A53" t="inlineStr">
        <is>
          <t>Petroleum &amp; energy</t>
        </is>
      </c>
      <c r="B53" t="inlineStr">
        <is>
          <t>27</t>
        </is>
      </c>
      <c r="C53" t="inlineStr">
        <is>
          <t>27112900</t>
        </is>
      </c>
      <c r="D53" t="inlineStr">
        <is>
          <t>OTHER PETROLEUM GASES AND OTHER GASEOUS HYDROCARBONS IN THE GASEOUS STATE NES</t>
        </is>
      </c>
      <c r="E53" s="3" t="n">
        <v>0.01</v>
      </c>
      <c r="F53" s="3" t="n">
        <v>0</v>
      </c>
      <c r="G53" s="3">
        <f>F53-E53</f>
        <v/>
      </c>
      <c r="H53" s="4">
        <f>IF(E53=0,"",F53/E53-1)</f>
        <v/>
      </c>
      <c r="I53" t="inlineStr"/>
    </row>
    <row r="54">
      <c r="A54" t="inlineStr">
        <is>
          <t>Petroleum &amp; energy</t>
        </is>
      </c>
      <c r="B54" t="inlineStr">
        <is>
          <t>27</t>
        </is>
      </c>
      <c r="C54" t="inlineStr">
        <is>
          <t>27122000</t>
        </is>
      </c>
      <c r="D54" t="inlineStr">
        <is>
          <t>PARAFFIN WAX CONTAINING BY WEIGHT LESS THAN 0.75 % OF OIL:</t>
        </is>
      </c>
      <c r="E54" s="3" t="n">
        <v>0.01</v>
      </c>
      <c r="F54" s="3" t="n">
        <v>0</v>
      </c>
      <c r="G54" s="3">
        <f>F54-E54</f>
        <v/>
      </c>
      <c r="H54" s="4">
        <f>IF(E54=0,"",F54/E54-1)</f>
        <v/>
      </c>
      <c r="I54" t="inlineStr"/>
    </row>
    <row r="55">
      <c r="A55" t="inlineStr">
        <is>
          <t>Petroleum &amp; energy</t>
        </is>
      </c>
      <c r="B55" t="inlineStr">
        <is>
          <t>27</t>
        </is>
      </c>
      <c r="C55" t="inlineStr">
        <is>
          <t>27129040</t>
        </is>
      </c>
      <c r="D55" t="inlineStr">
        <is>
          <t>PARAFFIN WAX CONTAINING BY WEIGHT LESS THAN 0.75 % OF OIL</t>
        </is>
      </c>
      <c r="E55" s="3" t="n">
        <v>0</v>
      </c>
      <c r="F55" s="3" t="n">
        <v>0</v>
      </c>
      <c r="G55" s="3">
        <f>F55-E55</f>
        <v/>
      </c>
      <c r="H55" s="4">
        <f>IF(E55=0,"",F55/E55-1)</f>
        <v/>
      </c>
      <c r="I55" t="inlineStr"/>
    </row>
    <row r="56">
      <c r="A56" t="inlineStr">
        <is>
          <t>Petroleum &amp; energy</t>
        </is>
      </c>
      <c r="B56" t="inlineStr">
        <is>
          <t>27</t>
        </is>
      </c>
      <c r="C56" t="inlineStr">
        <is>
          <t>27149020</t>
        </is>
      </c>
      <c r="D56" t="inlineStr">
        <is>
          <t>BITUMEN NATURAL</t>
        </is>
      </c>
      <c r="E56" s="3" t="n">
        <v>0.01</v>
      </c>
      <c r="F56" s="3" t="n">
        <v>0</v>
      </c>
      <c r="G56" s="3">
        <f>F56-E56</f>
        <v/>
      </c>
      <c r="H56" s="4">
        <f>IF(E56=0,"",F56/E56-1)</f>
        <v/>
      </c>
      <c r="I56" t="inlineStr"/>
    </row>
    <row r="57">
      <c r="A57" s="6" t="inlineStr">
        <is>
          <t>Organic &amp; inorganic chemicals  —  524 lines</t>
        </is>
      </c>
      <c r="B57" s="6" t="inlineStr"/>
      <c r="C57" s="6" t="inlineStr"/>
      <c r="D57" s="6" t="inlineStr"/>
      <c r="E57" s="7" t="n">
        <v>2649.71</v>
      </c>
      <c r="F57" s="7" t="n">
        <v>3614.88</v>
      </c>
      <c r="G57" s="7" t="n">
        <v>965.17</v>
      </c>
      <c r="H57" s="8" t="n">
        <v>0.3642549562027508</v>
      </c>
      <c r="I57" s="6" t="inlineStr"/>
    </row>
    <row r="58">
      <c r="A58" t="inlineStr">
        <is>
          <t>Organic &amp; inorganic chemicals</t>
        </is>
      </c>
      <c r="B58" t="inlineStr">
        <is>
          <t>28</t>
        </is>
      </c>
      <c r="C58" t="inlineStr">
        <is>
          <t>28182011</t>
        </is>
      </c>
      <c r="D58" t="inlineStr">
        <is>
          <t>ALUMINA CALCINED, Metallurgical grade, conforming to IS 17441</t>
        </is>
      </c>
      <c r="E58" s="3" t="n">
        <v>1819.85</v>
      </c>
      <c r="F58" s="3" t="n">
        <v>3074.7</v>
      </c>
      <c r="G58" s="3">
        <f>F58-E58</f>
        <v/>
      </c>
      <c r="H58" s="4">
        <f>IF(E58=0,"",F58/E58-1)</f>
        <v/>
      </c>
      <c r="I58" t="inlineStr"/>
    </row>
    <row r="59">
      <c r="A59" t="inlineStr">
        <is>
          <t>Organic &amp; inorganic chemicals</t>
        </is>
      </c>
      <c r="B59" t="inlineStr">
        <is>
          <t>29</t>
        </is>
      </c>
      <c r="C59" t="inlineStr">
        <is>
          <t>29091910</t>
        </is>
      </c>
      <c r="D59" t="inlineStr">
        <is>
          <t>TERTIARY AMYL METHYL ETHER</t>
        </is>
      </c>
      <c r="E59" s="3" t="n">
        <v>68.66</v>
      </c>
      <c r="F59" s="3" t="n">
        <v>59.69</v>
      </c>
      <c r="G59" s="3">
        <f>F59-E59</f>
        <v/>
      </c>
      <c r="H59" s="4">
        <f>IF(E59=0,"",F59/E59-1)</f>
        <v/>
      </c>
      <c r="I59" t="inlineStr"/>
    </row>
    <row r="60">
      <c r="A60" t="inlineStr">
        <is>
          <t>Organic &amp; inorganic chemicals</t>
        </is>
      </c>
      <c r="B60" t="inlineStr">
        <is>
          <t>28</t>
        </is>
      </c>
      <c r="C60" t="inlineStr">
        <is>
          <t>28272000</t>
        </is>
      </c>
      <c r="D60" t="inlineStr">
        <is>
          <t>CALCIUM CHLORIDE</t>
        </is>
      </c>
      <c r="E60" s="3" t="n">
        <v>33.58</v>
      </c>
      <c r="F60" s="3" t="n">
        <v>32.85</v>
      </c>
      <c r="G60" s="3">
        <f>F60-E60</f>
        <v/>
      </c>
      <c r="H60" s="4">
        <f>IF(E60=0,"",F60/E60-1)</f>
        <v/>
      </c>
      <c r="I60" t="inlineStr"/>
    </row>
    <row r="61">
      <c r="A61" t="inlineStr">
        <is>
          <t>Organic &amp; inorganic chemicals</t>
        </is>
      </c>
      <c r="B61" t="inlineStr">
        <is>
          <t>29</t>
        </is>
      </c>
      <c r="C61" t="inlineStr">
        <is>
          <t>29333990</t>
        </is>
      </c>
      <c r="D61" t="inlineStr">
        <is>
          <t>*OTHER CMPNDS CNTNG AN UNFUSED PYRDN RING (W/N HYDRGNTD ) IN STRUCTURE</t>
        </is>
      </c>
      <c r="E61" s="3" t="n">
        <v>21.66</v>
      </c>
      <c r="F61" s="3" t="n">
        <v>30.09</v>
      </c>
      <c r="G61" s="3">
        <f>F61-E61</f>
        <v/>
      </c>
      <c r="H61" s="4">
        <f>IF(E61=0,"",F61/E61-1)</f>
        <v/>
      </c>
      <c r="I61" t="inlineStr"/>
    </row>
    <row r="62">
      <c r="A62" t="inlineStr">
        <is>
          <t>Organic &amp; inorganic chemicals</t>
        </is>
      </c>
      <c r="B62" t="inlineStr">
        <is>
          <t>29</t>
        </is>
      </c>
      <c r="C62" t="inlineStr">
        <is>
          <t>29420090</t>
        </is>
      </c>
      <c r="D62" t="inlineStr">
        <is>
          <t>OTHER DILOXANIDE FUROATE, CIMETIDINE, FAMOTIDINE NES</t>
        </is>
      </c>
      <c r="E62" s="3" t="n">
        <v>17.93</v>
      </c>
      <c r="F62" s="3" t="n">
        <v>24.17</v>
      </c>
      <c r="G62" s="3">
        <f>F62-E62</f>
        <v/>
      </c>
      <c r="H62" s="4">
        <f>IF(E62=0,"",F62/E62-1)</f>
        <v/>
      </c>
      <c r="I62" t="inlineStr"/>
    </row>
    <row r="63">
      <c r="A63" t="inlineStr">
        <is>
          <t>Organic &amp; inorganic chemicals</t>
        </is>
      </c>
      <c r="B63" t="inlineStr">
        <is>
          <t>29</t>
        </is>
      </c>
      <c r="C63" t="inlineStr">
        <is>
          <t>29214290</t>
        </is>
      </c>
      <c r="D63" t="inlineStr">
        <is>
          <t>OTHER AMINO SULPHONIC ANILINE ETC NES</t>
        </is>
      </c>
      <c r="E63" s="3" t="n">
        <v>72.87</v>
      </c>
      <c r="F63" s="3" t="n">
        <v>21.83</v>
      </c>
      <c r="G63" s="3">
        <f>F63-E63</f>
        <v/>
      </c>
      <c r="H63" s="4">
        <f>IF(E63=0,"",F63/E63-1)</f>
        <v/>
      </c>
      <c r="I63" t="inlineStr"/>
    </row>
    <row r="64">
      <c r="A64" t="inlineStr">
        <is>
          <t>Organic &amp; inorganic chemicals</t>
        </is>
      </c>
      <c r="B64" t="inlineStr">
        <is>
          <t>28</t>
        </is>
      </c>
      <c r="C64" t="inlineStr">
        <is>
          <t>28331100</t>
        </is>
      </c>
      <c r="D64" t="inlineStr">
        <is>
          <t>DISODIUM SULPHATE</t>
        </is>
      </c>
      <c r="E64" s="3" t="n">
        <v>19.83</v>
      </c>
      <c r="F64" s="3" t="n">
        <v>21.42</v>
      </c>
      <c r="G64" s="3">
        <f>F64-E64</f>
        <v/>
      </c>
      <c r="H64" s="4">
        <f>IF(E64=0,"",F64/E64-1)</f>
        <v/>
      </c>
      <c r="I64" t="inlineStr"/>
    </row>
    <row r="65">
      <c r="A65" t="inlineStr">
        <is>
          <t>Organic &amp; inorganic chemicals</t>
        </is>
      </c>
      <c r="B65" t="inlineStr">
        <is>
          <t>28</t>
        </is>
      </c>
      <c r="C65" t="inlineStr">
        <is>
          <t>28258000</t>
        </is>
      </c>
      <c r="D65" t="inlineStr">
        <is>
          <t>ANTIMONY OXIDES</t>
        </is>
      </c>
      <c r="E65" s="3" t="n">
        <v>9.119999999999999</v>
      </c>
      <c r="F65" s="3" t="n">
        <v>20.26</v>
      </c>
      <c r="G65" s="3">
        <f>F65-E65</f>
        <v/>
      </c>
      <c r="H65" s="4">
        <f>IF(E65=0,"",F65/E65-1)</f>
        <v/>
      </c>
      <c r="I65" t="inlineStr"/>
    </row>
    <row r="66">
      <c r="A66" t="inlineStr">
        <is>
          <t>Organic &amp; inorganic chemicals</t>
        </is>
      </c>
      <c r="B66" t="inlineStr">
        <is>
          <t>29</t>
        </is>
      </c>
      <c r="C66" t="inlineStr">
        <is>
          <t>29173400</t>
        </is>
      </c>
      <c r="D66" t="inlineStr">
        <is>
          <t>OTHER ESTERS OF ORTHOPHTHALIC ACID</t>
        </is>
      </c>
      <c r="E66" s="3" t="n">
        <v>17.15</v>
      </c>
      <c r="F66" s="3" t="n">
        <v>19.91</v>
      </c>
      <c r="G66" s="3">
        <f>F66-E66</f>
        <v/>
      </c>
      <c r="H66" s="4">
        <f>IF(E66=0,"",F66/E66-1)</f>
        <v/>
      </c>
      <c r="I66" t="inlineStr"/>
    </row>
    <row r="67">
      <c r="A67" t="inlineStr">
        <is>
          <t>Organic &amp; inorganic chemicals</t>
        </is>
      </c>
      <c r="B67" t="inlineStr">
        <is>
          <t>29</t>
        </is>
      </c>
      <c r="C67" t="inlineStr">
        <is>
          <t>29333929</t>
        </is>
      </c>
      <c r="D67" t="inlineStr">
        <is>
          <t>OTHERS-OF-OTHER : DERIVATIVES OF PYRIDINE :</t>
        </is>
      </c>
      <c r="E67" s="3" t="n">
        <v>27.91</v>
      </c>
      <c r="F67" s="3" t="n">
        <v>15.59</v>
      </c>
      <c r="G67" s="3">
        <f>F67-E67</f>
        <v/>
      </c>
      <c r="H67" s="4">
        <f>IF(E67=0,"",F67/E67-1)</f>
        <v/>
      </c>
      <c r="I67" t="inlineStr"/>
    </row>
    <row r="68">
      <c r="A68" t="inlineStr">
        <is>
          <t>Organic &amp; inorganic chemicals</t>
        </is>
      </c>
      <c r="B68" t="inlineStr">
        <is>
          <t>29</t>
        </is>
      </c>
      <c r="C68" t="inlineStr">
        <is>
          <t>29371900</t>
        </is>
      </c>
      <c r="D68" t="inlineStr">
        <is>
          <t>OTHER POLYPEPTIDE HORMONES THR DTVTVS AND STRCTL ANLGES</t>
        </is>
      </c>
      <c r="E68" s="3" t="n">
        <v>0</v>
      </c>
      <c r="F68" s="3" t="n">
        <v>15.56</v>
      </c>
      <c r="G68" s="3">
        <f>F68-E68</f>
        <v/>
      </c>
      <c r="H68" s="4">
        <f>IF(E68=0,"",F68/E68-1)</f>
        <v/>
      </c>
      <c r="I68" t="inlineStr"/>
    </row>
    <row r="69">
      <c r="A69" t="inlineStr">
        <is>
          <t>Organic &amp; inorganic chemicals</t>
        </is>
      </c>
      <c r="B69" t="inlineStr">
        <is>
          <t>29</t>
        </is>
      </c>
      <c r="C69" t="inlineStr">
        <is>
          <t>29419090</t>
        </is>
      </c>
      <c r="D69" t="inlineStr">
        <is>
          <t>OTHER ANTIBIOTICS</t>
        </is>
      </c>
      <c r="E69" s="3" t="n">
        <v>26.95</v>
      </c>
      <c r="F69" s="3" t="n">
        <v>12.83</v>
      </c>
      <c r="G69" s="3">
        <f>F69-E69</f>
        <v/>
      </c>
      <c r="H69" s="4">
        <f>IF(E69=0,"",F69/E69-1)</f>
        <v/>
      </c>
      <c r="I69" t="inlineStr"/>
    </row>
    <row r="70">
      <c r="A70" t="inlineStr">
        <is>
          <t>Organic &amp; inorganic chemicals</t>
        </is>
      </c>
      <c r="B70" t="inlineStr">
        <is>
          <t>29</t>
        </is>
      </c>
      <c r="C70" t="inlineStr">
        <is>
          <t>29173960</t>
        </is>
      </c>
      <c r="D70" t="inlineStr">
        <is>
          <t>ISOPHTHALIC ACID</t>
        </is>
      </c>
      <c r="E70" s="3" t="n">
        <v>0</v>
      </c>
      <c r="F70" s="3" t="n">
        <v>10.19</v>
      </c>
      <c r="G70" s="3">
        <f>F70-E70</f>
        <v/>
      </c>
      <c r="H70" s="4">
        <f>IF(E70=0,"",F70/E70-1)</f>
        <v/>
      </c>
      <c r="I70" t="inlineStr"/>
    </row>
    <row r="71">
      <c r="A71" t="inlineStr">
        <is>
          <t>Organic &amp; inorganic chemicals</t>
        </is>
      </c>
      <c r="B71" t="inlineStr">
        <is>
          <t>29</t>
        </is>
      </c>
      <c r="C71" t="inlineStr">
        <is>
          <t>29152100</t>
        </is>
      </c>
      <c r="D71" t="inlineStr">
        <is>
          <t>ACETIC ACID</t>
        </is>
      </c>
      <c r="E71" s="3" t="n">
        <v>4.38</v>
      </c>
      <c r="F71" s="3" t="n">
        <v>9.35</v>
      </c>
      <c r="G71" s="3">
        <f>F71-E71</f>
        <v/>
      </c>
      <c r="H71" s="4">
        <f>IF(E71=0,"",F71/E71-1)</f>
        <v/>
      </c>
      <c r="I71" t="inlineStr"/>
    </row>
    <row r="72">
      <c r="A72" t="inlineStr">
        <is>
          <t>Organic &amp; inorganic chemicals</t>
        </is>
      </c>
      <c r="B72" t="inlineStr">
        <is>
          <t>29</t>
        </is>
      </c>
      <c r="C72" t="inlineStr">
        <is>
          <t>29349990</t>
        </is>
      </c>
      <c r="D72" t="inlineStr">
        <is>
          <t>OTHERS-OF-OTHER HETEROCYCLIC COMPOUNDS</t>
        </is>
      </c>
      <c r="E72" s="3" t="n">
        <v>6.83</v>
      </c>
      <c r="F72" s="3" t="n">
        <v>9.039999999999999</v>
      </c>
      <c r="G72" s="3">
        <f>F72-E72</f>
        <v/>
      </c>
      <c r="H72" s="4">
        <f>IF(E72=0,"",F72/E72-1)</f>
        <v/>
      </c>
      <c r="I72" t="inlineStr"/>
    </row>
    <row r="73">
      <c r="A73" t="inlineStr">
        <is>
          <t>Organic &amp; inorganic chemicals</t>
        </is>
      </c>
      <c r="B73" t="inlineStr">
        <is>
          <t>29</t>
        </is>
      </c>
      <c r="C73" t="inlineStr">
        <is>
          <t>29212990</t>
        </is>
      </c>
      <c r="D73" t="inlineStr">
        <is>
          <t>OTHER ACYLC PLYAMINS THR DRVTVS, SALTS THEREOF</t>
        </is>
      </c>
      <c r="E73" s="3" t="n">
        <v>7.04</v>
      </c>
      <c r="F73" s="3" t="n">
        <v>8.92</v>
      </c>
      <c r="G73" s="3">
        <f>F73-E73</f>
        <v/>
      </c>
      <c r="H73" s="4">
        <f>IF(E73=0,"",F73/E73-1)</f>
        <v/>
      </c>
      <c r="I73" t="inlineStr"/>
    </row>
    <row r="74">
      <c r="A74" t="inlineStr">
        <is>
          <t>Organic &amp; inorganic chemicals</t>
        </is>
      </c>
      <c r="B74" t="inlineStr">
        <is>
          <t>29</t>
        </is>
      </c>
      <c r="C74" t="inlineStr">
        <is>
          <t>29051490</t>
        </is>
      </c>
      <c r="D74" t="inlineStr">
        <is>
          <t>OTHER BUTANOLS</t>
        </is>
      </c>
      <c r="E74" s="3" t="n">
        <v>3.49</v>
      </c>
      <c r="F74" s="3" t="n">
        <v>7.93</v>
      </c>
      <c r="G74" s="3">
        <f>F74-E74</f>
        <v/>
      </c>
      <c r="H74" s="4">
        <f>IF(E74=0,"",F74/E74-1)</f>
        <v/>
      </c>
      <c r="I74" t="inlineStr"/>
    </row>
    <row r="75">
      <c r="A75" t="inlineStr">
        <is>
          <t>Organic &amp; inorganic chemicals</t>
        </is>
      </c>
      <c r="B75" t="inlineStr">
        <is>
          <t>29</t>
        </is>
      </c>
      <c r="C75" t="inlineStr">
        <is>
          <t>29335990</t>
        </is>
      </c>
      <c r="D75" t="inlineStr">
        <is>
          <t>OTHER CMPNDS CNTNG A PYRIMIDINE RING (W/N HYDRGNTD) OR PIPERAZINE RING IN STRUCTURE</t>
        </is>
      </c>
      <c r="E75" s="3" t="n">
        <v>1.16</v>
      </c>
      <c r="F75" s="3" t="n">
        <v>7.84</v>
      </c>
      <c r="G75" s="3">
        <f>F75-E75</f>
        <v/>
      </c>
      <c r="H75" s="4">
        <f>IF(E75=0,"",F75/E75-1)</f>
        <v/>
      </c>
      <c r="I75" t="inlineStr"/>
    </row>
    <row r="76">
      <c r="A76" t="inlineStr">
        <is>
          <t>Organic &amp; inorganic chemicals</t>
        </is>
      </c>
      <c r="B76" t="inlineStr">
        <is>
          <t>28</t>
        </is>
      </c>
      <c r="C76" t="inlineStr">
        <is>
          <t>28299020</t>
        </is>
      </c>
      <c r="D76" t="inlineStr">
        <is>
          <t>BROMATES AND PERBROMATES</t>
        </is>
      </c>
      <c r="E76" s="3" t="n">
        <v>6.69</v>
      </c>
      <c r="F76" s="3" t="n">
        <v>7.32</v>
      </c>
      <c r="G76" s="3">
        <f>F76-E76</f>
        <v/>
      </c>
      <c r="H76" s="4">
        <f>IF(E76=0,"",F76/E76-1)</f>
        <v/>
      </c>
      <c r="I76" t="inlineStr"/>
    </row>
    <row r="77">
      <c r="A77" t="inlineStr">
        <is>
          <t>Organic &amp; inorganic chemicals</t>
        </is>
      </c>
      <c r="B77" t="inlineStr">
        <is>
          <t>29</t>
        </is>
      </c>
      <c r="C77" t="inlineStr">
        <is>
          <t>29319090</t>
        </is>
      </c>
      <c r="D77" t="inlineStr">
        <is>
          <t>OTHER-OF-OTHER-OF-OTHER ORGANO-INORGANIC COMPOUNDS</t>
        </is>
      </c>
      <c r="E77" s="3" t="n">
        <v>7.07</v>
      </c>
      <c r="F77" s="3" t="n">
        <v>6.95</v>
      </c>
      <c r="G77" s="3">
        <f>F77-E77</f>
        <v/>
      </c>
      <c r="H77" s="4">
        <f>IF(E77=0,"",F77/E77-1)</f>
        <v/>
      </c>
      <c r="I77" t="inlineStr"/>
    </row>
    <row r="78">
      <c r="A78" t="inlineStr">
        <is>
          <t>Organic &amp; inorganic chemicals</t>
        </is>
      </c>
      <c r="B78" t="inlineStr">
        <is>
          <t>29</t>
        </is>
      </c>
      <c r="C78" t="inlineStr">
        <is>
          <t>29173990</t>
        </is>
      </c>
      <c r="D78" t="inlineStr">
        <is>
          <t>OTHER ARMTC PLYCRBOXYLIC ACIDS ETC.</t>
        </is>
      </c>
      <c r="E78" s="3" t="n">
        <v>4.57</v>
      </c>
      <c r="F78" s="3" t="n">
        <v>6.92</v>
      </c>
      <c r="G78" s="3">
        <f>F78-E78</f>
        <v/>
      </c>
      <c r="H78" s="4">
        <f>IF(E78=0,"",F78/E78-1)</f>
        <v/>
      </c>
      <c r="I78" t="inlineStr"/>
    </row>
    <row r="79">
      <c r="A79" t="inlineStr">
        <is>
          <t>Organic &amp; inorganic chemicals</t>
        </is>
      </c>
      <c r="B79" t="inlineStr">
        <is>
          <t>29</t>
        </is>
      </c>
      <c r="C79" t="inlineStr">
        <is>
          <t>29415000</t>
        </is>
      </c>
      <c r="D79" t="inlineStr">
        <is>
          <t>ERTHROMYCIN AND ITS DRVTVS SLTS THEREOF</t>
        </is>
      </c>
      <c r="E79" s="3" t="n">
        <v>5.44</v>
      </c>
      <c r="F79" s="3" t="n">
        <v>6.69</v>
      </c>
      <c r="G79" s="3">
        <f>F79-E79</f>
        <v/>
      </c>
      <c r="H79" s="4">
        <f>IF(E79=0,"",F79/E79-1)</f>
        <v/>
      </c>
      <c r="I79" t="inlineStr"/>
    </row>
    <row r="80">
      <c r="A80" t="inlineStr">
        <is>
          <t>Organic &amp; inorganic chemicals</t>
        </is>
      </c>
      <c r="B80" t="inlineStr">
        <is>
          <t>29</t>
        </is>
      </c>
      <c r="C80" t="inlineStr">
        <is>
          <t>29241900</t>
        </is>
      </c>
      <c r="D80" t="inlineStr">
        <is>
          <t>*OTHER ACYCLIC AMIDES AND THEIR DERIVTVS, SALTS</t>
        </is>
      </c>
      <c r="E80" s="3" t="n">
        <v>4.93</v>
      </c>
      <c r="F80" s="3" t="n">
        <v>6.46</v>
      </c>
      <c r="G80" s="3">
        <f>F80-E80</f>
        <v/>
      </c>
      <c r="H80" s="4">
        <f>IF(E80=0,"",F80/E80-1)</f>
        <v/>
      </c>
      <c r="I80" t="inlineStr"/>
    </row>
    <row r="81">
      <c r="A81" t="inlineStr">
        <is>
          <t>Organic &amp; inorganic chemicals</t>
        </is>
      </c>
      <c r="B81" t="inlineStr">
        <is>
          <t>28</t>
        </is>
      </c>
      <c r="C81" t="inlineStr">
        <is>
          <t>28051200</t>
        </is>
      </c>
      <c r="D81" t="inlineStr">
        <is>
          <t>CALCIUM</t>
        </is>
      </c>
      <c r="E81" s="3" t="n">
        <v>4.85</v>
      </c>
      <c r="F81" s="3" t="n">
        <v>6.19</v>
      </c>
      <c r="G81" s="3">
        <f>F81-E81</f>
        <v/>
      </c>
      <c r="H81" s="4">
        <f>IF(E81=0,"",F81/E81-1)</f>
        <v/>
      </c>
      <c r="I81" t="inlineStr"/>
    </row>
    <row r="82">
      <c r="A82" t="inlineStr">
        <is>
          <t>Organic &amp; inorganic chemicals</t>
        </is>
      </c>
      <c r="B82" t="inlineStr">
        <is>
          <t>29</t>
        </is>
      </c>
      <c r="C82" t="inlineStr">
        <is>
          <t>29339990</t>
        </is>
      </c>
      <c r="D82" t="inlineStr">
        <is>
          <t>OTHERS-OF-OTHER HETERDCYCLIC CMPNDS WITH NITROGEN HETRO ATOM (S) ONLY</t>
        </is>
      </c>
      <c r="E82" s="3" t="n">
        <v>7.92</v>
      </c>
      <c r="F82" s="3" t="n">
        <v>5.93</v>
      </c>
      <c r="G82" s="3">
        <f>F82-E82</f>
        <v/>
      </c>
      <c r="H82" s="4">
        <f>IF(E82=0,"",F82/E82-1)</f>
        <v/>
      </c>
      <c r="I82" t="inlineStr"/>
    </row>
    <row r="83">
      <c r="A83" t="inlineStr">
        <is>
          <t>Organic &amp; inorganic chemicals</t>
        </is>
      </c>
      <c r="B83" t="inlineStr">
        <is>
          <t>29</t>
        </is>
      </c>
      <c r="C83" t="inlineStr">
        <is>
          <t>29252990</t>
        </is>
      </c>
      <c r="D83" t="inlineStr">
        <is>
          <t>OTHER IMINES AND THEIR DERIVTVS, SALTS THEREOF</t>
        </is>
      </c>
      <c r="E83" s="3" t="n">
        <v>3.99</v>
      </c>
      <c r="F83" s="3" t="n">
        <v>5.28</v>
      </c>
      <c r="G83" s="3">
        <f>F83-E83</f>
        <v/>
      </c>
      <c r="H83" s="4">
        <f>IF(E83=0,"",F83/E83-1)</f>
        <v/>
      </c>
      <c r="I83" t="inlineStr"/>
    </row>
    <row r="84">
      <c r="A84" t="inlineStr">
        <is>
          <t>Organic &amp; inorganic chemicals</t>
        </is>
      </c>
      <c r="B84" t="inlineStr">
        <is>
          <t>29</t>
        </is>
      </c>
      <c r="C84" t="inlineStr">
        <is>
          <t>29225090</t>
        </is>
      </c>
      <c r="D84" t="inlineStr">
        <is>
          <t>OTHER FRUSEMIDE AMINODIAL DOMPERIDONE</t>
        </is>
      </c>
      <c r="E84" s="3" t="n">
        <v>8.33</v>
      </c>
      <c r="F84" s="3" t="n">
        <v>5.05</v>
      </c>
      <c r="G84" s="3">
        <f>F84-E84</f>
        <v/>
      </c>
      <c r="H84" s="4">
        <f>IF(E84=0,"",F84/E84-1)</f>
        <v/>
      </c>
      <c r="I84" t="inlineStr"/>
    </row>
    <row r="85">
      <c r="A85" t="inlineStr">
        <is>
          <t>Organic &amp; inorganic chemicals</t>
        </is>
      </c>
      <c r="B85" t="inlineStr">
        <is>
          <t>29</t>
        </is>
      </c>
      <c r="C85" t="inlineStr">
        <is>
          <t>29242980</t>
        </is>
      </c>
      <c r="D85" t="inlineStr">
        <is>
          <t>PARACETAMOL</t>
        </is>
      </c>
      <c r="E85" s="3" t="n">
        <v>0</v>
      </c>
      <c r="F85" s="3" t="n">
        <v>4.94</v>
      </c>
      <c r="G85" s="3">
        <f>F85-E85</f>
        <v/>
      </c>
      <c r="H85" s="4">
        <f>IF(E85=0,"",F85/E85-1)</f>
        <v/>
      </c>
      <c r="I85" t="inlineStr"/>
    </row>
    <row r="86">
      <c r="A86" t="inlineStr">
        <is>
          <t>Organic &amp; inorganic chemicals</t>
        </is>
      </c>
      <c r="B86" t="inlineStr">
        <is>
          <t>29</t>
        </is>
      </c>
      <c r="C86" t="inlineStr">
        <is>
          <t>29215990</t>
        </is>
      </c>
      <c r="D86" t="inlineStr">
        <is>
          <t>OTHER ARMTC PLYAMNS AND THR DRVTVS AND SLTS</t>
        </is>
      </c>
      <c r="E86" s="3" t="n">
        <v>2.03</v>
      </c>
      <c r="F86" s="3" t="n">
        <v>4.77</v>
      </c>
      <c r="G86" s="3">
        <f>F86-E86</f>
        <v/>
      </c>
      <c r="H86" s="4">
        <f>IF(E86=0,"",F86/E86-1)</f>
        <v/>
      </c>
      <c r="I86" t="inlineStr"/>
    </row>
    <row r="87">
      <c r="A87" t="inlineStr">
        <is>
          <t>Organic &amp; inorganic chemicals</t>
        </is>
      </c>
      <c r="B87" t="inlineStr">
        <is>
          <t>29</t>
        </is>
      </c>
      <c r="C87" t="inlineStr">
        <is>
          <t>29334900</t>
        </is>
      </c>
      <c r="D87" t="inlineStr">
        <is>
          <t>*OTHE CMPNDS CNTNG IN STRUCTURE A QUINOLINEOR ISOQUINOLINE RING SYSTEM (W/N HYDRGNTD),NOT FURTHER FUSED</t>
        </is>
      </c>
      <c r="E87" s="3" t="n">
        <v>2.09</v>
      </c>
      <c r="F87" s="3" t="n">
        <v>4.59</v>
      </c>
      <c r="G87" s="3">
        <f>F87-E87</f>
        <v/>
      </c>
      <c r="H87" s="4">
        <f>IF(E87=0,"",F87/E87-1)</f>
        <v/>
      </c>
      <c r="I87" t="inlineStr"/>
    </row>
    <row r="88">
      <c r="A88" t="inlineStr">
        <is>
          <t>Organic &amp; inorganic chemicals</t>
        </is>
      </c>
      <c r="B88" t="inlineStr">
        <is>
          <t>28</t>
        </is>
      </c>
      <c r="C88" t="inlineStr">
        <is>
          <t>28273990</t>
        </is>
      </c>
      <c r="D88" t="inlineStr">
        <is>
          <t>OTHER CHLORIDES, NES</t>
        </is>
      </c>
      <c r="E88" s="3" t="n">
        <v>4.93</v>
      </c>
      <c r="F88" s="3" t="n">
        <v>4.53</v>
      </c>
      <c r="G88" s="3">
        <f>F88-E88</f>
        <v/>
      </c>
      <c r="H88" s="4">
        <f>IF(E88=0,"",F88/E88-1)</f>
        <v/>
      </c>
      <c r="I88" t="inlineStr"/>
    </row>
    <row r="89">
      <c r="A89" t="inlineStr">
        <is>
          <t>Organic &amp; inorganic chemicals</t>
        </is>
      </c>
      <c r="B89" t="inlineStr">
        <is>
          <t>29</t>
        </is>
      </c>
      <c r="C89" t="inlineStr">
        <is>
          <t>29232010</t>
        </is>
      </c>
      <c r="D89" t="inlineStr">
        <is>
          <t>LECITHINS</t>
        </is>
      </c>
      <c r="E89" s="3" t="n">
        <v>11.39</v>
      </c>
      <c r="F89" s="3" t="n">
        <v>4.42</v>
      </c>
      <c r="G89" s="3">
        <f>F89-E89</f>
        <v/>
      </c>
      <c r="H89" s="4">
        <f>IF(E89=0,"",F89/E89-1)</f>
        <v/>
      </c>
      <c r="I89" t="inlineStr"/>
    </row>
    <row r="90">
      <c r="A90" t="inlineStr">
        <is>
          <t>Organic &amp; inorganic chemicals</t>
        </is>
      </c>
      <c r="B90" t="inlineStr">
        <is>
          <t>28</t>
        </is>
      </c>
      <c r="C90" t="inlineStr">
        <is>
          <t>28259090</t>
        </is>
      </c>
      <c r="D90" t="inlineStr">
        <is>
          <t>OTHER INORGANIC BASES METAL OXIDES HYDROXIDES AND PEROXIDES</t>
        </is>
      </c>
      <c r="E90" s="3" t="n">
        <v>0.59</v>
      </c>
      <c r="F90" s="3" t="n">
        <v>3.97</v>
      </c>
      <c r="G90" s="3">
        <f>F90-E90</f>
        <v/>
      </c>
      <c r="H90" s="4">
        <f>IF(E90=0,"",F90/E90-1)</f>
        <v/>
      </c>
      <c r="I90" t="inlineStr"/>
    </row>
    <row r="91">
      <c r="A91" t="inlineStr">
        <is>
          <t>Organic &amp; inorganic chemicals</t>
        </is>
      </c>
      <c r="B91" t="inlineStr">
        <is>
          <t>29</t>
        </is>
      </c>
      <c r="C91" t="inlineStr">
        <is>
          <t>29314990</t>
        </is>
      </c>
      <c r="D91" t="inlineStr">
        <is>
          <t>*OTHER</t>
        </is>
      </c>
      <c r="E91" s="3" t="n">
        <v>2.17</v>
      </c>
      <c r="F91" s="3" t="n">
        <v>3.85</v>
      </c>
      <c r="G91" s="3">
        <f>F91-E91</f>
        <v/>
      </c>
      <c r="H91" s="4">
        <f>IF(E91=0,"",F91/E91-1)</f>
        <v/>
      </c>
      <c r="I91" t="inlineStr"/>
    </row>
    <row r="92">
      <c r="A92" t="inlineStr">
        <is>
          <t>Organic &amp; inorganic chemicals</t>
        </is>
      </c>
      <c r="B92" t="inlineStr">
        <is>
          <t>29</t>
        </is>
      </c>
      <c r="C92" t="inlineStr">
        <is>
          <t>29032300</t>
        </is>
      </c>
      <c r="D92" t="inlineStr">
        <is>
          <t>TETRACHLOROETHANE (PERCHLOROETHYLENE ) , UNSATRTD</t>
        </is>
      </c>
      <c r="E92" s="3" t="n">
        <v>6.16</v>
      </c>
      <c r="F92" s="3" t="n">
        <v>3.83</v>
      </c>
      <c r="G92" s="3">
        <f>F92-E92</f>
        <v/>
      </c>
      <c r="H92" s="4">
        <f>IF(E92=0,"",F92/E92-1)</f>
        <v/>
      </c>
      <c r="I92" t="inlineStr"/>
    </row>
    <row r="93">
      <c r="A93" t="inlineStr">
        <is>
          <t>Organic &amp; inorganic chemicals</t>
        </is>
      </c>
      <c r="B93" t="inlineStr">
        <is>
          <t>28</t>
        </is>
      </c>
      <c r="C93" t="inlineStr">
        <is>
          <t>28342990</t>
        </is>
      </c>
      <c r="D93" t="inlineStr">
        <is>
          <t>OTHER NITRATES NES</t>
        </is>
      </c>
      <c r="E93" s="3" t="n">
        <v>6.73</v>
      </c>
      <c r="F93" s="3" t="n">
        <v>3.28</v>
      </c>
      <c r="G93" s="3">
        <f>F93-E93</f>
        <v/>
      </c>
      <c r="H93" s="4">
        <f>IF(E93=0,"",F93/E93-1)</f>
        <v/>
      </c>
      <c r="I93" t="inlineStr"/>
    </row>
    <row r="94">
      <c r="A94" t="inlineStr">
        <is>
          <t>Organic &amp; inorganic chemicals</t>
        </is>
      </c>
      <c r="B94" t="inlineStr">
        <is>
          <t>29</t>
        </is>
      </c>
      <c r="C94" t="inlineStr">
        <is>
          <t>29224990</t>
        </is>
      </c>
      <c r="D94" t="inlineStr">
        <is>
          <t>OTHER AMINO ACIDS AND THR ESTERS CNTNG NOT MORE THAN ONE KIND OXGN FN.</t>
        </is>
      </c>
      <c r="E94" s="3" t="n">
        <v>0.8</v>
      </c>
      <c r="F94" s="3" t="n">
        <v>3.12</v>
      </c>
      <c r="G94" s="3">
        <f>F94-E94</f>
        <v/>
      </c>
      <c r="H94" s="4">
        <f>IF(E94=0,"",F94/E94-1)</f>
        <v/>
      </c>
      <c r="I94" t="inlineStr"/>
    </row>
    <row r="95">
      <c r="A95" t="inlineStr">
        <is>
          <t>Organic &amp; inorganic chemicals</t>
        </is>
      </c>
      <c r="B95" t="inlineStr">
        <is>
          <t>28</t>
        </is>
      </c>
      <c r="C95" t="inlineStr">
        <is>
          <t>28161010</t>
        </is>
      </c>
      <c r="D95" t="inlineStr">
        <is>
          <t>MAGNESIUM HYDROXIDE</t>
        </is>
      </c>
      <c r="E95" s="3" t="n">
        <v>0.8</v>
      </c>
      <c r="F95" s="3" t="n">
        <v>3.05</v>
      </c>
      <c r="G95" s="3">
        <f>F95-E95</f>
        <v/>
      </c>
      <c r="H95" s="4">
        <f>IF(E95=0,"",F95/E95-1)</f>
        <v/>
      </c>
      <c r="I95" t="inlineStr"/>
    </row>
    <row r="96">
      <c r="A96" t="inlineStr">
        <is>
          <t>Organic &amp; inorganic chemicals</t>
        </is>
      </c>
      <c r="B96" t="inlineStr">
        <is>
          <t>29</t>
        </is>
      </c>
      <c r="C96" t="inlineStr">
        <is>
          <t>29359090</t>
        </is>
      </c>
      <c r="D96" t="inlineStr">
        <is>
          <t>OTHERS-OF-OTHERS-OF-SULPHONAMIDES</t>
        </is>
      </c>
      <c r="E96" s="3" t="n">
        <v>1.23</v>
      </c>
      <c r="F96" s="3" t="n">
        <v>3</v>
      </c>
      <c r="G96" s="3">
        <f>F96-E96</f>
        <v/>
      </c>
      <c r="H96" s="4">
        <f>IF(E96=0,"",F96/E96-1)</f>
        <v/>
      </c>
      <c r="I96" t="inlineStr"/>
    </row>
    <row r="97">
      <c r="A97" t="inlineStr">
        <is>
          <t>Organic &amp; inorganic chemicals</t>
        </is>
      </c>
      <c r="B97" t="inlineStr">
        <is>
          <t>28</t>
        </is>
      </c>
      <c r="C97" t="inlineStr">
        <is>
          <t>28363000</t>
        </is>
      </c>
      <c r="D97" t="inlineStr">
        <is>
          <t>SODIUM HYDROGEN CARBONATE (SODIUM BICARBONATE)</t>
        </is>
      </c>
      <c r="E97" s="3" t="n">
        <v>4.21</v>
      </c>
      <c r="F97" s="3" t="n">
        <v>2.88</v>
      </c>
      <c r="G97" s="3">
        <f>F97-E97</f>
        <v/>
      </c>
      <c r="H97" s="4">
        <f>IF(E97=0,"",F97/E97-1)</f>
        <v/>
      </c>
      <c r="I97" t="inlineStr"/>
    </row>
    <row r="98">
      <c r="A98" t="inlineStr">
        <is>
          <t>Organic &amp; inorganic chemicals</t>
        </is>
      </c>
      <c r="B98" t="inlineStr">
        <is>
          <t>28</t>
        </is>
      </c>
      <c r="C98" t="inlineStr">
        <is>
          <t>28030010</t>
        </is>
      </c>
      <c r="D98" t="inlineStr">
        <is>
          <t>CARBON BLACKS</t>
        </is>
      </c>
      <c r="E98" s="3" t="n">
        <v>0.61</v>
      </c>
      <c r="F98" s="3" t="n">
        <v>2.67</v>
      </c>
      <c r="G98" s="3">
        <f>F98-E98</f>
        <v/>
      </c>
      <c r="H98" s="4">
        <f>IF(E98=0,"",F98/E98-1)</f>
        <v/>
      </c>
      <c r="I98" t="inlineStr"/>
    </row>
    <row r="99">
      <c r="A99" t="inlineStr">
        <is>
          <t>Organic &amp; inorganic chemicals</t>
        </is>
      </c>
      <c r="B99" t="inlineStr">
        <is>
          <t>29</t>
        </is>
      </c>
      <c r="C99" t="inlineStr">
        <is>
          <t>29333200</t>
        </is>
      </c>
      <c r="D99" t="inlineStr">
        <is>
          <t>*PIPERIDINE AND ITS SALTS</t>
        </is>
      </c>
      <c r="E99" s="3" t="n">
        <v>0</v>
      </c>
      <c r="F99" s="3" t="n">
        <v>2.63</v>
      </c>
      <c r="G99" s="3">
        <f>F99-E99</f>
        <v/>
      </c>
      <c r="H99" s="4">
        <f>IF(E99=0,"",F99/E99-1)</f>
        <v/>
      </c>
      <c r="I99" t="inlineStr"/>
    </row>
    <row r="100">
      <c r="A100" t="inlineStr">
        <is>
          <t>Organic &amp; inorganic chemicals</t>
        </is>
      </c>
      <c r="B100" t="inlineStr">
        <is>
          <t>29</t>
        </is>
      </c>
      <c r="C100" t="inlineStr">
        <is>
          <t>29221710</t>
        </is>
      </c>
      <c r="D100" t="inlineStr">
        <is>
          <t>METHYLDIETHANOLAMINE</t>
        </is>
      </c>
      <c r="E100" s="3" t="n">
        <v>0.28</v>
      </c>
      <c r="F100" s="3" t="n">
        <v>2.59</v>
      </c>
      <c r="G100" s="3">
        <f>F100-E100</f>
        <v/>
      </c>
      <c r="H100" s="4">
        <f>IF(E100=0,"",F100/E100-1)</f>
        <v/>
      </c>
      <c r="I100" t="inlineStr"/>
    </row>
    <row r="101">
      <c r="A101" t="inlineStr">
        <is>
          <t>Organic &amp; inorganic chemicals</t>
        </is>
      </c>
      <c r="B101" t="inlineStr">
        <is>
          <t>29</t>
        </is>
      </c>
      <c r="C101" t="inlineStr">
        <is>
          <t>29157090</t>
        </is>
      </c>
      <c r="D101" t="inlineStr">
        <is>
          <t>OTHER PALMITIC ACID, STEARIC ACID AND THEIR SALTS AND ESTRS</t>
        </is>
      </c>
      <c r="E101" s="3" t="n">
        <v>2.21</v>
      </c>
      <c r="F101" s="3" t="n">
        <v>2.31</v>
      </c>
      <c r="G101" s="3">
        <f>F101-E101</f>
        <v/>
      </c>
      <c r="H101" s="4">
        <f>IF(E101=0,"",F101/E101-1)</f>
        <v/>
      </c>
      <c r="I101" t="inlineStr"/>
    </row>
    <row r="102">
      <c r="A102" t="inlineStr">
        <is>
          <t>Organic &amp; inorganic chemicals</t>
        </is>
      </c>
      <c r="B102" t="inlineStr">
        <is>
          <t>29</t>
        </is>
      </c>
      <c r="C102" t="inlineStr">
        <is>
          <t>29053990</t>
        </is>
      </c>
      <c r="D102" t="inlineStr">
        <is>
          <t>OTHER DIOLS</t>
        </is>
      </c>
      <c r="E102" s="3" t="n">
        <v>2</v>
      </c>
      <c r="F102" s="3" t="n">
        <v>2.27</v>
      </c>
      <c r="G102" s="3">
        <f>F102-E102</f>
        <v/>
      </c>
      <c r="H102" s="4">
        <f>IF(E102=0,"",F102/E102-1)</f>
        <v/>
      </c>
      <c r="I102" t="inlineStr"/>
    </row>
    <row r="103">
      <c r="A103" t="inlineStr">
        <is>
          <t>Organic &amp; inorganic chemicals</t>
        </is>
      </c>
      <c r="B103" t="inlineStr">
        <is>
          <t>29</t>
        </is>
      </c>
      <c r="C103" t="inlineStr">
        <is>
          <t>29153100</t>
        </is>
      </c>
      <c r="D103" t="inlineStr">
        <is>
          <t>ETHYL ACETATE</t>
        </is>
      </c>
      <c r="E103" s="3" t="n">
        <v>1.29</v>
      </c>
      <c r="F103" s="3" t="n">
        <v>2.23</v>
      </c>
      <c r="G103" s="3">
        <f>F103-E103</f>
        <v/>
      </c>
      <c r="H103" s="4">
        <f>IF(E103=0,"",F103/E103-1)</f>
        <v/>
      </c>
      <c r="I103" t="inlineStr"/>
    </row>
    <row r="104">
      <c r="A104" t="inlineStr">
        <is>
          <t>Organic &amp; inorganic chemicals</t>
        </is>
      </c>
      <c r="B104" t="inlineStr">
        <is>
          <t>28</t>
        </is>
      </c>
      <c r="C104" t="inlineStr">
        <is>
          <t>28402090</t>
        </is>
      </c>
      <c r="D104" t="inlineStr">
        <is>
          <t>OTHER BORATES</t>
        </is>
      </c>
      <c r="E104" s="3" t="n">
        <v>2.05</v>
      </c>
      <c r="F104" s="3" t="n">
        <v>2.2</v>
      </c>
      <c r="G104" s="3">
        <f>F104-E104</f>
        <v/>
      </c>
      <c r="H104" s="4">
        <f>IF(E104=0,"",F104/E104-1)</f>
        <v/>
      </c>
      <c r="I104" t="inlineStr"/>
    </row>
    <row r="105">
      <c r="A105" t="inlineStr">
        <is>
          <t>Organic &amp; inorganic chemicals</t>
        </is>
      </c>
      <c r="B105" t="inlineStr">
        <is>
          <t>28</t>
        </is>
      </c>
      <c r="C105" t="inlineStr">
        <is>
          <t>28080010</t>
        </is>
      </c>
      <c r="D105" t="inlineStr">
        <is>
          <t>NITRIC ACID</t>
        </is>
      </c>
      <c r="E105" s="3" t="n">
        <v>2.36</v>
      </c>
      <c r="F105" s="3" t="n">
        <v>2.19</v>
      </c>
      <c r="G105" s="3">
        <f>F105-E105</f>
        <v/>
      </c>
      <c r="H105" s="4">
        <f>IF(E105=0,"",F105/E105-1)</f>
        <v/>
      </c>
      <c r="I105" t="inlineStr"/>
    </row>
    <row r="106">
      <c r="A106" t="inlineStr">
        <is>
          <t>Organic &amp; inorganic chemicals</t>
        </is>
      </c>
      <c r="B106" t="inlineStr">
        <is>
          <t>29</t>
        </is>
      </c>
      <c r="C106" t="inlineStr">
        <is>
          <t>29181520</t>
        </is>
      </c>
      <c r="D106" t="inlineStr">
        <is>
          <t>SODIUM CITRATE</t>
        </is>
      </c>
      <c r="E106" s="3" t="n">
        <v>0.54</v>
      </c>
      <c r="F106" s="3" t="n">
        <v>2.19</v>
      </c>
      <c r="G106" s="3">
        <f>F106-E106</f>
        <v/>
      </c>
      <c r="H106" s="4">
        <f>IF(E106=0,"",F106/E106-1)</f>
        <v/>
      </c>
      <c r="I106" t="inlineStr"/>
    </row>
    <row r="107">
      <c r="A107" t="inlineStr">
        <is>
          <t>Organic &amp; inorganic chemicals</t>
        </is>
      </c>
      <c r="B107" t="inlineStr">
        <is>
          <t>28</t>
        </is>
      </c>
      <c r="C107" t="inlineStr">
        <is>
          <t>28362020</t>
        </is>
      </c>
      <c r="D107" t="inlineStr">
        <is>
          <t>DISODIUM CARBONATE LIGHT</t>
        </is>
      </c>
      <c r="E107" s="3" t="n">
        <v>0.57</v>
      </c>
      <c r="F107" s="3" t="n">
        <v>2.14</v>
      </c>
      <c r="G107" s="3">
        <f>F107-E107</f>
        <v/>
      </c>
      <c r="H107" s="4">
        <f>IF(E107=0,"",F107/E107-1)</f>
        <v/>
      </c>
      <c r="I107" t="inlineStr"/>
    </row>
    <row r="108">
      <c r="A108" t="inlineStr">
        <is>
          <t>Organic &amp; inorganic chemicals</t>
        </is>
      </c>
      <c r="B108" t="inlineStr">
        <is>
          <t>29</t>
        </is>
      </c>
      <c r="C108" t="inlineStr">
        <is>
          <t>29181200</t>
        </is>
      </c>
      <c r="D108" t="inlineStr">
        <is>
          <t>TARTARIC ACID</t>
        </is>
      </c>
      <c r="E108" s="3" t="n">
        <v>0.38</v>
      </c>
      <c r="F108" s="3" t="n">
        <v>2.02</v>
      </c>
      <c r="G108" s="3">
        <f>F108-E108</f>
        <v/>
      </c>
      <c r="H108" s="4">
        <f>IF(E108=0,"",F108/E108-1)</f>
        <v/>
      </c>
      <c r="I108" t="inlineStr"/>
    </row>
    <row r="109">
      <c r="A109" t="inlineStr">
        <is>
          <t>Organic &amp; inorganic chemicals</t>
        </is>
      </c>
      <c r="B109" t="inlineStr">
        <is>
          <t>28</t>
        </is>
      </c>
      <c r="C109" t="inlineStr">
        <is>
          <t>28151200</t>
        </is>
      </c>
      <c r="D109" t="inlineStr">
        <is>
          <t>NAOH IN AQS SOLN (SODA LYE OR LQD SODA)</t>
        </is>
      </c>
      <c r="E109" s="3" t="n">
        <v>1.56</v>
      </c>
      <c r="F109" s="3" t="n">
        <v>1.98</v>
      </c>
      <c r="G109" s="3">
        <f>F109-E109</f>
        <v/>
      </c>
      <c r="H109" s="4">
        <f>IF(E109=0,"",F109/E109-1)</f>
        <v/>
      </c>
      <c r="I109" t="inlineStr"/>
    </row>
    <row r="110">
      <c r="A110" t="inlineStr">
        <is>
          <t>Organic &amp; inorganic chemicals</t>
        </is>
      </c>
      <c r="B110" t="inlineStr">
        <is>
          <t>29</t>
        </is>
      </c>
      <c r="C110" t="inlineStr">
        <is>
          <t>29369000</t>
        </is>
      </c>
      <c r="D110" t="inlineStr">
        <is>
          <t>OTHER, INCL. NATURAL CONCENTRTS</t>
        </is>
      </c>
      <c r="E110" s="3" t="n">
        <v>1.93</v>
      </c>
      <c r="F110" s="3" t="n">
        <v>1.9</v>
      </c>
      <c r="G110" s="3">
        <f>F110-E110</f>
        <v/>
      </c>
      <c r="H110" s="4">
        <f>IF(E110=0,"",F110/E110-1)</f>
        <v/>
      </c>
      <c r="I110" t="inlineStr"/>
    </row>
    <row r="111">
      <c r="A111" t="inlineStr">
        <is>
          <t>Organic &amp; inorganic chemicals</t>
        </is>
      </c>
      <c r="B111" t="inlineStr">
        <is>
          <t>29</t>
        </is>
      </c>
      <c r="C111" t="inlineStr">
        <is>
          <t>29420012</t>
        </is>
      </c>
      <c r="D111" t="inlineStr">
        <is>
          <t>IBUPROFANE</t>
        </is>
      </c>
      <c r="E111" s="3" t="n">
        <v>0.7</v>
      </c>
      <c r="F111" s="3" t="n">
        <v>1.78</v>
      </c>
      <c r="G111" s="3">
        <f>F111-E111</f>
        <v/>
      </c>
      <c r="H111" s="4">
        <f>IF(E111=0,"",F111/E111-1)</f>
        <v/>
      </c>
      <c r="I111" t="inlineStr"/>
    </row>
    <row r="112">
      <c r="A112" t="inlineStr">
        <is>
          <t>Organic &amp; inorganic chemicals</t>
        </is>
      </c>
      <c r="B112" t="inlineStr">
        <is>
          <t>29</t>
        </is>
      </c>
      <c r="C112" t="inlineStr">
        <is>
          <t>29121930</t>
        </is>
      </c>
      <c r="D112" t="inlineStr">
        <is>
          <t>GLYOXAL</t>
        </is>
      </c>
      <c r="E112" s="3" t="n">
        <v>1.46</v>
      </c>
      <c r="F112" s="3" t="n">
        <v>1.76</v>
      </c>
      <c r="G112" s="3">
        <f>F112-E112</f>
        <v/>
      </c>
      <c r="H112" s="4">
        <f>IF(E112=0,"",F112/E112-1)</f>
        <v/>
      </c>
      <c r="I112" t="inlineStr"/>
    </row>
    <row r="113">
      <c r="A113" t="inlineStr">
        <is>
          <t>Organic &amp; inorganic chemicals</t>
        </is>
      </c>
      <c r="B113" t="inlineStr">
        <is>
          <t>29</t>
        </is>
      </c>
      <c r="C113" t="inlineStr">
        <is>
          <t>29037100</t>
        </is>
      </c>
      <c r="D113" t="inlineStr">
        <is>
          <t>CHLORODIFLUOROMETHANE (HCFC-22)</t>
        </is>
      </c>
      <c r="E113" s="3" t="n">
        <v>1.26</v>
      </c>
      <c r="F113" s="3" t="n">
        <v>1.74</v>
      </c>
      <c r="G113" s="3">
        <f>F113-E113</f>
        <v/>
      </c>
      <c r="H113" s="4">
        <f>IF(E113=0,"",F113/E113-1)</f>
        <v/>
      </c>
      <c r="I113" t="inlineStr"/>
    </row>
    <row r="114">
      <c r="A114" t="inlineStr">
        <is>
          <t>Organic &amp; inorganic chemicals</t>
        </is>
      </c>
      <c r="B114" t="inlineStr">
        <is>
          <t>29</t>
        </is>
      </c>
      <c r="C114" t="inlineStr">
        <is>
          <t>29336990</t>
        </is>
      </c>
      <c r="D114" t="inlineStr">
        <is>
          <t>OTHER CMPND CNTNG AN UNFUSED TRIAZINE RING(W/N HYDRGNTD) IN STRUCTURE</t>
        </is>
      </c>
      <c r="E114" s="3" t="n">
        <v>1.65</v>
      </c>
      <c r="F114" s="3" t="n">
        <v>1.73</v>
      </c>
      <c r="G114" s="3">
        <f>F114-E114</f>
        <v/>
      </c>
      <c r="H114" s="4">
        <f>IF(E114=0,"",F114/E114-1)</f>
        <v/>
      </c>
      <c r="I114" t="inlineStr"/>
    </row>
    <row r="115">
      <c r="A115" t="inlineStr">
        <is>
          <t>Organic &amp; inorganic chemicals</t>
        </is>
      </c>
      <c r="B115" t="inlineStr">
        <is>
          <t>29</t>
        </is>
      </c>
      <c r="C115" t="inlineStr">
        <is>
          <t>29269000</t>
        </is>
      </c>
      <c r="D115" t="inlineStr">
        <is>
          <t>*OTHR NITRILE-FUNCTION COMPOUNDS</t>
        </is>
      </c>
      <c r="E115" s="3" t="n">
        <v>0.72</v>
      </c>
      <c r="F115" s="3" t="n">
        <v>1.7</v>
      </c>
      <c r="G115" s="3">
        <f>F115-E115</f>
        <v/>
      </c>
      <c r="H115" s="4">
        <f>IF(E115=0,"",F115/E115-1)</f>
        <v/>
      </c>
      <c r="I115" t="inlineStr"/>
    </row>
    <row r="116">
      <c r="A116" t="inlineStr">
        <is>
          <t>Organic &amp; inorganic chemicals</t>
        </is>
      </c>
      <c r="B116" t="inlineStr">
        <is>
          <t>28</t>
        </is>
      </c>
      <c r="C116" t="inlineStr">
        <is>
          <t>28322090</t>
        </is>
      </c>
      <c r="D116" t="inlineStr">
        <is>
          <t>OTHER SULPHITE</t>
        </is>
      </c>
      <c r="E116" s="3" t="n">
        <v>1.34</v>
      </c>
      <c r="F116" s="3" t="n">
        <v>1.67</v>
      </c>
      <c r="G116" s="3">
        <f>F116-E116</f>
        <v/>
      </c>
      <c r="H116" s="4">
        <f>IF(E116=0,"",F116/E116-1)</f>
        <v/>
      </c>
      <c r="I116" t="inlineStr"/>
    </row>
    <row r="117">
      <c r="A117" t="inlineStr">
        <is>
          <t>Organic &amp; inorganic chemicals</t>
        </is>
      </c>
      <c r="B117" t="inlineStr">
        <is>
          <t>29</t>
        </is>
      </c>
      <c r="C117" t="inlineStr">
        <is>
          <t>29031200</t>
        </is>
      </c>
      <c r="D117" t="inlineStr">
        <is>
          <t>DICHLOROMETHANE (METHYLENE CHLORIDE)</t>
        </is>
      </c>
      <c r="E117" s="3" t="n">
        <v>1.5</v>
      </c>
      <c r="F117" s="3" t="n">
        <v>1.65</v>
      </c>
      <c r="G117" s="3">
        <f>F117-E117</f>
        <v/>
      </c>
      <c r="H117" s="4">
        <f>IF(E117=0,"",F117/E117-1)</f>
        <v/>
      </c>
      <c r="I117" t="inlineStr"/>
    </row>
    <row r="118">
      <c r="A118" t="inlineStr">
        <is>
          <t>Organic &amp; inorganic chemicals</t>
        </is>
      </c>
      <c r="B118" t="inlineStr">
        <is>
          <t>28</t>
        </is>
      </c>
      <c r="C118" t="inlineStr">
        <is>
          <t>28182019</t>
        </is>
      </c>
      <c r="D118" t="inlineStr">
        <is>
          <t>ALUMINA CALCINED, Non-Metallurgical grade, conforming to IS 17441</t>
        </is>
      </c>
      <c r="E118" s="3" t="n">
        <v>1.16</v>
      </c>
      <c r="F118" s="3" t="n">
        <v>1.47</v>
      </c>
      <c r="G118" s="3">
        <f>F118-E118</f>
        <v/>
      </c>
      <c r="H118" s="4">
        <f>IF(E118=0,"",F118/E118-1)</f>
        <v/>
      </c>
      <c r="I118" t="inlineStr"/>
    </row>
    <row r="119">
      <c r="A119" t="inlineStr">
        <is>
          <t>Organic &amp; inorganic chemicals</t>
        </is>
      </c>
      <c r="B119" t="inlineStr">
        <is>
          <t>29</t>
        </is>
      </c>
      <c r="C119" t="inlineStr">
        <is>
          <t>29011000</t>
        </is>
      </c>
      <c r="D119" t="inlineStr">
        <is>
          <t>SATURATED ACYCLIC HYDROCARBONS</t>
        </is>
      </c>
      <c r="E119" s="3" t="n">
        <v>1.27</v>
      </c>
      <c r="F119" s="3" t="n">
        <v>1.46</v>
      </c>
      <c r="G119" s="3">
        <f>F119-E119</f>
        <v/>
      </c>
      <c r="H119" s="4">
        <f>IF(E119=0,"",F119/E119-1)</f>
        <v/>
      </c>
      <c r="I119" t="inlineStr"/>
    </row>
    <row r="120">
      <c r="A120" t="inlineStr">
        <is>
          <t>Organic &amp; inorganic chemicals</t>
        </is>
      </c>
      <c r="B120" t="inlineStr">
        <is>
          <t>28</t>
        </is>
      </c>
      <c r="C120" t="inlineStr">
        <is>
          <t>28112200</t>
        </is>
      </c>
      <c r="D120" t="inlineStr">
        <is>
          <t>SILICON DIOXIDE</t>
        </is>
      </c>
      <c r="E120" s="3" t="n">
        <v>1.55</v>
      </c>
      <c r="F120" s="3" t="n">
        <v>1.44</v>
      </c>
      <c r="G120" s="3">
        <f>F120-E120</f>
        <v/>
      </c>
      <c r="H120" s="4">
        <f>IF(E120=0,"",F120/E120-1)</f>
        <v/>
      </c>
      <c r="I120" t="inlineStr"/>
    </row>
    <row r="121">
      <c r="A121" t="inlineStr">
        <is>
          <t>Organic &amp; inorganic chemicals</t>
        </is>
      </c>
      <c r="B121" t="inlineStr">
        <is>
          <t>29</t>
        </is>
      </c>
      <c r="C121" t="inlineStr">
        <is>
          <t>29072930</t>
        </is>
      </c>
      <c r="D121" t="inlineStr">
        <is>
          <t>TERTIARY BUTYL HYDROQUINONE</t>
        </is>
      </c>
      <c r="E121" s="3" t="n">
        <v>1</v>
      </c>
      <c r="F121" s="3" t="n">
        <v>1.36</v>
      </c>
      <c r="G121" s="3">
        <f>F121-E121</f>
        <v/>
      </c>
      <c r="H121" s="4">
        <f>IF(E121=0,"",F121/E121-1)</f>
        <v/>
      </c>
      <c r="I121" t="inlineStr"/>
    </row>
    <row r="122">
      <c r="A122" t="inlineStr">
        <is>
          <t>Organic &amp; inorganic chemicals</t>
        </is>
      </c>
      <c r="B122" t="inlineStr">
        <is>
          <t>28</t>
        </is>
      </c>
      <c r="C122" t="inlineStr">
        <is>
          <t>28275990</t>
        </is>
      </c>
      <c r="D122" t="inlineStr">
        <is>
          <t>BROMIDES AND OXYBROMIDES N E S</t>
        </is>
      </c>
      <c r="E122" s="3" t="n">
        <v>0.05</v>
      </c>
      <c r="F122" s="3" t="n">
        <v>1.33</v>
      </c>
      <c r="G122" s="3">
        <f>F122-E122</f>
        <v/>
      </c>
      <c r="H122" s="4">
        <f>IF(E122=0,"",F122/E122-1)</f>
        <v/>
      </c>
      <c r="I122" t="inlineStr"/>
    </row>
    <row r="123">
      <c r="A123" t="inlineStr">
        <is>
          <t>Organic &amp; inorganic chemicals</t>
        </is>
      </c>
      <c r="B123" t="inlineStr">
        <is>
          <t>29</t>
        </is>
      </c>
      <c r="C123" t="inlineStr">
        <is>
          <t>29054400</t>
        </is>
      </c>
      <c r="D123" t="inlineStr">
        <is>
          <t>D-GLUCITOL (SORBITOL)</t>
        </is>
      </c>
      <c r="E123" s="3" t="n">
        <v>0.82</v>
      </c>
      <c r="F123" s="3" t="n">
        <v>1.33</v>
      </c>
      <c r="G123" s="3">
        <f>F123-E123</f>
        <v/>
      </c>
      <c r="H123" s="4">
        <f>IF(E123=0,"",F123/E123-1)</f>
        <v/>
      </c>
      <c r="I123" t="inlineStr"/>
    </row>
    <row r="124">
      <c r="A124" t="inlineStr">
        <is>
          <t>Organic &amp; inorganic chemicals</t>
        </is>
      </c>
      <c r="B124" t="inlineStr">
        <is>
          <t>28</t>
        </is>
      </c>
      <c r="C124" t="inlineStr">
        <is>
          <t>28362010</t>
        </is>
      </c>
      <c r="D124" t="inlineStr">
        <is>
          <t>DISODIUM CARBONATE DENSE</t>
        </is>
      </c>
      <c r="E124" s="3" t="n">
        <v>1.44</v>
      </c>
      <c r="F124" s="3" t="n">
        <v>1.29</v>
      </c>
      <c r="G124" s="3">
        <f>F124-E124</f>
        <v/>
      </c>
      <c r="H124" s="4">
        <f>IF(E124=0,"",F124/E124-1)</f>
        <v/>
      </c>
      <c r="I124" t="inlineStr"/>
    </row>
    <row r="125">
      <c r="A125" t="inlineStr">
        <is>
          <t>Organic &amp; inorganic chemicals</t>
        </is>
      </c>
      <c r="B125" t="inlineStr">
        <is>
          <t>29</t>
        </is>
      </c>
      <c r="C125" t="inlineStr">
        <is>
          <t>29121990</t>
        </is>
      </c>
      <c r="D125" t="inlineStr">
        <is>
          <t>OTHER ACYCLIC ALDEHYDS WITHOUT OTHER OXYGN FUNCTION</t>
        </is>
      </c>
      <c r="E125" s="3" t="n">
        <v>0.99</v>
      </c>
      <c r="F125" s="3" t="n">
        <v>1.28</v>
      </c>
      <c r="G125" s="3">
        <f>F125-E125</f>
        <v/>
      </c>
      <c r="H125" s="4">
        <f>IF(E125=0,"",F125/E125-1)</f>
        <v/>
      </c>
      <c r="I125" t="inlineStr"/>
    </row>
    <row r="126">
      <c r="A126" t="inlineStr">
        <is>
          <t>Organic &amp; inorganic chemicals</t>
        </is>
      </c>
      <c r="B126" t="inlineStr">
        <is>
          <t>29</t>
        </is>
      </c>
      <c r="C126" t="inlineStr">
        <is>
          <t>29331999</t>
        </is>
      </c>
      <c r="D126" t="inlineStr">
        <is>
          <t>OTHERS-OF-OTHR HTRCYCLC CMPNDS CNTNG AN UNFUSED PYRZL RING (W/N HYDRGNTD) IN THE STRUCTURE</t>
        </is>
      </c>
      <c r="E126" s="3" t="n">
        <v>0.22</v>
      </c>
      <c r="F126" s="3" t="n">
        <v>1.24</v>
      </c>
      <c r="G126" s="3">
        <f>F126-E126</f>
        <v/>
      </c>
      <c r="H126" s="4">
        <f>IF(E126=0,"",F126/E126-1)</f>
        <v/>
      </c>
      <c r="I126" t="inlineStr"/>
    </row>
    <row r="127">
      <c r="A127" t="inlineStr">
        <is>
          <t>Organic &amp; inorganic chemicals</t>
        </is>
      </c>
      <c r="B127" t="inlineStr">
        <is>
          <t>29</t>
        </is>
      </c>
      <c r="C127" t="inlineStr">
        <is>
          <t>29341000</t>
        </is>
      </c>
      <c r="D127" t="inlineStr">
        <is>
          <t>*CMPNDS CNTNG AN UNFUSED THIAZOLE RING (W/N HYDROGENATED ) IN THE STRUCTURE</t>
        </is>
      </c>
      <c r="E127" s="3" t="n">
        <v>1.52</v>
      </c>
      <c r="F127" s="3" t="n">
        <v>1.24</v>
      </c>
      <c r="G127" s="3">
        <f>F127-E127</f>
        <v/>
      </c>
      <c r="H127" s="4">
        <f>IF(E127=0,"",F127/E127-1)</f>
        <v/>
      </c>
      <c r="I127" t="inlineStr"/>
    </row>
    <row r="128">
      <c r="A128" t="inlineStr">
        <is>
          <t>Organic &amp; inorganic chemicals</t>
        </is>
      </c>
      <c r="B128" t="inlineStr">
        <is>
          <t>29</t>
        </is>
      </c>
      <c r="C128" t="inlineStr">
        <is>
          <t>29224910</t>
        </is>
      </c>
      <c r="D128" t="inlineStr">
        <is>
          <t>AMINO ACETIC ACID (GLYCINE)</t>
        </is>
      </c>
      <c r="E128" s="3" t="n">
        <v>0.73</v>
      </c>
      <c r="F128" s="3" t="n">
        <v>1.22</v>
      </c>
      <c r="G128" s="3">
        <f>F128-E128</f>
        <v/>
      </c>
      <c r="H128" s="4">
        <f>IF(E128=0,"",F128/E128-1)</f>
        <v/>
      </c>
      <c r="I128" t="inlineStr"/>
    </row>
    <row r="129">
      <c r="A129" t="inlineStr">
        <is>
          <t>Organic &amp; inorganic chemicals</t>
        </is>
      </c>
      <c r="B129" t="inlineStr">
        <is>
          <t>29</t>
        </is>
      </c>
      <c r="C129" t="inlineStr">
        <is>
          <t>29321990</t>
        </is>
      </c>
      <c r="D129" t="inlineStr">
        <is>
          <t>OTHER CMPNDS CNTNG UNFUSED FURANRING (W/N)IN STRUCTURE</t>
        </is>
      </c>
      <c r="E129" s="3" t="n">
        <v>0</v>
      </c>
      <c r="F129" s="3" t="n">
        <v>1.19</v>
      </c>
      <c r="G129" s="3">
        <f>F129-E129</f>
        <v/>
      </c>
      <c r="H129" s="4">
        <f>IF(E129=0,"",F129/E129-1)</f>
        <v/>
      </c>
      <c r="I129" t="inlineStr"/>
    </row>
    <row r="130">
      <c r="A130" t="inlineStr">
        <is>
          <t>Organic &amp; inorganic chemicals</t>
        </is>
      </c>
      <c r="B130" t="inlineStr">
        <is>
          <t>29</t>
        </is>
      </c>
      <c r="C130" t="inlineStr">
        <is>
          <t>29342000</t>
        </is>
      </c>
      <c r="D130" t="inlineStr">
        <is>
          <t>*CMPNDS CNTNG A BENZOTHIAZONE RING-SYSTEM (W/N HYDRGNTD) NT FRTHR FUSED</t>
        </is>
      </c>
      <c r="E130" s="3" t="n">
        <v>0.52</v>
      </c>
      <c r="F130" s="3" t="n">
        <v>1.18</v>
      </c>
      <c r="G130" s="3">
        <f>F130-E130</f>
        <v/>
      </c>
      <c r="H130" s="4">
        <f>IF(E130=0,"",F130/E130-1)</f>
        <v/>
      </c>
      <c r="I130" t="inlineStr"/>
    </row>
    <row r="131">
      <c r="A131" t="inlineStr">
        <is>
          <t>Organic &amp; inorganic chemicals</t>
        </is>
      </c>
      <c r="B131" t="inlineStr">
        <is>
          <t>29</t>
        </is>
      </c>
      <c r="C131" t="inlineStr">
        <is>
          <t>29379020</t>
        </is>
      </c>
      <c r="D131" t="inlineStr">
        <is>
          <t>AMINO-ACID DERIVATIVES</t>
        </is>
      </c>
      <c r="E131" s="3" t="n">
        <v>0</v>
      </c>
      <c r="F131" s="3" t="n">
        <v>1.18</v>
      </c>
      <c r="G131" s="3">
        <f>F131-E131</f>
        <v/>
      </c>
      <c r="H131" s="4">
        <f>IF(E131=0,"",F131/E131-1)</f>
        <v/>
      </c>
      <c r="I131" t="inlineStr"/>
    </row>
    <row r="132">
      <c r="A132" t="inlineStr">
        <is>
          <t>Organic &amp; inorganic chemicals</t>
        </is>
      </c>
      <c r="B132" t="inlineStr">
        <is>
          <t>28</t>
        </is>
      </c>
      <c r="C132" t="inlineStr">
        <is>
          <t>28323010</t>
        </is>
      </c>
      <c r="D132" t="inlineStr">
        <is>
          <t>SODIUM THIOSULPHATE (HYPO)</t>
        </is>
      </c>
      <c r="E132" s="3" t="n">
        <v>1.07</v>
      </c>
      <c r="F132" s="3" t="n">
        <v>1.13</v>
      </c>
      <c r="G132" s="3">
        <f>F132-E132</f>
        <v/>
      </c>
      <c r="H132" s="4">
        <f>IF(E132=0,"",F132/E132-1)</f>
        <v/>
      </c>
      <c r="I132" t="inlineStr"/>
    </row>
    <row r="133">
      <c r="A133" t="inlineStr">
        <is>
          <t>Organic &amp; inorganic chemicals</t>
        </is>
      </c>
      <c r="B133" t="inlineStr">
        <is>
          <t>29</t>
        </is>
      </c>
      <c r="C133" t="inlineStr">
        <is>
          <t>29221110</t>
        </is>
      </c>
      <c r="D133" t="inlineStr">
        <is>
          <t>MONOETHANOLAMINE</t>
        </is>
      </c>
      <c r="E133" s="3" t="n">
        <v>0.74</v>
      </c>
      <c r="F133" s="3" t="n">
        <v>1.08</v>
      </c>
      <c r="G133" s="3">
        <f>F133-E133</f>
        <v/>
      </c>
      <c r="H133" s="4">
        <f>IF(E133=0,"",F133/E133-1)</f>
        <v/>
      </c>
      <c r="I133" t="inlineStr"/>
    </row>
    <row r="134">
      <c r="A134" t="inlineStr">
        <is>
          <t>Organic &amp; inorganic chemicals</t>
        </is>
      </c>
      <c r="B134" t="inlineStr">
        <is>
          <t>28</t>
        </is>
      </c>
      <c r="C134" t="inlineStr">
        <is>
          <t>28261990</t>
        </is>
      </c>
      <c r="D134" t="inlineStr">
        <is>
          <t>OTHER FLUORIDES, NES</t>
        </is>
      </c>
      <c r="E134" s="3" t="n">
        <v>0.84</v>
      </c>
      <c r="F134" s="3" t="n">
        <v>1.05</v>
      </c>
      <c r="G134" s="3">
        <f>F134-E134</f>
        <v/>
      </c>
      <c r="H134" s="4">
        <f>IF(E134=0,"",F134/E134-1)</f>
        <v/>
      </c>
      <c r="I134" t="inlineStr"/>
    </row>
    <row r="135">
      <c r="A135" t="inlineStr">
        <is>
          <t>Organic &amp; inorganic chemicals</t>
        </is>
      </c>
      <c r="B135" t="inlineStr">
        <is>
          <t>29</t>
        </is>
      </c>
      <c r="C135" t="inlineStr">
        <is>
          <t>29051210</t>
        </is>
      </c>
      <c r="D135" t="inlineStr">
        <is>
          <t>PROPYL ALCOHOL</t>
        </is>
      </c>
      <c r="E135" s="3" t="n">
        <v>0.15</v>
      </c>
      <c r="F135" s="3" t="n">
        <v>1.05</v>
      </c>
      <c r="G135" s="3">
        <f>F135-E135</f>
        <v/>
      </c>
      <c r="H135" s="4">
        <f>IF(E135=0,"",F135/E135-1)</f>
        <v/>
      </c>
      <c r="I135" t="inlineStr"/>
    </row>
    <row r="136">
      <c r="A136" t="inlineStr">
        <is>
          <t>Organic &amp; inorganic chemicals</t>
        </is>
      </c>
      <c r="B136" t="inlineStr">
        <is>
          <t>28</t>
        </is>
      </c>
      <c r="C136" t="inlineStr">
        <is>
          <t>28369990</t>
        </is>
      </c>
      <c r="D136" t="inlineStr">
        <is>
          <t>OTHER CARBONATES, NES</t>
        </is>
      </c>
      <c r="E136" s="3" t="n">
        <v>1.85</v>
      </c>
      <c r="F136" s="3" t="n">
        <v>1</v>
      </c>
      <c r="G136" s="3">
        <f>F136-E136</f>
        <v/>
      </c>
      <c r="H136" s="4">
        <f>IF(E136=0,"",F136/E136-1)</f>
        <v/>
      </c>
      <c r="I136" t="inlineStr"/>
    </row>
    <row r="137">
      <c r="A137" t="inlineStr">
        <is>
          <t>Organic &amp; inorganic chemicals</t>
        </is>
      </c>
      <c r="B137" t="inlineStr">
        <is>
          <t>28</t>
        </is>
      </c>
      <c r="C137" t="inlineStr">
        <is>
          <t>28470000</t>
        </is>
      </c>
      <c r="D137" t="inlineStr">
        <is>
          <t>HYDROGEN PEROXIDE W/N SOLIDIFIED WITH UREA</t>
        </is>
      </c>
      <c r="E137" s="3" t="n">
        <v>1.21</v>
      </c>
      <c r="F137" s="3" t="n">
        <v>0.96</v>
      </c>
      <c r="G137" s="3">
        <f>F137-E137</f>
        <v/>
      </c>
      <c r="H137" s="4">
        <f>IF(E137=0,"",F137/E137-1)</f>
        <v/>
      </c>
      <c r="I137" t="inlineStr"/>
    </row>
    <row r="138">
      <c r="A138" t="inlineStr">
        <is>
          <t>Organic &amp; inorganic chemicals</t>
        </is>
      </c>
      <c r="B138" t="inlineStr">
        <is>
          <t>29</t>
        </is>
      </c>
      <c r="C138" t="inlineStr">
        <is>
          <t>29157030</t>
        </is>
      </c>
      <c r="D138" t="inlineStr">
        <is>
          <t>GLYCEROL MONOSTEARATE</t>
        </is>
      </c>
      <c r="E138" s="3" t="n">
        <v>0.13</v>
      </c>
      <c r="F138" s="3" t="n">
        <v>0.96</v>
      </c>
      <c r="G138" s="3">
        <f>F138-E138</f>
        <v/>
      </c>
      <c r="H138" s="4">
        <f>IF(E138=0,"",F138/E138-1)</f>
        <v/>
      </c>
      <c r="I138" t="inlineStr"/>
    </row>
    <row r="139">
      <c r="A139" t="inlineStr">
        <is>
          <t>Organic &amp; inorganic chemicals</t>
        </is>
      </c>
      <c r="B139" t="inlineStr">
        <is>
          <t>29</t>
        </is>
      </c>
      <c r="C139" t="inlineStr">
        <is>
          <t>29151300</t>
        </is>
      </c>
      <c r="D139" t="inlineStr">
        <is>
          <t>ESTERS OF FORMIC ACID</t>
        </is>
      </c>
      <c r="E139" s="3" t="n">
        <v>0.5</v>
      </c>
      <c r="F139" s="3" t="n">
        <v>0.95</v>
      </c>
      <c r="G139" s="3">
        <f>F139-E139</f>
        <v/>
      </c>
      <c r="H139" s="4">
        <f>IF(E139=0,"",F139/E139-1)</f>
        <v/>
      </c>
      <c r="I139" t="inlineStr"/>
    </row>
    <row r="140">
      <c r="A140" t="inlineStr">
        <is>
          <t>Organic &amp; inorganic chemicals</t>
        </is>
      </c>
      <c r="B140" t="inlineStr">
        <is>
          <t>28</t>
        </is>
      </c>
      <c r="C140" t="inlineStr">
        <is>
          <t>28332100</t>
        </is>
      </c>
      <c r="D140" t="inlineStr">
        <is>
          <t>MAGNESIUM SULPHATE</t>
        </is>
      </c>
      <c r="E140" s="3" t="n">
        <v>0.63</v>
      </c>
      <c r="F140" s="3" t="n">
        <v>0.9399999999999999</v>
      </c>
      <c r="G140" s="3">
        <f>F140-E140</f>
        <v/>
      </c>
      <c r="H140" s="4">
        <f>IF(E140=0,"",F140/E140-1)</f>
        <v/>
      </c>
      <c r="I140" t="inlineStr"/>
    </row>
    <row r="141">
      <c r="A141" t="inlineStr">
        <is>
          <t>Organic &amp; inorganic chemicals</t>
        </is>
      </c>
      <c r="B141" t="inlineStr">
        <is>
          <t>29</t>
        </is>
      </c>
      <c r="C141" t="inlineStr">
        <is>
          <t>29053200</t>
        </is>
      </c>
      <c r="D141" t="inlineStr">
        <is>
          <t>PRPPYLENE GLYCOL (PROPANE-1,2-DIOL)</t>
        </is>
      </c>
      <c r="E141" s="3" t="n">
        <v>0.57</v>
      </c>
      <c r="F141" s="3" t="n">
        <v>0.9399999999999999</v>
      </c>
      <c r="G141" s="3">
        <f>F141-E141</f>
        <v/>
      </c>
      <c r="H141" s="4">
        <f>IF(E141=0,"",F141/E141-1)</f>
        <v/>
      </c>
      <c r="I141" t="inlineStr"/>
    </row>
    <row r="142">
      <c r="A142" t="inlineStr">
        <is>
          <t>Organic &amp; inorganic chemicals</t>
        </is>
      </c>
      <c r="B142" t="inlineStr">
        <is>
          <t>28</t>
        </is>
      </c>
      <c r="C142" t="inlineStr">
        <is>
          <t>28421000</t>
        </is>
      </c>
      <c r="D142" t="inlineStr">
        <is>
          <t>DOUBLE OR COMPLEX SILICATES INCL. ALUMINOSILICATES</t>
        </is>
      </c>
      <c r="E142" s="3" t="n">
        <v>1.02</v>
      </c>
      <c r="F142" s="3" t="n">
        <v>0.93</v>
      </c>
      <c r="G142" s="3">
        <f>F142-E142</f>
        <v/>
      </c>
      <c r="H142" s="4">
        <f>IF(E142=0,"",F142/E142-1)</f>
        <v/>
      </c>
      <c r="I142" t="inlineStr"/>
    </row>
    <row r="143">
      <c r="A143" t="inlineStr">
        <is>
          <t>Organic &amp; inorganic chemicals</t>
        </is>
      </c>
      <c r="B143" t="inlineStr">
        <is>
          <t>29</t>
        </is>
      </c>
      <c r="C143" t="inlineStr">
        <is>
          <t>29420011</t>
        </is>
      </c>
      <c r="D143" t="inlineStr">
        <is>
          <t>CEFADROXIL</t>
        </is>
      </c>
      <c r="E143" s="3" t="n">
        <v>0.1</v>
      </c>
      <c r="F143" s="3" t="n">
        <v>0.93</v>
      </c>
      <c r="G143" s="3">
        <f>F143-E143</f>
        <v/>
      </c>
      <c r="H143" s="4">
        <f>IF(E143=0,"",F143/E143-1)</f>
        <v/>
      </c>
      <c r="I143" t="inlineStr"/>
    </row>
    <row r="144">
      <c r="A144" t="inlineStr">
        <is>
          <t>Organic &amp; inorganic chemicals</t>
        </is>
      </c>
      <c r="B144" t="inlineStr">
        <is>
          <t>28</t>
        </is>
      </c>
      <c r="C144" t="inlineStr">
        <is>
          <t>28352500</t>
        </is>
      </c>
      <c r="D144" t="inlineStr">
        <is>
          <t>CALCIUM HYDROGENORTHO PHOSPHATE (DICALCIUM PHOSPHATE</t>
        </is>
      </c>
      <c r="E144" s="3" t="n">
        <v>0.9</v>
      </c>
      <c r="F144" s="3" t="n">
        <v>0.92</v>
      </c>
      <c r="G144" s="3">
        <f>F144-E144</f>
        <v/>
      </c>
      <c r="H144" s="4">
        <f>IF(E144=0,"",F144/E144-1)</f>
        <v/>
      </c>
      <c r="I144" t="inlineStr"/>
    </row>
    <row r="145">
      <c r="A145" t="inlineStr">
        <is>
          <t>Organic &amp; inorganic chemicals</t>
        </is>
      </c>
      <c r="B145" t="inlineStr">
        <is>
          <t>29</t>
        </is>
      </c>
      <c r="C145" t="inlineStr">
        <is>
          <t>29329990</t>
        </is>
      </c>
      <c r="D145" t="inlineStr">
        <is>
          <t>OTHERS-OF-OTHER HETEROCYCLIC COMPNDS WITH OXYGENHETERO - ATOM/S)</t>
        </is>
      </c>
      <c r="E145" s="3" t="n">
        <v>0.88</v>
      </c>
      <c r="F145" s="3" t="n">
        <v>0.87</v>
      </c>
      <c r="G145" s="3">
        <f>F145-E145</f>
        <v/>
      </c>
      <c r="H145" s="4">
        <f>IF(E145=0,"",F145/E145-1)</f>
        <v/>
      </c>
      <c r="I145" t="inlineStr"/>
    </row>
    <row r="146">
      <c r="A146" t="inlineStr">
        <is>
          <t>Organic &amp; inorganic chemicals</t>
        </is>
      </c>
      <c r="B146" t="inlineStr">
        <is>
          <t>29</t>
        </is>
      </c>
      <c r="C146" t="inlineStr">
        <is>
          <t>29309099</t>
        </is>
      </c>
      <c r="D146" t="inlineStr">
        <is>
          <t>OTHER ORGANO-SULPHUR COMPNDS</t>
        </is>
      </c>
      <c r="E146" s="3" t="n">
        <v>0.24</v>
      </c>
      <c r="F146" s="3" t="n">
        <v>0.86</v>
      </c>
      <c r="G146" s="3">
        <f>F146-E146</f>
        <v/>
      </c>
      <c r="H146" s="4">
        <f>IF(E146=0,"",F146/E146-1)</f>
        <v/>
      </c>
      <c r="I146" t="inlineStr"/>
    </row>
    <row r="147">
      <c r="A147" t="inlineStr">
        <is>
          <t>Organic &amp; inorganic chemicals</t>
        </is>
      </c>
      <c r="B147" t="inlineStr">
        <is>
          <t>28</t>
        </is>
      </c>
      <c r="C147" t="inlineStr">
        <is>
          <t>28391900</t>
        </is>
      </c>
      <c r="D147" t="inlineStr">
        <is>
          <t>OTHER SODIUM SILICATES</t>
        </is>
      </c>
      <c r="E147" s="3" t="n">
        <v>0.25</v>
      </c>
      <c r="F147" s="3" t="n">
        <v>0.82</v>
      </c>
      <c r="G147" s="3">
        <f>F147-E147</f>
        <v/>
      </c>
      <c r="H147" s="4">
        <f>IF(E147=0,"",F147/E147-1)</f>
        <v/>
      </c>
      <c r="I147" t="inlineStr"/>
    </row>
    <row r="148">
      <c r="A148" t="inlineStr">
        <is>
          <t>Organic &amp; inorganic chemicals</t>
        </is>
      </c>
      <c r="B148" t="inlineStr">
        <is>
          <t>29</t>
        </is>
      </c>
      <c r="C148" t="inlineStr">
        <is>
          <t>29155000</t>
        </is>
      </c>
      <c r="D148" t="inlineStr">
        <is>
          <t>PROPIONIC ACID ITS SALTS AND ESTERS</t>
        </is>
      </c>
      <c r="E148" s="3" t="n">
        <v>0.4</v>
      </c>
      <c r="F148" s="3" t="n">
        <v>0.8</v>
      </c>
      <c r="G148" s="3">
        <f>F148-E148</f>
        <v/>
      </c>
      <c r="H148" s="4">
        <f>IF(E148=0,"",F148/E148-1)</f>
        <v/>
      </c>
      <c r="I148" t="inlineStr"/>
    </row>
    <row r="149">
      <c r="A149" t="inlineStr">
        <is>
          <t>Organic &amp; inorganic chemicals</t>
        </is>
      </c>
      <c r="B149" t="inlineStr">
        <is>
          <t>29</t>
        </is>
      </c>
      <c r="C149" t="inlineStr">
        <is>
          <t>29054500</t>
        </is>
      </c>
      <c r="D149" t="inlineStr">
        <is>
          <t>GLYCEROL</t>
        </is>
      </c>
      <c r="E149" s="3" t="n">
        <v>0.82</v>
      </c>
      <c r="F149" s="3" t="n">
        <v>0.79</v>
      </c>
      <c r="G149" s="3">
        <f>F149-E149</f>
        <v/>
      </c>
      <c r="H149" s="4">
        <f>IF(E149=0,"",F149/E149-1)</f>
        <v/>
      </c>
      <c r="I149" t="inlineStr"/>
    </row>
    <row r="150">
      <c r="A150" t="inlineStr">
        <is>
          <t>Organic &amp; inorganic chemicals</t>
        </is>
      </c>
      <c r="B150" t="inlineStr">
        <is>
          <t>29</t>
        </is>
      </c>
      <c r="C150" t="inlineStr">
        <is>
          <t>29062100</t>
        </is>
      </c>
      <c r="D150" t="inlineStr">
        <is>
          <t>BENZYL ALCOHOL</t>
        </is>
      </c>
      <c r="E150" s="3" t="n">
        <v>0.74</v>
      </c>
      <c r="F150" s="3" t="n">
        <v>0.79</v>
      </c>
      <c r="G150" s="3">
        <f>F150-E150</f>
        <v/>
      </c>
      <c r="H150" s="4">
        <f>IF(E150=0,"",F150/E150-1)</f>
        <v/>
      </c>
      <c r="I150" t="inlineStr"/>
    </row>
    <row r="151">
      <c r="A151" t="inlineStr">
        <is>
          <t>Organic &amp; inorganic chemicals</t>
        </is>
      </c>
      <c r="B151" t="inlineStr">
        <is>
          <t>28</t>
        </is>
      </c>
      <c r="C151" t="inlineStr">
        <is>
          <t>28369910</t>
        </is>
      </c>
      <c r="D151" t="inlineStr">
        <is>
          <t>PERCARBONATES</t>
        </is>
      </c>
      <c r="E151" s="3" t="n">
        <v>0.74</v>
      </c>
      <c r="F151" s="3" t="n">
        <v>0.76</v>
      </c>
      <c r="G151" s="3">
        <f>F151-E151</f>
        <v/>
      </c>
      <c r="H151" s="4">
        <f>IF(E151=0,"",F151/E151-1)</f>
        <v/>
      </c>
      <c r="I151" t="inlineStr"/>
    </row>
    <row r="152">
      <c r="A152" t="inlineStr">
        <is>
          <t>Organic &amp; inorganic chemicals</t>
        </is>
      </c>
      <c r="B152" t="inlineStr">
        <is>
          <t>29</t>
        </is>
      </c>
      <c r="C152" t="inlineStr">
        <is>
          <t>29232090</t>
        </is>
      </c>
      <c r="D152" t="inlineStr">
        <is>
          <t>OTHERS (PHOSPHOAMINOLIPIDS)</t>
        </is>
      </c>
      <c r="E152" s="3" t="n">
        <v>0</v>
      </c>
      <c r="F152" s="3" t="n">
        <v>0.74</v>
      </c>
      <c r="G152" s="3">
        <f>F152-E152</f>
        <v/>
      </c>
      <c r="H152" s="4">
        <f>IF(E152=0,"",F152/E152-1)</f>
        <v/>
      </c>
      <c r="I152" t="inlineStr"/>
    </row>
    <row r="153">
      <c r="A153" t="inlineStr">
        <is>
          <t>Organic &amp; inorganic chemicals</t>
        </is>
      </c>
      <c r="B153" t="inlineStr">
        <is>
          <t>28</t>
        </is>
      </c>
      <c r="C153" t="inlineStr">
        <is>
          <t>28182090</t>
        </is>
      </c>
      <c r="D153" t="inlineStr">
        <is>
          <t>OTHER ALUMINIUM OXIDE</t>
        </is>
      </c>
      <c r="E153" s="3" t="n">
        <v>202.18</v>
      </c>
      <c r="F153" s="3" t="n">
        <v>0.66</v>
      </c>
      <c r="G153" s="3">
        <f>F153-E153</f>
        <v/>
      </c>
      <c r="H153" s="4">
        <f>IF(E153=0,"",F153/E153-1)</f>
        <v/>
      </c>
      <c r="I153" t="inlineStr"/>
    </row>
    <row r="154">
      <c r="A154" t="inlineStr">
        <is>
          <t>Organic &amp; inorganic chemicals</t>
        </is>
      </c>
      <c r="B154" t="inlineStr">
        <is>
          <t>29</t>
        </is>
      </c>
      <c r="C154" t="inlineStr">
        <is>
          <t>29242990</t>
        </is>
      </c>
      <c r="D154" t="inlineStr">
        <is>
          <t>*OTHER CYCLIC AMIDES AND THR DRVTVS AND SALTS</t>
        </is>
      </c>
      <c r="E154" s="3" t="n">
        <v>1.95</v>
      </c>
      <c r="F154" s="3" t="n">
        <v>0.66</v>
      </c>
      <c r="G154" s="3">
        <f>F154-E154</f>
        <v/>
      </c>
      <c r="H154" s="4">
        <f>IF(E154=0,"",F154/E154-1)</f>
        <v/>
      </c>
      <c r="I154" t="inlineStr"/>
    </row>
    <row r="155">
      <c r="A155" t="inlineStr">
        <is>
          <t>Organic &amp; inorganic chemicals</t>
        </is>
      </c>
      <c r="B155" t="inlineStr">
        <is>
          <t>29</t>
        </is>
      </c>
      <c r="C155" t="inlineStr">
        <is>
          <t>29332910</t>
        </is>
      </c>
      <c r="D155" t="inlineStr">
        <is>
          <t>TINIDAZOLE</t>
        </is>
      </c>
      <c r="E155" s="3" t="n">
        <v>0</v>
      </c>
      <c r="F155" s="3" t="n">
        <v>0.64</v>
      </c>
      <c r="G155" s="3">
        <f>F155-E155</f>
        <v/>
      </c>
      <c r="H155" s="4">
        <f>IF(E155=0,"",F155/E155-1)</f>
        <v/>
      </c>
      <c r="I155" t="inlineStr"/>
    </row>
    <row r="156">
      <c r="A156" t="inlineStr">
        <is>
          <t>Organic &amp; inorganic chemicals</t>
        </is>
      </c>
      <c r="B156" t="inlineStr">
        <is>
          <t>29</t>
        </is>
      </c>
      <c r="C156" t="inlineStr">
        <is>
          <t>29051990</t>
        </is>
      </c>
      <c r="D156" t="inlineStr">
        <is>
          <t>OTHER SATURATED MONOHYDRIC ALCOHOLS</t>
        </is>
      </c>
      <c r="E156" s="3" t="n">
        <v>1.23</v>
      </c>
      <c r="F156" s="3" t="n">
        <v>0.62</v>
      </c>
      <c r="G156" s="3">
        <f>F156-E156</f>
        <v/>
      </c>
      <c r="H156" s="4">
        <f>IF(E156=0,"",F156/E156-1)</f>
        <v/>
      </c>
      <c r="I156" t="inlineStr"/>
    </row>
    <row r="157">
      <c r="A157" t="inlineStr">
        <is>
          <t>Organic &amp; inorganic chemicals</t>
        </is>
      </c>
      <c r="B157" t="inlineStr">
        <is>
          <t>29</t>
        </is>
      </c>
      <c r="C157" t="inlineStr">
        <is>
          <t>29041090</t>
        </is>
      </c>
      <c r="D157" t="inlineStr">
        <is>
          <t>OTHR DRVTV CNTNG ONLY SULPHO GROUP, THEIR SALTS AND ETHYL ESTERS</t>
        </is>
      </c>
      <c r="E157" s="3" t="n">
        <v>1.87</v>
      </c>
      <c r="F157" s="3" t="n">
        <v>0.6</v>
      </c>
      <c r="G157" s="3">
        <f>F157-E157</f>
        <v/>
      </c>
      <c r="H157" s="4">
        <f>IF(E157=0,"",F157/E157-1)</f>
        <v/>
      </c>
      <c r="I157" t="inlineStr"/>
    </row>
    <row r="158">
      <c r="A158" t="inlineStr">
        <is>
          <t>Organic &amp; inorganic chemicals</t>
        </is>
      </c>
      <c r="B158" t="inlineStr">
        <is>
          <t>29</t>
        </is>
      </c>
      <c r="C158" t="inlineStr">
        <is>
          <t>29332990</t>
        </is>
      </c>
      <c r="D158" t="inlineStr">
        <is>
          <t>OTHER COMPNDS CNTNG AN UNFUSED IMIDAZOLE RING (W/N HYDRGNTD ) IN STRUCTURE</t>
        </is>
      </c>
      <c r="E158" s="3" t="n">
        <v>1.12</v>
      </c>
      <c r="F158" s="3" t="n">
        <v>0.59</v>
      </c>
      <c r="G158" s="3">
        <f>F158-E158</f>
        <v/>
      </c>
      <c r="H158" s="4">
        <f>IF(E158=0,"",F158/E158-1)</f>
        <v/>
      </c>
      <c r="I158" t="inlineStr"/>
    </row>
    <row r="159">
      <c r="A159" t="inlineStr">
        <is>
          <t>Organic &amp; inorganic chemicals</t>
        </is>
      </c>
      <c r="B159" t="inlineStr">
        <is>
          <t>29</t>
        </is>
      </c>
      <c r="C159" t="inlineStr">
        <is>
          <t>29182990</t>
        </is>
      </c>
      <c r="D159" t="inlineStr">
        <is>
          <t>OTHER CARBOOXYLIC ACIDS WITH PHNL FN. ETC.</t>
        </is>
      </c>
      <c r="E159" s="3" t="n">
        <v>0.41</v>
      </c>
      <c r="F159" s="3" t="n">
        <v>0.5600000000000001</v>
      </c>
      <c r="G159" s="3">
        <f>F159-E159</f>
        <v/>
      </c>
      <c r="H159" s="4">
        <f>IF(E159=0,"",F159/E159-1)</f>
        <v/>
      </c>
      <c r="I159" t="inlineStr"/>
    </row>
    <row r="160">
      <c r="A160" t="inlineStr">
        <is>
          <t>Organic &amp; inorganic chemicals</t>
        </is>
      </c>
      <c r="B160" t="inlineStr">
        <is>
          <t>28</t>
        </is>
      </c>
      <c r="C160" t="inlineStr">
        <is>
          <t>28042990</t>
        </is>
      </c>
      <c r="D160" t="inlineStr">
        <is>
          <t>OTHR RARE GASES OTHER THAN ARGON AND HELLIUM</t>
        </is>
      </c>
      <c r="E160" s="3" t="n">
        <v>0.7</v>
      </c>
      <c r="F160" s="3" t="n">
        <v>0.54</v>
      </c>
      <c r="G160" s="3">
        <f>F160-E160</f>
        <v/>
      </c>
      <c r="H160" s="4">
        <f>IF(E160=0,"",F160/E160-1)</f>
        <v/>
      </c>
      <c r="I160" t="inlineStr"/>
    </row>
    <row r="161">
      <c r="A161" t="inlineStr">
        <is>
          <t>Organic &amp; inorganic chemicals</t>
        </is>
      </c>
      <c r="B161" t="inlineStr">
        <is>
          <t>29</t>
        </is>
      </c>
      <c r="C161" t="inlineStr">
        <is>
          <t>29221990</t>
        </is>
      </c>
      <c r="D161" t="inlineStr">
        <is>
          <t>OTHERS-OF-OTHER: N,N-DIALKYL (METHYL, ETHYL, N-PROPYL OR ISOPROPYL) -2-AMINOETHANOLS AND THEIR PROTONATED SALTS :</t>
        </is>
      </c>
      <c r="E161" s="3" t="n">
        <v>0.25</v>
      </c>
      <c r="F161" s="3" t="n">
        <v>0.54</v>
      </c>
      <c r="G161" s="3">
        <f>F161-E161</f>
        <v/>
      </c>
      <c r="H161" s="4">
        <f>IF(E161=0,"",F161/E161-1)</f>
        <v/>
      </c>
      <c r="I161" t="inlineStr"/>
    </row>
    <row r="162">
      <c r="A162" t="inlineStr">
        <is>
          <t>Organic &amp; inorganic chemicals</t>
        </is>
      </c>
      <c r="B162" t="inlineStr">
        <is>
          <t>28</t>
        </is>
      </c>
      <c r="C162" t="inlineStr">
        <is>
          <t>28273200</t>
        </is>
      </c>
      <c r="D162" t="inlineStr">
        <is>
          <t>CHLORIDES OF ALUMINIUM</t>
        </is>
      </c>
      <c r="E162" s="3" t="n">
        <v>0.32</v>
      </c>
      <c r="F162" s="3" t="n">
        <v>0.5</v>
      </c>
      <c r="G162" s="3">
        <f>F162-E162</f>
        <v/>
      </c>
      <c r="H162" s="4">
        <f>IF(E162=0,"",F162/E162-1)</f>
        <v/>
      </c>
      <c r="I162" t="inlineStr"/>
    </row>
    <row r="163">
      <c r="A163" t="inlineStr">
        <is>
          <t>Organic &amp; inorganic chemicals</t>
        </is>
      </c>
      <c r="B163" t="inlineStr">
        <is>
          <t>29</t>
        </is>
      </c>
      <c r="C163" t="inlineStr">
        <is>
          <t>29051100</t>
        </is>
      </c>
      <c r="D163" t="inlineStr">
        <is>
          <t>SATURATED METHANOL (METHYL ALCOHOL)</t>
        </is>
      </c>
      <c r="E163" s="3" t="n">
        <v>0.59</v>
      </c>
      <c r="F163" s="3" t="n">
        <v>0.5</v>
      </c>
      <c r="G163" s="3">
        <f>F163-E163</f>
        <v/>
      </c>
      <c r="H163" s="4">
        <f>IF(E163=0,"",F163/E163-1)</f>
        <v/>
      </c>
      <c r="I163" t="inlineStr"/>
    </row>
    <row r="164">
      <c r="A164" t="inlineStr">
        <is>
          <t>Organic &amp; inorganic chemicals</t>
        </is>
      </c>
      <c r="B164" t="inlineStr">
        <is>
          <t>29</t>
        </is>
      </c>
      <c r="C164" t="inlineStr">
        <is>
          <t>29072990</t>
        </is>
      </c>
      <c r="D164" t="inlineStr">
        <is>
          <t>OTHER POLYPHENOLS AND PHENOL ALCOLS NES</t>
        </is>
      </c>
      <c r="E164" s="3" t="n">
        <v>0.17</v>
      </c>
      <c r="F164" s="3" t="n">
        <v>0.5</v>
      </c>
      <c r="G164" s="3">
        <f>F164-E164</f>
        <v/>
      </c>
      <c r="H164" s="4">
        <f>IF(E164=0,"",F164/E164-1)</f>
        <v/>
      </c>
      <c r="I164" t="inlineStr"/>
    </row>
    <row r="165">
      <c r="A165" t="inlineStr">
        <is>
          <t>Organic &amp; inorganic chemicals</t>
        </is>
      </c>
      <c r="B165" t="inlineStr">
        <is>
          <t>29</t>
        </is>
      </c>
      <c r="C165" t="inlineStr">
        <is>
          <t>29109000</t>
        </is>
      </c>
      <c r="D165" t="inlineStr">
        <is>
          <t>*OTHER EPOXIDES, EPOXYALCHLS, EPOXYPHENOLS AND EPOXYETHRS, AND THR HALGNTED, SULPNTD, NITRATED OR NITROSTD DERIVTVS.</t>
        </is>
      </c>
      <c r="E165" s="3" t="n">
        <v>0.26</v>
      </c>
      <c r="F165" s="3" t="n">
        <v>0.5</v>
      </c>
      <c r="G165" s="3">
        <f>F165-E165</f>
        <v/>
      </c>
      <c r="H165" s="4">
        <f>IF(E165=0,"",F165/E165-1)</f>
        <v/>
      </c>
      <c r="I165" t="inlineStr"/>
    </row>
    <row r="166">
      <c r="A166" t="inlineStr">
        <is>
          <t>Organic &amp; inorganic chemicals</t>
        </is>
      </c>
      <c r="B166" t="inlineStr">
        <is>
          <t>29</t>
        </is>
      </c>
      <c r="C166" t="inlineStr">
        <is>
          <t>29391900</t>
        </is>
      </c>
      <c r="D166" t="inlineStr">
        <is>
          <t>OTHER ALKALOIDS OF OPIUM ANDTHR DRVTVS,SALTS</t>
        </is>
      </c>
      <c r="E166" s="3" t="n">
        <v>0</v>
      </c>
      <c r="F166" s="3" t="n">
        <v>0.5</v>
      </c>
      <c r="G166" s="3">
        <f>F166-E166</f>
        <v/>
      </c>
      <c r="H166" s="4">
        <f>IF(E166=0,"",F166/E166-1)</f>
        <v/>
      </c>
      <c r="I166" t="inlineStr"/>
    </row>
    <row r="167">
      <c r="A167" t="inlineStr">
        <is>
          <t>Organic &amp; inorganic chemicals</t>
        </is>
      </c>
      <c r="B167" t="inlineStr">
        <is>
          <t>29</t>
        </is>
      </c>
      <c r="C167" t="inlineStr">
        <is>
          <t>29054300</t>
        </is>
      </c>
      <c r="D167" t="inlineStr">
        <is>
          <t>MANNITOL</t>
        </is>
      </c>
      <c r="E167" s="3" t="n">
        <v>0.09</v>
      </c>
      <c r="F167" s="3" t="n">
        <v>0.49</v>
      </c>
      <c r="G167" s="3">
        <f>F167-E167</f>
        <v/>
      </c>
      <c r="H167" s="4">
        <f>IF(E167=0,"",F167/E167-1)</f>
        <v/>
      </c>
      <c r="I167" t="inlineStr"/>
    </row>
    <row r="168">
      <c r="A168" t="inlineStr">
        <is>
          <t>Organic &amp; inorganic chemicals</t>
        </is>
      </c>
      <c r="B168" t="inlineStr">
        <is>
          <t>29</t>
        </is>
      </c>
      <c r="C168" t="inlineStr">
        <is>
          <t>29394200</t>
        </is>
      </c>
      <c r="D168" t="inlineStr">
        <is>
          <t>*PSEUDOEPHEDRINE (INN) AND ITS SALTS (ALKALOIDS OF EPHEDRA AND THEIR DERIVATIVES; SALTS THEIR OF)</t>
        </is>
      </c>
      <c r="E168" s="3" t="n">
        <v>0.13</v>
      </c>
      <c r="F168" s="3" t="n">
        <v>0.48</v>
      </c>
      <c r="G168" s="3">
        <f>F168-E168</f>
        <v/>
      </c>
      <c r="H168" s="4">
        <f>IF(E168=0,"",F168/E168-1)</f>
        <v/>
      </c>
      <c r="I168" t="inlineStr"/>
    </row>
    <row r="169">
      <c r="A169" t="inlineStr">
        <is>
          <t>Organic &amp; inorganic chemicals</t>
        </is>
      </c>
      <c r="B169" t="inlineStr">
        <is>
          <t>28</t>
        </is>
      </c>
      <c r="C169" t="inlineStr">
        <is>
          <t>28141000</t>
        </is>
      </c>
      <c r="D169" t="inlineStr">
        <is>
          <t>ANHYDROUS AMMONIA</t>
        </is>
      </c>
      <c r="E169" s="3" t="n">
        <v>0.96</v>
      </c>
      <c r="F169" s="3" t="n">
        <v>0.42</v>
      </c>
      <c r="G169" s="3">
        <f>F169-E169</f>
        <v/>
      </c>
      <c r="H169" s="4">
        <f>IF(E169=0,"",F169/E169-1)</f>
        <v/>
      </c>
      <c r="I169" t="inlineStr"/>
    </row>
    <row r="170">
      <c r="A170" t="inlineStr">
        <is>
          <t>Organic &amp; inorganic chemicals</t>
        </is>
      </c>
      <c r="B170" t="inlineStr">
        <is>
          <t>29</t>
        </is>
      </c>
      <c r="C170" t="inlineStr">
        <is>
          <t>29034500</t>
        </is>
      </c>
      <c r="D170" t="inlineStr">
        <is>
          <t>1,1,1,2-TETRAFLUOROETHANE (HFC-134A) AND 1,1,2,2-TETRAFLUOROETHANE (HFC-134)</t>
        </is>
      </c>
      <c r="E170" s="3" t="n">
        <v>0</v>
      </c>
      <c r="F170" s="3" t="n">
        <v>0.42</v>
      </c>
      <c r="G170" s="3">
        <f>F170-E170</f>
        <v/>
      </c>
      <c r="H170" s="4">
        <f>IF(E170=0,"",F170/E170-1)</f>
        <v/>
      </c>
      <c r="I170" t="inlineStr"/>
    </row>
    <row r="171">
      <c r="A171" t="inlineStr">
        <is>
          <t>Organic &amp; inorganic chemicals</t>
        </is>
      </c>
      <c r="B171" t="inlineStr">
        <is>
          <t>29</t>
        </is>
      </c>
      <c r="C171" t="inlineStr">
        <is>
          <t>29225024</t>
        </is>
      </c>
      <c r="D171" t="inlineStr">
        <is>
          <t>D0MPERID0NE</t>
        </is>
      </c>
      <c r="E171" s="3" t="n">
        <v>0.15</v>
      </c>
      <c r="F171" s="3" t="n">
        <v>0.42</v>
      </c>
      <c r="G171" s="3">
        <f>F171-E171</f>
        <v/>
      </c>
      <c r="H171" s="4">
        <f>IF(E171=0,"",F171/E171-1)</f>
        <v/>
      </c>
      <c r="I171" t="inlineStr"/>
    </row>
    <row r="172">
      <c r="A172" t="inlineStr">
        <is>
          <t>Organic &amp; inorganic chemicals</t>
        </is>
      </c>
      <c r="B172" t="inlineStr">
        <is>
          <t>29</t>
        </is>
      </c>
      <c r="C172" t="inlineStr">
        <is>
          <t>29411030</t>
        </is>
      </c>
      <c r="D172" t="inlineStr">
        <is>
          <t>AMOXYCILLINE AND ITS SALTS</t>
        </is>
      </c>
      <c r="E172" s="3" t="n">
        <v>2.93</v>
      </c>
      <c r="F172" s="3" t="n">
        <v>0.42</v>
      </c>
      <c r="G172" s="3">
        <f>F172-E172</f>
        <v/>
      </c>
      <c r="H172" s="4">
        <f>IF(E172=0,"",F172/E172-1)</f>
        <v/>
      </c>
      <c r="I172" t="inlineStr"/>
    </row>
    <row r="173">
      <c r="A173" t="inlineStr">
        <is>
          <t>Organic &amp; inorganic chemicals</t>
        </is>
      </c>
      <c r="B173" t="inlineStr">
        <is>
          <t>28</t>
        </is>
      </c>
      <c r="C173" t="inlineStr">
        <is>
          <t>28332210</t>
        </is>
      </c>
      <c r="D173" t="inlineStr">
        <is>
          <t>ALUMINIUM SULPHATE (IRON FREE)</t>
        </is>
      </c>
      <c r="E173" s="3" t="n">
        <v>0.34</v>
      </c>
      <c r="F173" s="3" t="n">
        <v>0.41</v>
      </c>
      <c r="G173" s="3">
        <f>F173-E173</f>
        <v/>
      </c>
      <c r="H173" s="4">
        <f>IF(E173=0,"",F173/E173-1)</f>
        <v/>
      </c>
      <c r="I173" t="inlineStr"/>
    </row>
    <row r="174">
      <c r="A174" t="inlineStr">
        <is>
          <t>Organic &amp; inorganic chemicals</t>
        </is>
      </c>
      <c r="B174" t="inlineStr">
        <is>
          <t>29</t>
        </is>
      </c>
      <c r="C174" t="inlineStr">
        <is>
          <t>29095050</t>
        </is>
      </c>
      <c r="D174" t="inlineStr">
        <is>
          <t>BUTYLATED HYDROXYANISOLE (BHA)</t>
        </is>
      </c>
      <c r="E174" s="3" t="n">
        <v>0.32</v>
      </c>
      <c r="F174" s="3" t="n">
        <v>0.4</v>
      </c>
      <c r="G174" s="3">
        <f>F174-E174</f>
        <v/>
      </c>
      <c r="H174" s="4">
        <f>IF(E174=0,"",F174/E174-1)</f>
        <v/>
      </c>
      <c r="I174" t="inlineStr"/>
    </row>
    <row r="175">
      <c r="A175" t="inlineStr">
        <is>
          <t>Organic &amp; inorganic chemicals</t>
        </is>
      </c>
      <c r="B175" t="inlineStr">
        <is>
          <t>28</t>
        </is>
      </c>
      <c r="C175" t="inlineStr">
        <is>
          <t>28170010</t>
        </is>
      </c>
      <c r="D175" t="inlineStr">
        <is>
          <t>ZINC OXIDE</t>
        </is>
      </c>
      <c r="E175" s="3" t="n">
        <v>0.03</v>
      </c>
      <c r="F175" s="3" t="n">
        <v>0.38</v>
      </c>
      <c r="G175" s="3">
        <f>F175-E175</f>
        <v/>
      </c>
      <c r="H175" s="4">
        <f>IF(E175=0,"",F175/E175-1)</f>
        <v/>
      </c>
      <c r="I175" t="inlineStr"/>
    </row>
    <row r="176">
      <c r="A176" t="inlineStr">
        <is>
          <t>Organic &amp; inorganic chemicals</t>
        </is>
      </c>
      <c r="B176" t="inlineStr">
        <is>
          <t>28</t>
        </is>
      </c>
      <c r="C176" t="inlineStr">
        <is>
          <t>28151110</t>
        </is>
      </c>
      <c r="D176" t="inlineStr">
        <is>
          <t>FLAKES OF SODIUM HYDROXIDE(NAOH),SOLID</t>
        </is>
      </c>
      <c r="E176" s="3" t="n">
        <v>0.01</v>
      </c>
      <c r="F176" s="3" t="n">
        <v>0.36</v>
      </c>
      <c r="G176" s="3">
        <f>F176-E176</f>
        <v/>
      </c>
      <c r="H176" s="4">
        <f>IF(E176=0,"",F176/E176-1)</f>
        <v/>
      </c>
      <c r="I176" t="inlineStr"/>
    </row>
    <row r="177">
      <c r="A177" t="inlineStr">
        <is>
          <t>Organic &amp; inorganic chemicals</t>
        </is>
      </c>
      <c r="B177" t="inlineStr">
        <is>
          <t>28</t>
        </is>
      </c>
      <c r="C177" t="inlineStr">
        <is>
          <t>28183000</t>
        </is>
      </c>
      <c r="D177" t="inlineStr">
        <is>
          <t>ALUMINIUM HYDROXIDE</t>
        </is>
      </c>
      <c r="E177" s="3" t="n">
        <v>0.02</v>
      </c>
      <c r="F177" s="3" t="n">
        <v>0.35</v>
      </c>
      <c r="G177" s="3">
        <f>F177-E177</f>
        <v/>
      </c>
      <c r="H177" s="4">
        <f>IF(E177=0,"",F177/E177-1)</f>
        <v/>
      </c>
      <c r="I177" t="inlineStr"/>
    </row>
    <row r="178">
      <c r="A178" t="inlineStr">
        <is>
          <t>Organic &amp; inorganic chemicals</t>
        </is>
      </c>
      <c r="B178" t="inlineStr">
        <is>
          <t>28</t>
        </is>
      </c>
      <c r="C178" t="inlineStr">
        <is>
          <t>28061000</t>
        </is>
      </c>
      <c r="D178" t="inlineStr">
        <is>
          <t>HYDROGEN CHLORIDE(HYDROCHLORIC ACID)</t>
        </is>
      </c>
      <c r="E178" s="3" t="n">
        <v>0.33</v>
      </c>
      <c r="F178" s="3" t="n">
        <v>0.34</v>
      </c>
      <c r="G178" s="3">
        <f>F178-E178</f>
        <v/>
      </c>
      <c r="H178" s="4">
        <f>IF(E178=0,"",F178/E178-1)</f>
        <v/>
      </c>
      <c r="I178" t="inlineStr"/>
    </row>
    <row r="179">
      <c r="A179" t="inlineStr">
        <is>
          <t>Organic &amp; inorganic chemicals</t>
        </is>
      </c>
      <c r="B179" t="inlineStr">
        <is>
          <t>29</t>
        </is>
      </c>
      <c r="C179" t="inlineStr">
        <is>
          <t>29291020</t>
        </is>
      </c>
      <c r="D179" t="inlineStr">
        <is>
          <t>TOLUENE DIISOCYANATE</t>
        </is>
      </c>
      <c r="E179" s="3" t="n">
        <v>5.06</v>
      </c>
      <c r="F179" s="3" t="n">
        <v>0.34</v>
      </c>
      <c r="G179" s="3">
        <f>F179-E179</f>
        <v/>
      </c>
      <c r="H179" s="4">
        <f>IF(E179=0,"",F179/E179-1)</f>
        <v/>
      </c>
      <c r="I179" t="inlineStr"/>
    </row>
    <row r="180">
      <c r="A180" t="inlineStr">
        <is>
          <t>Organic &amp; inorganic chemicals</t>
        </is>
      </c>
      <c r="B180" t="inlineStr">
        <is>
          <t>28</t>
        </is>
      </c>
      <c r="C180" t="inlineStr">
        <is>
          <t>28181000</t>
        </is>
      </c>
      <c r="D180" t="inlineStr">
        <is>
          <t>ARTIFICIAL CORUNDUM W/N CHEMICALLY DEFINED</t>
        </is>
      </c>
      <c r="E180" s="3" t="n">
        <v>0</v>
      </c>
      <c r="F180" s="3" t="n">
        <v>0.33</v>
      </c>
      <c r="G180" s="3">
        <f>F180-E180</f>
        <v/>
      </c>
      <c r="H180" s="4">
        <f>IF(E180=0,"",F180/E180-1)</f>
        <v/>
      </c>
      <c r="I180" t="inlineStr"/>
    </row>
    <row r="181">
      <c r="A181" t="inlineStr">
        <is>
          <t>Organic &amp; inorganic chemicals</t>
        </is>
      </c>
      <c r="B181" t="inlineStr">
        <is>
          <t>28</t>
        </is>
      </c>
      <c r="C181" t="inlineStr">
        <is>
          <t>28271000</t>
        </is>
      </c>
      <c r="D181" t="inlineStr">
        <is>
          <t>AMMONIUM CHLORIDE</t>
        </is>
      </c>
      <c r="E181" s="3" t="n">
        <v>0.19</v>
      </c>
      <c r="F181" s="3" t="n">
        <v>0.32</v>
      </c>
      <c r="G181" s="3">
        <f>F181-E181</f>
        <v/>
      </c>
      <c r="H181" s="4">
        <f>IF(E181=0,"",F181/E181-1)</f>
        <v/>
      </c>
      <c r="I181" t="inlineStr"/>
    </row>
    <row r="182">
      <c r="A182" t="inlineStr">
        <is>
          <t>Organic &amp; inorganic chemicals</t>
        </is>
      </c>
      <c r="B182" t="inlineStr">
        <is>
          <t>29</t>
        </is>
      </c>
      <c r="C182" t="inlineStr">
        <is>
          <t>29141100</t>
        </is>
      </c>
      <c r="D182" t="inlineStr">
        <is>
          <t>ACETONE</t>
        </is>
      </c>
      <c r="E182" s="3" t="n">
        <v>0.35</v>
      </c>
      <c r="F182" s="3" t="n">
        <v>0.32</v>
      </c>
      <c r="G182" s="3">
        <f>F182-E182</f>
        <v/>
      </c>
      <c r="H182" s="4">
        <f>IF(E182=0,"",F182/E182-1)</f>
        <v/>
      </c>
      <c r="I182" t="inlineStr"/>
    </row>
    <row r="183">
      <c r="A183" t="inlineStr">
        <is>
          <t>Organic &amp; inorganic chemicals</t>
        </is>
      </c>
      <c r="B183" t="inlineStr">
        <is>
          <t>28</t>
        </is>
      </c>
      <c r="C183" t="inlineStr">
        <is>
          <t>28253090</t>
        </is>
      </c>
      <c r="D183" t="inlineStr">
        <is>
          <t>OTHER OXIDES AND HYDROXIDES OF VANADIUM</t>
        </is>
      </c>
      <c r="E183" s="3" t="n">
        <v>0.4</v>
      </c>
      <c r="F183" s="3" t="n">
        <v>0.31</v>
      </c>
      <c r="G183" s="3">
        <f>F183-E183</f>
        <v/>
      </c>
      <c r="H183" s="4">
        <f>IF(E183=0,"",F183/E183-1)</f>
        <v/>
      </c>
      <c r="I183" t="inlineStr"/>
    </row>
    <row r="184">
      <c r="A184" t="inlineStr">
        <is>
          <t>Organic &amp; inorganic chemicals</t>
        </is>
      </c>
      <c r="B184" t="inlineStr">
        <is>
          <t>29</t>
        </is>
      </c>
      <c r="C184" t="inlineStr">
        <is>
          <t>29420027</t>
        </is>
      </c>
      <c r="D184" t="inlineStr">
        <is>
          <t>ATENOLOL, PROPRONALOL</t>
        </is>
      </c>
      <c r="E184" s="3" t="n">
        <v>0.1</v>
      </c>
      <c r="F184" s="3" t="n">
        <v>0.31</v>
      </c>
      <c r="G184" s="3">
        <f>F184-E184</f>
        <v/>
      </c>
      <c r="H184" s="4">
        <f>IF(E184=0,"",F184/E184-1)</f>
        <v/>
      </c>
      <c r="I184" t="inlineStr"/>
    </row>
    <row r="185">
      <c r="A185" t="inlineStr">
        <is>
          <t>Organic &amp; inorganic chemicals</t>
        </is>
      </c>
      <c r="B185" t="inlineStr">
        <is>
          <t>29</t>
        </is>
      </c>
      <c r="C185" t="inlineStr">
        <is>
          <t>29309070</t>
        </is>
      </c>
      <c r="D185" t="inlineStr">
        <is>
          <t>*MERCAPTAN</t>
        </is>
      </c>
      <c r="E185" s="3" t="n">
        <v>0</v>
      </c>
      <c r="F185" s="3" t="n">
        <v>0.3</v>
      </c>
      <c r="G185" s="3">
        <f>F185-E185</f>
        <v/>
      </c>
      <c r="H185" s="4">
        <f>IF(E185=0,"",F185/E185-1)</f>
        <v/>
      </c>
      <c r="I185" t="inlineStr"/>
    </row>
    <row r="186">
      <c r="A186" t="inlineStr">
        <is>
          <t>Organic &amp; inorganic chemicals</t>
        </is>
      </c>
      <c r="B186" t="inlineStr">
        <is>
          <t>29</t>
        </is>
      </c>
      <c r="C186" t="inlineStr">
        <is>
          <t>29362800</t>
        </is>
      </c>
      <c r="D186" t="inlineStr">
        <is>
          <t>VITAMIN E AND ITS DERIVATIVES</t>
        </is>
      </c>
      <c r="E186" s="3" t="n">
        <v>0.16</v>
      </c>
      <c r="F186" s="3" t="n">
        <v>0.3</v>
      </c>
      <c r="G186" s="3">
        <f>F186-E186</f>
        <v/>
      </c>
      <c r="H186" s="4">
        <f>IF(E186=0,"",F186/E186-1)</f>
        <v/>
      </c>
      <c r="I186" t="inlineStr"/>
    </row>
    <row r="187">
      <c r="A187" t="inlineStr">
        <is>
          <t>Organic &amp; inorganic chemicals</t>
        </is>
      </c>
      <c r="B187" t="inlineStr">
        <is>
          <t>28</t>
        </is>
      </c>
      <c r="C187" t="inlineStr">
        <is>
          <t>28070010</t>
        </is>
      </c>
      <c r="D187" t="inlineStr">
        <is>
          <t>SULPHURIC ACID</t>
        </is>
      </c>
      <c r="E187" s="3" t="n">
        <v>0.27</v>
      </c>
      <c r="F187" s="3" t="n">
        <v>0.27</v>
      </c>
      <c r="G187" s="3">
        <f>F187-E187</f>
        <v/>
      </c>
      <c r="H187" s="4">
        <f>IF(E187=0,"",F187/E187-1)</f>
        <v/>
      </c>
      <c r="I187" t="inlineStr"/>
    </row>
    <row r="188">
      <c r="A188" t="inlineStr">
        <is>
          <t>Organic &amp; inorganic chemicals</t>
        </is>
      </c>
      <c r="B188" t="inlineStr">
        <is>
          <t>29</t>
        </is>
      </c>
      <c r="C188" t="inlineStr">
        <is>
          <t>29163990</t>
        </is>
      </c>
      <c r="D188" t="inlineStr">
        <is>
          <t>OTHER UNSTRD ACYCLIC MONOCRBOXYLC ACDS, CYCLIC MONOCRBOXYLC ACDS, THR ANHYDRDS, HLDS,PEROXIDES AND PEROXYACDS; THR</t>
        </is>
      </c>
      <c r="E188" s="3" t="n">
        <v>0.07000000000000001</v>
      </c>
      <c r="F188" s="3" t="n">
        <v>0.27</v>
      </c>
      <c r="G188" s="3">
        <f>F188-E188</f>
        <v/>
      </c>
      <c r="H188" s="4">
        <f>IF(E188=0,"",F188/E188-1)</f>
        <v/>
      </c>
      <c r="I188" t="inlineStr"/>
    </row>
    <row r="189">
      <c r="A189" t="inlineStr">
        <is>
          <t>Organic &amp; inorganic chemicals</t>
        </is>
      </c>
      <c r="B189" t="inlineStr">
        <is>
          <t>29</t>
        </is>
      </c>
      <c r="C189" t="inlineStr">
        <is>
          <t>29411040</t>
        </is>
      </c>
      <c r="D189" t="inlineStr">
        <is>
          <t>CLOXACILLINE AND ITS SALTS</t>
        </is>
      </c>
      <c r="E189" s="3" t="n">
        <v>0.34</v>
      </c>
      <c r="F189" s="3" t="n">
        <v>0.27</v>
      </c>
      <c r="G189" s="3">
        <f>F189-E189</f>
        <v/>
      </c>
      <c r="H189" s="4">
        <f>IF(E189=0,"",F189/E189-1)</f>
        <v/>
      </c>
      <c r="I189" t="inlineStr"/>
    </row>
    <row r="190">
      <c r="A190" t="inlineStr">
        <is>
          <t>Organic &amp; inorganic chemicals</t>
        </is>
      </c>
      <c r="B190" t="inlineStr">
        <is>
          <t>28</t>
        </is>
      </c>
      <c r="C190" t="inlineStr">
        <is>
          <t>28112930</t>
        </is>
      </c>
      <c r="D190" t="inlineStr">
        <is>
          <t>NITROUS OXIDE</t>
        </is>
      </c>
      <c r="E190" s="3" t="n">
        <v>0.38</v>
      </c>
      <c r="F190" s="3" t="n">
        <v>0.26</v>
      </c>
      <c r="G190" s="3">
        <f>F190-E190</f>
        <v/>
      </c>
      <c r="H190" s="4">
        <f>IF(E190=0,"",F190/E190-1)</f>
        <v/>
      </c>
      <c r="I190" t="inlineStr"/>
    </row>
    <row r="191">
      <c r="A191" t="inlineStr">
        <is>
          <t>Organic &amp; inorganic chemicals</t>
        </is>
      </c>
      <c r="B191" t="inlineStr">
        <is>
          <t>28</t>
        </is>
      </c>
      <c r="C191" t="inlineStr">
        <is>
          <t>28342100</t>
        </is>
      </c>
      <c r="D191" t="inlineStr">
        <is>
          <t>POTASSIUM NITRATE</t>
        </is>
      </c>
      <c r="E191" s="3" t="n">
        <v>0</v>
      </c>
      <c r="F191" s="3" t="n">
        <v>0.26</v>
      </c>
      <c r="G191" s="3">
        <f>F191-E191</f>
        <v/>
      </c>
      <c r="H191" s="4">
        <f>IF(E191=0,"",F191/E191-1)</f>
        <v/>
      </c>
      <c r="I191" t="inlineStr"/>
    </row>
    <row r="192">
      <c r="A192" t="inlineStr">
        <is>
          <t>Organic &amp; inorganic chemicals</t>
        </is>
      </c>
      <c r="B192" t="inlineStr">
        <is>
          <t>29</t>
        </is>
      </c>
      <c r="C192" t="inlineStr">
        <is>
          <t>29071990</t>
        </is>
      </c>
      <c r="D192" t="inlineStr">
        <is>
          <t>OTHER MONOPHENOLS</t>
        </is>
      </c>
      <c r="E192" s="3" t="n">
        <v>0.14</v>
      </c>
      <c r="F192" s="3" t="n">
        <v>0.26</v>
      </c>
      <c r="G192" s="3">
        <f>F192-E192</f>
        <v/>
      </c>
      <c r="H192" s="4">
        <f>IF(E192=0,"",F192/E192-1)</f>
        <v/>
      </c>
      <c r="I192" t="inlineStr"/>
    </row>
    <row r="193">
      <c r="A193" t="inlineStr">
        <is>
          <t>Organic &amp; inorganic chemicals</t>
        </is>
      </c>
      <c r="B193" t="inlineStr">
        <is>
          <t>28</t>
        </is>
      </c>
      <c r="C193" t="inlineStr">
        <is>
          <t>28211010</t>
        </is>
      </c>
      <c r="D193" t="inlineStr">
        <is>
          <t>IRON OXIDES</t>
        </is>
      </c>
      <c r="E193" s="3" t="n">
        <v>0.22</v>
      </c>
      <c r="F193" s="3" t="n">
        <v>0.25</v>
      </c>
      <c r="G193" s="3">
        <f>F193-E193</f>
        <v/>
      </c>
      <c r="H193" s="4">
        <f>IF(E193=0,"",F193/E193-1)</f>
        <v/>
      </c>
      <c r="I193" t="inlineStr"/>
    </row>
    <row r="194">
      <c r="A194" t="inlineStr">
        <is>
          <t>Organic &amp; inorganic chemicals</t>
        </is>
      </c>
      <c r="B194" t="inlineStr">
        <is>
          <t>28</t>
        </is>
      </c>
      <c r="C194" t="inlineStr">
        <is>
          <t>28341090</t>
        </is>
      </c>
      <c r="D194" t="inlineStr">
        <is>
          <t>OTHER NITRITES</t>
        </is>
      </c>
      <c r="E194" s="3" t="n">
        <v>0.32</v>
      </c>
      <c r="F194" s="3" t="n">
        <v>0.25</v>
      </c>
      <c r="G194" s="3">
        <f>F194-E194</f>
        <v/>
      </c>
      <c r="H194" s="4">
        <f>IF(E194=0,"",F194/E194-1)</f>
        <v/>
      </c>
      <c r="I194" t="inlineStr"/>
    </row>
    <row r="195">
      <c r="A195" t="inlineStr">
        <is>
          <t>Organic &amp; inorganic chemicals</t>
        </is>
      </c>
      <c r="B195" t="inlineStr">
        <is>
          <t>29</t>
        </is>
      </c>
      <c r="C195" t="inlineStr">
        <is>
          <t>29372200</t>
        </is>
      </c>
      <c r="D195" t="inlineStr">
        <is>
          <t>HALGNTD DRVTVS OF CORTI COSTEROIDAL</t>
        </is>
      </c>
      <c r="E195" s="3" t="n">
        <v>0</v>
      </c>
      <c r="F195" s="3" t="n">
        <v>0.25</v>
      </c>
      <c r="G195" s="3">
        <f>F195-E195</f>
        <v/>
      </c>
      <c r="H195" s="4">
        <f>IF(E195=0,"",F195/E195-1)</f>
        <v/>
      </c>
      <c r="I195" t="inlineStr"/>
    </row>
    <row r="196">
      <c r="A196" t="inlineStr">
        <is>
          <t>Organic &amp; inorganic chemicals</t>
        </is>
      </c>
      <c r="B196" t="inlineStr">
        <is>
          <t>28</t>
        </is>
      </c>
      <c r="C196" t="inlineStr">
        <is>
          <t>28399090</t>
        </is>
      </c>
      <c r="D196" t="inlineStr">
        <is>
          <t>OTHER SILICATES AND COMMRCL METAL SILICATES, NES</t>
        </is>
      </c>
      <c r="E196" s="3" t="n">
        <v>0.04</v>
      </c>
      <c r="F196" s="3" t="n">
        <v>0.24</v>
      </c>
      <c r="G196" s="3">
        <f>F196-E196</f>
        <v/>
      </c>
      <c r="H196" s="4">
        <f>IF(E196=0,"",F196/E196-1)</f>
        <v/>
      </c>
      <c r="I196" t="inlineStr"/>
    </row>
    <row r="197">
      <c r="A197" t="inlineStr">
        <is>
          <t>Organic &amp; inorganic chemicals</t>
        </is>
      </c>
      <c r="B197" t="inlineStr">
        <is>
          <t>29</t>
        </is>
      </c>
      <c r="C197" t="inlineStr">
        <is>
          <t>29359011</t>
        </is>
      </c>
      <c r="D197" t="inlineStr">
        <is>
          <t>SULPHAMETHOXAZOLE</t>
        </is>
      </c>
      <c r="E197" s="3" t="n">
        <v>0.03</v>
      </c>
      <c r="F197" s="3" t="n">
        <v>0.24</v>
      </c>
      <c r="G197" s="3">
        <f>F197-E197</f>
        <v/>
      </c>
      <c r="H197" s="4">
        <f>IF(E197=0,"",F197/E197-1)</f>
        <v/>
      </c>
      <c r="I197" t="inlineStr"/>
    </row>
    <row r="198">
      <c r="A198" t="inlineStr">
        <is>
          <t>Organic &amp; inorganic chemicals</t>
        </is>
      </c>
      <c r="B198" t="inlineStr">
        <is>
          <t>28</t>
        </is>
      </c>
      <c r="C198" t="inlineStr">
        <is>
          <t>28364000</t>
        </is>
      </c>
      <c r="D198" t="inlineStr">
        <is>
          <t>POTASSIUM CARBONATES</t>
        </is>
      </c>
      <c r="E198" s="3" t="n">
        <v>0.27</v>
      </c>
      <c r="F198" s="3" t="n">
        <v>0.23</v>
      </c>
      <c r="G198" s="3">
        <f>F198-E198</f>
        <v/>
      </c>
      <c r="H198" s="4">
        <f>IF(E198=0,"",F198/E198-1)</f>
        <v/>
      </c>
      <c r="I198" t="inlineStr"/>
    </row>
    <row r="199">
      <c r="A199" t="inlineStr">
        <is>
          <t>Organic &amp; inorganic chemicals</t>
        </is>
      </c>
      <c r="B199" t="inlineStr">
        <is>
          <t>29</t>
        </is>
      </c>
      <c r="C199" t="inlineStr">
        <is>
          <t>29239000</t>
        </is>
      </c>
      <c r="D199" t="inlineStr">
        <is>
          <t>OTHER QUATERNARY AMMONIUM SALTS AND HYDROXDELECITHINS AND OTHR PHOSPHOAMINOLIPIDS</t>
        </is>
      </c>
      <c r="E199" s="3" t="n">
        <v>0.12</v>
      </c>
      <c r="F199" s="3" t="n">
        <v>0.22</v>
      </c>
      <c r="G199" s="3">
        <f>F199-E199</f>
        <v/>
      </c>
      <c r="H199" s="4">
        <f>IF(E199=0,"",F199/E199-1)</f>
        <v/>
      </c>
      <c r="I199" t="inlineStr"/>
    </row>
    <row r="200">
      <c r="A200" t="inlineStr">
        <is>
          <t>Organic &amp; inorganic chemicals</t>
        </is>
      </c>
      <c r="B200" t="inlineStr">
        <is>
          <t>29</t>
        </is>
      </c>
      <c r="C200" t="inlineStr">
        <is>
          <t>29362990</t>
        </is>
      </c>
      <c r="D200" t="inlineStr">
        <is>
          <t>OTHER VITAMINS AND THR DRVTVS</t>
        </is>
      </c>
      <c r="E200" s="3" t="n">
        <v>0.19</v>
      </c>
      <c r="F200" s="3" t="n">
        <v>0.22</v>
      </c>
      <c r="G200" s="3">
        <f>F200-E200</f>
        <v/>
      </c>
      <c r="H200" s="4">
        <f>IF(E200=0,"",F200/E200-1)</f>
        <v/>
      </c>
      <c r="I200" t="inlineStr"/>
    </row>
    <row r="201">
      <c r="A201" t="inlineStr">
        <is>
          <t>Organic &amp; inorganic chemicals</t>
        </is>
      </c>
      <c r="B201" t="inlineStr">
        <is>
          <t>28</t>
        </is>
      </c>
      <c r="C201" t="inlineStr">
        <is>
          <t>28049000</t>
        </is>
      </c>
      <c r="D201" t="inlineStr">
        <is>
          <t>SELENIUM</t>
        </is>
      </c>
      <c r="E201" s="3" t="n">
        <v>0</v>
      </c>
      <c r="F201" s="3" t="n">
        <v>0.21</v>
      </c>
      <c r="G201" s="3">
        <f>F201-E201</f>
        <v/>
      </c>
      <c r="H201" s="4">
        <f>IF(E201=0,"",F201/E201-1)</f>
        <v/>
      </c>
      <c r="I201" t="inlineStr"/>
    </row>
    <row r="202">
      <c r="A202" t="inlineStr">
        <is>
          <t>Organic &amp; inorganic chemicals</t>
        </is>
      </c>
      <c r="B202" t="inlineStr">
        <is>
          <t>28</t>
        </is>
      </c>
      <c r="C202" t="inlineStr">
        <is>
          <t>28492090</t>
        </is>
      </c>
      <c r="D202" t="inlineStr">
        <is>
          <t>OTHER CARBIDES OF SILICON</t>
        </is>
      </c>
      <c r="E202" s="3" t="n">
        <v>0</v>
      </c>
      <c r="F202" s="3" t="n">
        <v>0.21</v>
      </c>
      <c r="G202" s="3">
        <f>F202-E202</f>
        <v/>
      </c>
      <c r="H202" s="4">
        <f>IF(E202=0,"",F202/E202-1)</f>
        <v/>
      </c>
      <c r="I202" t="inlineStr"/>
    </row>
    <row r="203">
      <c r="A203" t="inlineStr">
        <is>
          <t>Organic &amp; inorganic chemicals</t>
        </is>
      </c>
      <c r="B203" t="inlineStr">
        <is>
          <t>29</t>
        </is>
      </c>
      <c r="C203" t="inlineStr">
        <is>
          <t>29053920</t>
        </is>
      </c>
      <c r="D203" t="inlineStr">
        <is>
          <t>HEXYLENE GLYCOL</t>
        </is>
      </c>
      <c r="E203" s="3" t="n">
        <v>0</v>
      </c>
      <c r="F203" s="3" t="n">
        <v>0.21</v>
      </c>
      <c r="G203" s="3">
        <f>F203-E203</f>
        <v/>
      </c>
      <c r="H203" s="4">
        <f>IF(E203=0,"",F203/E203-1)</f>
        <v/>
      </c>
      <c r="I203" t="inlineStr"/>
    </row>
    <row r="204">
      <c r="A204" t="inlineStr">
        <is>
          <t>Organic &amp; inorganic chemicals</t>
        </is>
      </c>
      <c r="B204" t="inlineStr">
        <is>
          <t>29</t>
        </is>
      </c>
      <c r="C204" t="inlineStr">
        <is>
          <t>29161590</t>
        </is>
      </c>
      <c r="D204" t="inlineStr">
        <is>
          <t>OTHER OLEIC LINOLEIC ACIDS AND THEIR SALTS ANDESTRS</t>
        </is>
      </c>
      <c r="E204" s="3" t="n">
        <v>0.27</v>
      </c>
      <c r="F204" s="3" t="n">
        <v>0.21</v>
      </c>
      <c r="G204" s="3">
        <f>F204-E204</f>
        <v/>
      </c>
      <c r="H204" s="4">
        <f>IF(E204=0,"",F204/E204-1)</f>
        <v/>
      </c>
      <c r="I204" t="inlineStr"/>
    </row>
    <row r="205">
      <c r="A205" t="inlineStr">
        <is>
          <t>Organic &amp; inorganic chemicals</t>
        </is>
      </c>
      <c r="B205" t="inlineStr">
        <is>
          <t>29</t>
        </is>
      </c>
      <c r="C205" t="inlineStr">
        <is>
          <t>29221200</t>
        </is>
      </c>
      <c r="D205" t="inlineStr">
        <is>
          <t>DIETHANOLAMINE AND ITS SALTS</t>
        </is>
      </c>
      <c r="E205" s="3" t="n">
        <v>0.21</v>
      </c>
      <c r="F205" s="3" t="n">
        <v>0.21</v>
      </c>
      <c r="G205" s="3">
        <f>F205-E205</f>
        <v/>
      </c>
      <c r="H205" s="4">
        <f>IF(E205=0,"",F205/E205-1)</f>
        <v/>
      </c>
      <c r="I205" t="inlineStr"/>
    </row>
    <row r="206">
      <c r="A206" t="inlineStr">
        <is>
          <t>Organic &amp; inorganic chemicals</t>
        </is>
      </c>
      <c r="B206" t="inlineStr">
        <is>
          <t>28</t>
        </is>
      </c>
      <c r="C206" t="inlineStr">
        <is>
          <t>28042100</t>
        </is>
      </c>
      <c r="D206" t="inlineStr">
        <is>
          <t>ARGON (RARE GASES)</t>
        </is>
      </c>
      <c r="E206" s="3" t="n">
        <v>0.39</v>
      </c>
      <c r="F206" s="3" t="n">
        <v>0.2</v>
      </c>
      <c r="G206" s="3">
        <f>F206-E206</f>
        <v/>
      </c>
      <c r="H206" s="4">
        <f>IF(E206=0,"",F206/E206-1)</f>
        <v/>
      </c>
      <c r="I206" t="inlineStr"/>
    </row>
    <row r="207">
      <c r="A207" t="inlineStr">
        <is>
          <t>Organic &amp; inorganic chemicals</t>
        </is>
      </c>
      <c r="B207" t="inlineStr">
        <is>
          <t>28</t>
        </is>
      </c>
      <c r="C207" t="inlineStr">
        <is>
          <t>28151190</t>
        </is>
      </c>
      <c r="D207" t="inlineStr">
        <is>
          <t>NAOH, SOLID, OTHER THAN FLAKES</t>
        </is>
      </c>
      <c r="E207" s="3" t="n">
        <v>0</v>
      </c>
      <c r="F207" s="3" t="n">
        <v>0.2</v>
      </c>
      <c r="G207" s="3">
        <f>F207-E207</f>
        <v/>
      </c>
      <c r="H207" s="4">
        <f>IF(E207=0,"",F207/E207-1)</f>
        <v/>
      </c>
      <c r="I207" t="inlineStr"/>
    </row>
    <row r="208">
      <c r="A208" t="inlineStr">
        <is>
          <t>Organic &amp; inorganic chemicals</t>
        </is>
      </c>
      <c r="B208" t="inlineStr">
        <is>
          <t>29</t>
        </is>
      </c>
      <c r="C208" t="inlineStr">
        <is>
          <t>29034600</t>
        </is>
      </c>
      <c r="D208" t="inlineStr">
        <is>
          <t>1,1,1,2,3,3,3-HEPTAFLUOROPROPANE,1,1,1,2,2,3-HEXAFLUOROPROPANE,HEXAFLUOROPROPANE(1,1,1,2,3,3/1,1,1,3,3,3)</t>
        </is>
      </c>
      <c r="E208" s="3" t="n">
        <v>0.03</v>
      </c>
      <c r="F208" s="3" t="n">
        <v>0.19</v>
      </c>
      <c r="G208" s="3">
        <f>F208-E208</f>
        <v/>
      </c>
      <c r="H208" s="4">
        <f>IF(E208=0,"",F208/E208-1)</f>
        <v/>
      </c>
      <c r="I208" t="inlineStr"/>
    </row>
    <row r="209">
      <c r="A209" t="inlineStr">
        <is>
          <t>Organic &amp; inorganic chemicals</t>
        </is>
      </c>
      <c r="B209" t="inlineStr">
        <is>
          <t>29</t>
        </is>
      </c>
      <c r="C209" t="inlineStr">
        <is>
          <t>29199090</t>
        </is>
      </c>
      <c r="D209" t="inlineStr">
        <is>
          <t>OTHER PHASPHRC ESTERS AND THEIR SALTS</t>
        </is>
      </c>
      <c r="E209" s="3" t="n">
        <v>0</v>
      </c>
      <c r="F209" s="3" t="n">
        <v>0.19</v>
      </c>
      <c r="G209" s="3">
        <f>F209-E209</f>
        <v/>
      </c>
      <c r="H209" s="4">
        <f>IF(E209=0,"",F209/E209-1)</f>
        <v/>
      </c>
      <c r="I209" t="inlineStr"/>
    </row>
    <row r="210">
      <c r="A210" t="inlineStr">
        <is>
          <t>Organic &amp; inorganic chemicals</t>
        </is>
      </c>
      <c r="B210" t="inlineStr">
        <is>
          <t>29</t>
        </is>
      </c>
      <c r="C210" t="inlineStr">
        <is>
          <t>29171990</t>
        </is>
      </c>
      <c r="D210" t="inlineStr">
        <is>
          <t>OTHR ACYLC PLYCRBOXYLC ACDS AND THR DRVTVS</t>
        </is>
      </c>
      <c r="E210" s="3" t="n">
        <v>0.05</v>
      </c>
      <c r="F210" s="3" t="n">
        <v>0.18</v>
      </c>
      <c r="G210" s="3">
        <f>F210-E210</f>
        <v/>
      </c>
      <c r="H210" s="4">
        <f>IF(E210=0,"",F210/E210-1)</f>
        <v/>
      </c>
      <c r="I210" t="inlineStr"/>
    </row>
    <row r="211">
      <c r="A211" t="inlineStr">
        <is>
          <t>Organic &amp; inorganic chemicals</t>
        </is>
      </c>
      <c r="B211" t="inlineStr">
        <is>
          <t>29</t>
        </is>
      </c>
      <c r="C211" t="inlineStr">
        <is>
          <t>29251100</t>
        </is>
      </c>
      <c r="D211" t="inlineStr">
        <is>
          <t>SACCHARIN AND ITS SALTS</t>
        </is>
      </c>
      <c r="E211" s="3" t="n">
        <v>0.21</v>
      </c>
      <c r="F211" s="3" t="n">
        <v>0.18</v>
      </c>
      <c r="G211" s="3">
        <f>F211-E211</f>
        <v/>
      </c>
      <c r="H211" s="4">
        <f>IF(E211=0,"",F211/E211-1)</f>
        <v/>
      </c>
      <c r="I211" t="inlineStr"/>
    </row>
    <row r="212">
      <c r="A212" t="inlineStr">
        <is>
          <t>Organic &amp; inorganic chemicals</t>
        </is>
      </c>
      <c r="B212" t="inlineStr">
        <is>
          <t>28</t>
        </is>
      </c>
      <c r="C212" t="inlineStr">
        <is>
          <t>28201000</t>
        </is>
      </c>
      <c r="D212" t="inlineStr">
        <is>
          <t>MANGANESE DIOXIDE</t>
        </is>
      </c>
      <c r="E212" s="3" t="n">
        <v>0</v>
      </c>
      <c r="F212" s="3" t="n">
        <v>0.17</v>
      </c>
      <c r="G212" s="3">
        <f>F212-E212</f>
        <v/>
      </c>
      <c r="H212" s="4">
        <f>IF(E212=0,"",F212/E212-1)</f>
        <v/>
      </c>
      <c r="I212" t="inlineStr"/>
    </row>
    <row r="213">
      <c r="A213" t="inlineStr">
        <is>
          <t>Organic &amp; inorganic chemicals</t>
        </is>
      </c>
      <c r="B213" t="inlineStr">
        <is>
          <t>29</t>
        </is>
      </c>
      <c r="C213" t="inlineStr">
        <is>
          <t>29212100</t>
        </is>
      </c>
      <c r="D213" t="inlineStr">
        <is>
          <t>ETHYLENEDIAMINE AND ITS SALTS</t>
        </is>
      </c>
      <c r="E213" s="3" t="n">
        <v>0.26</v>
      </c>
      <c r="F213" s="3" t="n">
        <v>0.16</v>
      </c>
      <c r="G213" s="3">
        <f>F213-E213</f>
        <v/>
      </c>
      <c r="H213" s="4">
        <f>IF(E213=0,"",F213/E213-1)</f>
        <v/>
      </c>
      <c r="I213" t="inlineStr"/>
    </row>
    <row r="214">
      <c r="A214" t="inlineStr">
        <is>
          <t>Organic &amp; inorganic chemicals</t>
        </is>
      </c>
      <c r="B214" t="inlineStr">
        <is>
          <t>29</t>
        </is>
      </c>
      <c r="C214" t="inlineStr">
        <is>
          <t>29212910</t>
        </is>
      </c>
      <c r="D214" t="inlineStr">
        <is>
          <t>HEXAMETHYLENE TETRAMINE (HEXAMINE) NOT PUT UP AS FUEL OR MEDICAMENT</t>
        </is>
      </c>
      <c r="E214" s="3" t="n">
        <v>0</v>
      </c>
      <c r="F214" s="3" t="n">
        <v>0.16</v>
      </c>
      <c r="G214" s="3">
        <f>F214-E214</f>
        <v/>
      </c>
      <c r="H214" s="4">
        <f>IF(E214=0,"",F214/E214-1)</f>
        <v/>
      </c>
      <c r="I214" t="inlineStr"/>
    </row>
    <row r="215">
      <c r="A215" t="inlineStr">
        <is>
          <t>Organic &amp; inorganic chemicals</t>
        </is>
      </c>
      <c r="B215" t="inlineStr">
        <is>
          <t>28</t>
        </is>
      </c>
      <c r="C215" t="inlineStr">
        <is>
          <t>28142000</t>
        </is>
      </c>
      <c r="D215" t="inlineStr">
        <is>
          <t>AMMONIA IN AQUEOUS SOLUTION</t>
        </is>
      </c>
      <c r="E215" s="3" t="n">
        <v>0.05</v>
      </c>
      <c r="F215" s="3" t="n">
        <v>0.15</v>
      </c>
      <c r="G215" s="3">
        <f>F215-E215</f>
        <v/>
      </c>
      <c r="H215" s="4">
        <f>IF(E215=0,"",F215/E215-1)</f>
        <v/>
      </c>
      <c r="I215" t="inlineStr"/>
    </row>
    <row r="216">
      <c r="A216" t="inlineStr">
        <is>
          <t>Organic &amp; inorganic chemicals</t>
        </is>
      </c>
      <c r="B216" t="inlineStr">
        <is>
          <t>29</t>
        </is>
      </c>
      <c r="C216" t="inlineStr">
        <is>
          <t>29396900</t>
        </is>
      </c>
      <c r="D216" t="inlineStr">
        <is>
          <t>OTHER, OF VEGETAL ORIGIN</t>
        </is>
      </c>
      <c r="E216" s="3" t="n">
        <v>0.05</v>
      </c>
      <c r="F216" s="3" t="n">
        <v>0.15</v>
      </c>
      <c r="G216" s="3">
        <f>F216-E216</f>
        <v/>
      </c>
      <c r="H216" s="4">
        <f>IF(E216=0,"",F216/E216-1)</f>
        <v/>
      </c>
      <c r="I216" t="inlineStr"/>
    </row>
    <row r="217">
      <c r="A217" t="inlineStr">
        <is>
          <t>Organic &amp; inorganic chemicals</t>
        </is>
      </c>
      <c r="B217" t="inlineStr">
        <is>
          <t>29</t>
        </is>
      </c>
      <c r="C217" t="inlineStr">
        <is>
          <t>29039130</t>
        </is>
      </c>
      <c r="D217" t="inlineStr">
        <is>
          <t>P - DICHLOROBENZENE (PARADICHLOROBENZENE)</t>
        </is>
      </c>
      <c r="E217" s="3" t="n">
        <v>0.3</v>
      </c>
      <c r="F217" s="3" t="n">
        <v>0.13</v>
      </c>
      <c r="G217" s="3">
        <f>F217-E217</f>
        <v/>
      </c>
      <c r="H217" s="4">
        <f>IF(E217=0,"",F217/E217-1)</f>
        <v/>
      </c>
      <c r="I217" t="inlineStr"/>
    </row>
    <row r="218">
      <c r="A218" t="inlineStr">
        <is>
          <t>Organic &amp; inorganic chemicals</t>
        </is>
      </c>
      <c r="B218" t="inlineStr">
        <is>
          <t>29</t>
        </is>
      </c>
      <c r="C218" t="inlineStr">
        <is>
          <t>29182200</t>
        </is>
      </c>
      <c r="D218" t="inlineStr">
        <is>
          <t>0-ACETYLSALICYLIC ACID ITS SALTS AND ESTRS</t>
        </is>
      </c>
      <c r="E218" s="3" t="n">
        <v>0.18</v>
      </c>
      <c r="F218" s="3" t="n">
        <v>0.13</v>
      </c>
      <c r="G218" s="3">
        <f>F218-E218</f>
        <v/>
      </c>
      <c r="H218" s="4">
        <f>IF(E218=0,"",F218/E218-1)</f>
        <v/>
      </c>
      <c r="I218" t="inlineStr"/>
    </row>
    <row r="219">
      <c r="A219" t="inlineStr">
        <is>
          <t>Organic &amp; inorganic chemicals</t>
        </is>
      </c>
      <c r="B219" t="inlineStr">
        <is>
          <t>28</t>
        </is>
      </c>
      <c r="C219" t="inlineStr">
        <is>
          <t>28100020</t>
        </is>
      </c>
      <c r="D219" t="inlineStr">
        <is>
          <t>BORIC ACID</t>
        </is>
      </c>
      <c r="E219" s="3" t="n">
        <v>0.18</v>
      </c>
      <c r="F219" s="3" t="n">
        <v>0.12</v>
      </c>
      <c r="G219" s="3">
        <f>F219-E219</f>
        <v/>
      </c>
      <c r="H219" s="4">
        <f>IF(E219=0,"",F219/E219-1)</f>
        <v/>
      </c>
      <c r="I219" t="inlineStr"/>
    </row>
    <row r="220">
      <c r="A220" t="inlineStr">
        <is>
          <t>Organic &amp; inorganic chemicals</t>
        </is>
      </c>
      <c r="B220" t="inlineStr">
        <is>
          <t>28</t>
        </is>
      </c>
      <c r="C220" t="inlineStr">
        <is>
          <t>28276010</t>
        </is>
      </c>
      <c r="D220" t="inlineStr">
        <is>
          <t>POTASSIUM IODIDE</t>
        </is>
      </c>
      <c r="E220" s="3" t="n">
        <v>0.03</v>
      </c>
      <c r="F220" s="3" t="n">
        <v>0.12</v>
      </c>
      <c r="G220" s="3">
        <f>F220-E220</f>
        <v/>
      </c>
      <c r="H220" s="4">
        <f>IF(E220=0,"",F220/E220-1)</f>
        <v/>
      </c>
      <c r="I220" t="inlineStr"/>
    </row>
    <row r="221">
      <c r="A221" t="inlineStr">
        <is>
          <t>Organic &amp; inorganic chemicals</t>
        </is>
      </c>
      <c r="B221" t="inlineStr">
        <is>
          <t>28</t>
        </is>
      </c>
      <c r="C221" t="inlineStr">
        <is>
          <t>28366000</t>
        </is>
      </c>
      <c r="D221" t="inlineStr">
        <is>
          <t>BARIUM CARBONATE</t>
        </is>
      </c>
      <c r="E221" s="3" t="n">
        <v>0</v>
      </c>
      <c r="F221" s="3" t="n">
        <v>0.12</v>
      </c>
      <c r="G221" s="3">
        <f>F221-E221</f>
        <v/>
      </c>
      <c r="H221" s="4">
        <f>IF(E221=0,"",F221/E221-1)</f>
        <v/>
      </c>
      <c r="I221" t="inlineStr"/>
    </row>
    <row r="222">
      <c r="A222" t="inlineStr">
        <is>
          <t>Organic &amp; inorganic chemicals</t>
        </is>
      </c>
      <c r="B222" t="inlineStr">
        <is>
          <t>29</t>
        </is>
      </c>
      <c r="C222" t="inlineStr">
        <is>
          <t>29095090</t>
        </is>
      </c>
      <c r="D222" t="inlineStr">
        <is>
          <t>OTHER ETHR-PHNLS,ETHR ALCHL-PHNLS</t>
        </is>
      </c>
      <c r="E222" s="3" t="n">
        <v>0.03</v>
      </c>
      <c r="F222" s="3" t="n">
        <v>0.12</v>
      </c>
      <c r="G222" s="3">
        <f>F222-E222</f>
        <v/>
      </c>
      <c r="H222" s="4">
        <f>IF(E222=0,"",F222/E222-1)</f>
        <v/>
      </c>
      <c r="I222" t="inlineStr"/>
    </row>
    <row r="223">
      <c r="A223" t="inlineStr">
        <is>
          <t>Organic &amp; inorganic chemicals</t>
        </is>
      </c>
      <c r="B223" t="inlineStr">
        <is>
          <t>29</t>
        </is>
      </c>
      <c r="C223" t="inlineStr">
        <is>
          <t>29211990</t>
        </is>
      </c>
      <c r="D223" t="inlineStr">
        <is>
          <t>OTHERS-OF-OTHER : N,N-DIALKYL (METHYL, ETHYL, N-PROPYL OR ISOPROPYL) --2-CHLOROETHYLAMINES AND THEIR PROTONATED SALTS :</t>
        </is>
      </c>
      <c r="E223" s="3" t="n">
        <v>0.01</v>
      </c>
      <c r="F223" s="3" t="n">
        <v>0.12</v>
      </c>
      <c r="G223" s="3">
        <f>F223-E223</f>
        <v/>
      </c>
      <c r="H223" s="4">
        <f>IF(E223=0,"",F223/E223-1)</f>
        <v/>
      </c>
      <c r="I223" t="inlineStr"/>
    </row>
    <row r="224">
      <c r="A224" t="inlineStr">
        <is>
          <t>Organic &amp; inorganic chemicals</t>
        </is>
      </c>
      <c r="B224" t="inlineStr">
        <is>
          <t>29</t>
        </is>
      </c>
      <c r="C224" t="inlineStr">
        <is>
          <t>29337990</t>
        </is>
      </c>
      <c r="D224" t="inlineStr">
        <is>
          <t>OTHERS-OF-OTHER LACTAMS</t>
        </is>
      </c>
      <c r="E224" s="3" t="n">
        <v>0.11</v>
      </c>
      <c r="F224" s="3" t="n">
        <v>0.11</v>
      </c>
      <c r="G224" s="3">
        <f>F224-E224</f>
        <v/>
      </c>
      <c r="H224" s="4">
        <f>IF(E224=0,"",F224/E224-1)</f>
        <v/>
      </c>
      <c r="I224" t="inlineStr"/>
    </row>
    <row r="225">
      <c r="A225" t="inlineStr">
        <is>
          <t>Organic &amp; inorganic chemicals</t>
        </is>
      </c>
      <c r="B225" t="inlineStr">
        <is>
          <t>28</t>
        </is>
      </c>
      <c r="C225" t="inlineStr">
        <is>
          <t>28365000</t>
        </is>
      </c>
      <c r="D225" t="inlineStr">
        <is>
          <t>CALCIUM CARBONATE</t>
        </is>
      </c>
      <c r="E225" s="3" t="n">
        <v>0.09</v>
      </c>
      <c r="F225" s="3" t="n">
        <v>0.1</v>
      </c>
      <c r="G225" s="3">
        <f>F225-E225</f>
        <v/>
      </c>
      <c r="H225" s="4">
        <f>IF(E225=0,"",F225/E225-1)</f>
        <v/>
      </c>
      <c r="I225" t="inlineStr"/>
    </row>
    <row r="226">
      <c r="A226" t="inlineStr">
        <is>
          <t>Organic &amp; inorganic chemicals</t>
        </is>
      </c>
      <c r="B226" t="inlineStr">
        <is>
          <t>28</t>
        </is>
      </c>
      <c r="C226" t="inlineStr">
        <is>
          <t>28439012</t>
        </is>
      </c>
      <c r="D226" t="inlineStr">
        <is>
          <t>NOBLE METAL SOLUTIONS OF PLATINUM,RHODIUM AND PALLADIUM</t>
        </is>
      </c>
      <c r="E226" s="3" t="n">
        <v>0.04</v>
      </c>
      <c r="F226" s="3" t="n">
        <v>0.1</v>
      </c>
      <c r="G226" s="3">
        <f>F226-E226</f>
        <v/>
      </c>
      <c r="H226" s="4">
        <f>IF(E226=0,"",F226/E226-1)</f>
        <v/>
      </c>
      <c r="I226" t="inlineStr"/>
    </row>
    <row r="227">
      <c r="A227" t="inlineStr">
        <is>
          <t>Organic &amp; inorganic chemicals</t>
        </is>
      </c>
      <c r="B227" t="inlineStr">
        <is>
          <t>29</t>
        </is>
      </c>
      <c r="C227" t="inlineStr">
        <is>
          <t>29214990</t>
        </is>
      </c>
      <c r="D227" t="inlineStr">
        <is>
          <t>OTHER ARMTC MONO AMNS AND THR DRVTVS AND SALTS</t>
        </is>
      </c>
      <c r="E227" s="3" t="n">
        <v>0</v>
      </c>
      <c r="F227" s="3" t="n">
        <v>0.1</v>
      </c>
      <c r="G227" s="3">
        <f>F227-E227</f>
        <v/>
      </c>
      <c r="H227" s="4">
        <f>IF(E227=0,"",F227/E227-1)</f>
        <v/>
      </c>
      <c r="I227" t="inlineStr"/>
    </row>
    <row r="228">
      <c r="A228" t="inlineStr">
        <is>
          <t>Organic &amp; inorganic chemicals</t>
        </is>
      </c>
      <c r="B228" t="inlineStr">
        <is>
          <t>29</t>
        </is>
      </c>
      <c r="C228" t="inlineStr">
        <is>
          <t>29420031</t>
        </is>
      </c>
      <c r="D228" t="inlineStr">
        <is>
          <t>DILOXANIDE FUROATE</t>
        </is>
      </c>
      <c r="E228" s="3" t="n">
        <v>0.14</v>
      </c>
      <c r="F228" s="3" t="n">
        <v>0.1</v>
      </c>
      <c r="G228" s="3">
        <f>F228-E228</f>
        <v/>
      </c>
      <c r="H228" s="4">
        <f>IF(E228=0,"",F228/E228-1)</f>
        <v/>
      </c>
      <c r="I228" t="inlineStr"/>
    </row>
    <row r="229">
      <c r="A229" t="inlineStr">
        <is>
          <t>Organic &amp; inorganic chemicals</t>
        </is>
      </c>
      <c r="B229" t="inlineStr">
        <is>
          <t>28</t>
        </is>
      </c>
      <c r="C229" t="inlineStr">
        <is>
          <t>28220010</t>
        </is>
      </c>
      <c r="D229" t="inlineStr">
        <is>
          <t>COBALT OXIDE</t>
        </is>
      </c>
      <c r="E229" s="3" t="n">
        <v>0</v>
      </c>
      <c r="F229" s="3" t="n">
        <v>0.09</v>
      </c>
      <c r="G229" s="3">
        <f>F229-E229</f>
        <v/>
      </c>
      <c r="H229" s="4">
        <f>IF(E229=0,"",F229/E229-1)</f>
        <v/>
      </c>
      <c r="I229" t="inlineStr"/>
    </row>
    <row r="230">
      <c r="A230" t="inlineStr">
        <is>
          <t>Organic &amp; inorganic chemicals</t>
        </is>
      </c>
      <c r="B230" t="inlineStr">
        <is>
          <t>29</t>
        </is>
      </c>
      <c r="C230" t="inlineStr">
        <is>
          <t>29181690</t>
        </is>
      </c>
      <c r="D230" t="inlineStr">
        <is>
          <t>OTHER GLUCONIC ACID ITS SALTS AND ESTERS</t>
        </is>
      </c>
      <c r="E230" s="3" t="n">
        <v>0.01</v>
      </c>
      <c r="F230" s="3" t="n">
        <v>0.09</v>
      </c>
      <c r="G230" s="3">
        <f>F230-E230</f>
        <v/>
      </c>
      <c r="H230" s="4">
        <f>IF(E230=0,"",F230/E230-1)</f>
        <v/>
      </c>
      <c r="I230" t="inlineStr"/>
    </row>
    <row r="231">
      <c r="A231" t="inlineStr">
        <is>
          <t>Organic &amp; inorganic chemicals</t>
        </is>
      </c>
      <c r="B231" t="inlineStr">
        <is>
          <t>29</t>
        </is>
      </c>
      <c r="C231" t="inlineStr">
        <is>
          <t>29372100</t>
        </is>
      </c>
      <c r="D231" t="inlineStr">
        <is>
          <t>CORTISONE,HYDROCORTISONE,PREDNISONE (DEHY-DROCORTISONE)AND FREDNISOLONE AND PRDNSLN(DEHYDROHYDROCORTISONE)</t>
        </is>
      </c>
      <c r="E231" s="3" t="n">
        <v>0.05</v>
      </c>
      <c r="F231" s="3" t="n">
        <v>0.09</v>
      </c>
      <c r="G231" s="3">
        <f>F231-E231</f>
        <v/>
      </c>
      <c r="H231" s="4">
        <f>IF(E231=0,"",F231/E231-1)</f>
        <v/>
      </c>
      <c r="I231" t="inlineStr"/>
    </row>
    <row r="232">
      <c r="A232" t="inlineStr">
        <is>
          <t>Organic &amp; inorganic chemicals</t>
        </is>
      </c>
      <c r="B232" t="inlineStr">
        <is>
          <t>28</t>
        </is>
      </c>
      <c r="C232" t="inlineStr">
        <is>
          <t>28289030</t>
        </is>
      </c>
      <c r="D232" t="inlineStr">
        <is>
          <t>SODIUM CHLORITE</t>
        </is>
      </c>
      <c r="E232" s="3" t="n">
        <v>0</v>
      </c>
      <c r="F232" s="3" t="n">
        <v>0.08</v>
      </c>
      <c r="G232" s="3">
        <f>F232-E232</f>
        <v/>
      </c>
      <c r="H232" s="4">
        <f>IF(E232=0,"",F232/E232-1)</f>
        <v/>
      </c>
      <c r="I232" t="inlineStr"/>
    </row>
    <row r="233">
      <c r="A233" t="inlineStr">
        <is>
          <t>Organic &amp; inorganic chemicals</t>
        </is>
      </c>
      <c r="B233" t="inlineStr">
        <is>
          <t>28</t>
        </is>
      </c>
      <c r="C233" t="inlineStr">
        <is>
          <t>28352690</t>
        </is>
      </c>
      <c r="D233" t="inlineStr">
        <is>
          <t>OTHER CALCIUM PHOSPHATE</t>
        </is>
      </c>
      <c r="E233" s="3" t="n">
        <v>0.05</v>
      </c>
      <c r="F233" s="3" t="n">
        <v>0.08</v>
      </c>
      <c r="G233" s="3">
        <f>F233-E233</f>
        <v/>
      </c>
      <c r="H233" s="4">
        <f>IF(E233=0,"",F233/E233-1)</f>
        <v/>
      </c>
      <c r="I233" t="inlineStr"/>
    </row>
    <row r="234">
      <c r="A234" t="inlineStr">
        <is>
          <t>Organic &amp; inorganic chemicals</t>
        </is>
      </c>
      <c r="B234" t="inlineStr">
        <is>
          <t>29</t>
        </is>
      </c>
      <c r="C234" t="inlineStr">
        <is>
          <t>29051420</t>
        </is>
      </c>
      <c r="D234" t="inlineStr">
        <is>
          <t>SALBUTAMOL SULPHATE</t>
        </is>
      </c>
      <c r="E234" s="3" t="n">
        <v>0.01</v>
      </c>
      <c r="F234" s="3" t="n">
        <v>0.08</v>
      </c>
      <c r="G234" s="3">
        <f>F234-E234</f>
        <v/>
      </c>
      <c r="H234" s="4">
        <f>IF(E234=0,"",F234/E234-1)</f>
        <v/>
      </c>
      <c r="I234" t="inlineStr"/>
    </row>
    <row r="235">
      <c r="A235" t="inlineStr">
        <is>
          <t>Organic &amp; inorganic chemicals</t>
        </is>
      </c>
      <c r="B235" t="inlineStr">
        <is>
          <t>29</t>
        </is>
      </c>
      <c r="C235" t="inlineStr">
        <is>
          <t>29071110</t>
        </is>
      </c>
      <c r="D235" t="inlineStr">
        <is>
          <t>PHENOL,PURE CARBOLIC ACID</t>
        </is>
      </c>
      <c r="E235" s="3" t="n">
        <v>0.06</v>
      </c>
      <c r="F235" s="3" t="n">
        <v>0.08</v>
      </c>
      <c r="G235" s="3">
        <f>F235-E235</f>
        <v/>
      </c>
      <c r="H235" s="4">
        <f>IF(E235=0,"",F235/E235-1)</f>
        <v/>
      </c>
      <c r="I235" t="inlineStr"/>
    </row>
    <row r="236">
      <c r="A236" t="inlineStr">
        <is>
          <t>Organic &amp; inorganic chemicals</t>
        </is>
      </c>
      <c r="B236" t="inlineStr">
        <is>
          <t>29</t>
        </is>
      </c>
      <c r="C236" t="inlineStr">
        <is>
          <t>29182190</t>
        </is>
      </c>
      <c r="D236" t="inlineStr">
        <is>
          <t>OTHER SALICYLIC ACID AND ITS SALTS</t>
        </is>
      </c>
      <c r="E236" s="3" t="n">
        <v>0</v>
      </c>
      <c r="F236" s="3" t="n">
        <v>0.08</v>
      </c>
      <c r="G236" s="3">
        <f>F236-E236</f>
        <v/>
      </c>
      <c r="H236" s="4">
        <f>IF(E236=0,"",F236/E236-1)</f>
        <v/>
      </c>
      <c r="I236" t="inlineStr"/>
    </row>
    <row r="237">
      <c r="A237" t="inlineStr">
        <is>
          <t>Organic &amp; inorganic chemicals</t>
        </is>
      </c>
      <c r="B237" t="inlineStr">
        <is>
          <t>29</t>
        </is>
      </c>
      <c r="C237" t="inlineStr">
        <is>
          <t>29332950</t>
        </is>
      </c>
      <c r="D237" t="inlineStr">
        <is>
          <t>ALBENDAZ0LE</t>
        </is>
      </c>
      <c r="E237" s="3" t="n">
        <v>0.01</v>
      </c>
      <c r="F237" s="3" t="n">
        <v>0.08</v>
      </c>
      <c r="G237" s="3">
        <f>F237-E237</f>
        <v/>
      </c>
      <c r="H237" s="4">
        <f>IF(E237=0,"",F237/E237-1)</f>
        <v/>
      </c>
      <c r="I237" t="inlineStr"/>
    </row>
    <row r="238">
      <c r="A238" t="inlineStr">
        <is>
          <t>Organic &amp; inorganic chemicals</t>
        </is>
      </c>
      <c r="B238" t="inlineStr">
        <is>
          <t>29</t>
        </is>
      </c>
      <c r="C238" t="inlineStr">
        <is>
          <t>29335920</t>
        </is>
      </c>
      <c r="D238" t="inlineStr">
        <is>
          <t>TRIMETHOPRIM</t>
        </is>
      </c>
      <c r="E238" s="3" t="n">
        <v>0.01</v>
      </c>
      <c r="F238" s="3" t="n">
        <v>0.08</v>
      </c>
      <c r="G238" s="3">
        <f>F238-E238</f>
        <v/>
      </c>
      <c r="H238" s="4">
        <f>IF(E238=0,"",F238/E238-1)</f>
        <v/>
      </c>
      <c r="I238" t="inlineStr"/>
    </row>
    <row r="239">
      <c r="A239" t="inlineStr">
        <is>
          <t>Organic &amp; inorganic chemicals</t>
        </is>
      </c>
      <c r="B239" t="inlineStr">
        <is>
          <t>29</t>
        </is>
      </c>
      <c r="C239" t="inlineStr">
        <is>
          <t>29411090</t>
        </is>
      </c>
      <c r="D239" t="inlineStr">
        <is>
          <t>OTHER PENICILLINS AND THR DRVTVS WTH A PENTCILLIANIC ACID STRCTR SLTS THEREOF</t>
        </is>
      </c>
      <c r="E239" s="3" t="n">
        <v>0</v>
      </c>
      <c r="F239" s="3" t="n">
        <v>0.08</v>
      </c>
      <c r="G239" s="3">
        <f>F239-E239</f>
        <v/>
      </c>
      <c r="H239" s="4">
        <f>IF(E239=0,"",F239/E239-1)</f>
        <v/>
      </c>
      <c r="I239" t="inlineStr"/>
    </row>
    <row r="240">
      <c r="A240" t="inlineStr">
        <is>
          <t>Organic &amp; inorganic chemicals</t>
        </is>
      </c>
      <c r="B240" t="inlineStr">
        <is>
          <t>29</t>
        </is>
      </c>
      <c r="C240" t="inlineStr">
        <is>
          <t>29419030</t>
        </is>
      </c>
      <c r="D240" t="inlineStr">
        <is>
          <t>CIPROFLOXACINE AND ITS SALTS</t>
        </is>
      </c>
      <c r="E240" s="3" t="n">
        <v>2.25</v>
      </c>
      <c r="F240" s="3" t="n">
        <v>0.08</v>
      </c>
      <c r="G240" s="3">
        <f>F240-E240</f>
        <v/>
      </c>
      <c r="H240" s="4">
        <f>IF(E240=0,"",F240/E240-1)</f>
        <v/>
      </c>
      <c r="I240" t="inlineStr"/>
    </row>
    <row r="241">
      <c r="A241" t="inlineStr">
        <is>
          <t>Organic &amp; inorganic chemicals</t>
        </is>
      </c>
      <c r="B241" t="inlineStr">
        <is>
          <t>29</t>
        </is>
      </c>
      <c r="C241" t="inlineStr">
        <is>
          <t>29159099</t>
        </is>
      </c>
      <c r="D241" t="inlineStr">
        <is>
          <t>OTHERS-OF-OTHR SATRTD ACYLC,MNOCRBOXYLC ACDS AND THRANHYDRDS,HALDS,PEROXDS,PEROXY ACIDS AND THR HALGNTD SLPHNTD NITRTD AND NIT</t>
        </is>
      </c>
      <c r="E241" s="3" t="n">
        <v>0.02</v>
      </c>
      <c r="F241" s="3" t="n">
        <v>0.07000000000000001</v>
      </c>
      <c r="G241" s="3">
        <f>F241-E241</f>
        <v/>
      </c>
      <c r="H241" s="4">
        <f>IF(E241=0,"",F241/E241-1)</f>
        <v/>
      </c>
      <c r="I241" t="inlineStr"/>
    </row>
    <row r="242">
      <c r="A242" t="inlineStr">
        <is>
          <t>Organic &amp; inorganic chemicals</t>
        </is>
      </c>
      <c r="B242" t="inlineStr">
        <is>
          <t>29</t>
        </is>
      </c>
      <c r="C242" t="inlineStr">
        <is>
          <t>29181400</t>
        </is>
      </c>
      <c r="D242" t="inlineStr">
        <is>
          <t>CITRIC ACID</t>
        </is>
      </c>
      <c r="E242" s="3" t="n">
        <v>0.29</v>
      </c>
      <c r="F242" s="3" t="n">
        <v>0.07000000000000001</v>
      </c>
      <c r="G242" s="3">
        <f>F242-E242</f>
        <v/>
      </c>
      <c r="H242" s="4">
        <f>IF(E242=0,"",F242/E242-1)</f>
        <v/>
      </c>
      <c r="I242" t="inlineStr"/>
    </row>
    <row r="243">
      <c r="A243" t="inlineStr">
        <is>
          <t>Organic &amp; inorganic chemicals</t>
        </is>
      </c>
      <c r="B243" t="inlineStr">
        <is>
          <t>28</t>
        </is>
      </c>
      <c r="C243" t="inlineStr">
        <is>
          <t>28321010</t>
        </is>
      </c>
      <c r="D243" t="inlineStr">
        <is>
          <t>SODIUM BI-SULPHITE</t>
        </is>
      </c>
      <c r="E243" s="3" t="n">
        <v>1.23</v>
      </c>
      <c r="F243" s="3" t="n">
        <v>0.06</v>
      </c>
      <c r="G243" s="3">
        <f>F243-E243</f>
        <v/>
      </c>
      <c r="H243" s="4">
        <f>IF(E243=0,"",F243/E243-1)</f>
        <v/>
      </c>
      <c r="I243" t="inlineStr"/>
    </row>
    <row r="244">
      <c r="A244" t="inlineStr">
        <is>
          <t>Organic &amp; inorganic chemicals</t>
        </is>
      </c>
      <c r="B244" t="inlineStr">
        <is>
          <t>28</t>
        </is>
      </c>
      <c r="C244" t="inlineStr">
        <is>
          <t>28352200</t>
        </is>
      </c>
      <c r="D244" t="inlineStr">
        <is>
          <t>MONO OR DISODIUM PHOSPHATE</t>
        </is>
      </c>
      <c r="E244" s="3" t="n">
        <v>0.03</v>
      </c>
      <c r="F244" s="3" t="n">
        <v>0.06</v>
      </c>
      <c r="G244" s="3">
        <f>F244-E244</f>
        <v/>
      </c>
      <c r="H244" s="4">
        <f>IF(E244=0,"",F244/E244-1)</f>
        <v/>
      </c>
      <c r="I244" t="inlineStr"/>
    </row>
    <row r="245">
      <c r="A245" t="inlineStr">
        <is>
          <t>Organic &amp; inorganic chemicals</t>
        </is>
      </c>
      <c r="B245" t="inlineStr">
        <is>
          <t>28</t>
        </is>
      </c>
      <c r="C245" t="inlineStr">
        <is>
          <t>28369100</t>
        </is>
      </c>
      <c r="D245" t="inlineStr">
        <is>
          <t>LITHIUM CARBONATES</t>
        </is>
      </c>
      <c r="E245" s="3" t="n">
        <v>0</v>
      </c>
      <c r="F245" s="3" t="n">
        <v>0.06</v>
      </c>
      <c r="G245" s="3">
        <f>F245-E245</f>
        <v/>
      </c>
      <c r="H245" s="4">
        <f>IF(E245=0,"",F245/E245-1)</f>
        <v/>
      </c>
      <c r="I245" t="inlineStr"/>
    </row>
    <row r="246">
      <c r="A246" t="inlineStr">
        <is>
          <t>Organic &amp; inorganic chemicals</t>
        </is>
      </c>
      <c r="B246" t="inlineStr">
        <is>
          <t>28</t>
        </is>
      </c>
      <c r="C246" t="inlineStr">
        <is>
          <t>28416100</t>
        </is>
      </c>
      <c r="D246" t="inlineStr">
        <is>
          <t>POTASSIUM PERMANGANATE</t>
        </is>
      </c>
      <c r="E246" s="3" t="n">
        <v>0</v>
      </c>
      <c r="F246" s="3" t="n">
        <v>0.06</v>
      </c>
      <c r="G246" s="3">
        <f>F246-E246</f>
        <v/>
      </c>
      <c r="H246" s="4">
        <f>IF(E246=0,"",F246/E246-1)</f>
        <v/>
      </c>
      <c r="I246" t="inlineStr"/>
    </row>
    <row r="247">
      <c r="A247" t="inlineStr">
        <is>
          <t>Organic &amp; inorganic chemicals</t>
        </is>
      </c>
      <c r="B247" t="inlineStr">
        <is>
          <t>29</t>
        </is>
      </c>
      <c r="C247" t="inlineStr">
        <is>
          <t>29181190</t>
        </is>
      </c>
      <c r="D247" t="inlineStr">
        <is>
          <t>OTHER SALTS AND ESTERS OF LACTIC ACID</t>
        </is>
      </c>
      <c r="E247" s="3" t="n">
        <v>0.04</v>
      </c>
      <c r="F247" s="3" t="n">
        <v>0.06</v>
      </c>
      <c r="G247" s="3">
        <f>F247-E247</f>
        <v/>
      </c>
      <c r="H247" s="4">
        <f>IF(E247=0,"",F247/E247-1)</f>
        <v/>
      </c>
      <c r="I247" t="inlineStr"/>
    </row>
    <row r="248">
      <c r="A248" t="inlineStr">
        <is>
          <t>Organic &amp; inorganic chemicals</t>
        </is>
      </c>
      <c r="B248" t="inlineStr">
        <is>
          <t>29</t>
        </is>
      </c>
      <c r="C248" t="inlineStr">
        <is>
          <t>29189990</t>
        </is>
      </c>
      <c r="D248" t="inlineStr">
        <is>
          <t>OTHERS-OF-OTHERS-OF-CRBOXYLC ACDS WTH ADDTNL OXYGN FNCTNANHYDRDS HALDS PEROXIDES AND PEROXYACSDSTHRHALGNTD SLPHNTD NITRTD/NITR</t>
        </is>
      </c>
      <c r="E248" s="3" t="n">
        <v>0.03</v>
      </c>
      <c r="F248" s="3" t="n">
        <v>0.06</v>
      </c>
      <c r="G248" s="3">
        <f>F248-E248</f>
        <v/>
      </c>
      <c r="H248" s="4">
        <f>IF(E248=0,"",F248/E248-1)</f>
        <v/>
      </c>
      <c r="I248" t="inlineStr"/>
    </row>
    <row r="249">
      <c r="A249" t="inlineStr">
        <is>
          <t>Organic &amp; inorganic chemicals</t>
        </is>
      </c>
      <c r="B249" t="inlineStr">
        <is>
          <t>29</t>
        </is>
      </c>
      <c r="C249" t="inlineStr">
        <is>
          <t>29362700</t>
        </is>
      </c>
      <c r="D249" t="inlineStr">
        <is>
          <t>VITAMIN C (ASCORBIC ACID) AND ITS DRVTVS</t>
        </is>
      </c>
      <c r="E249" s="3" t="n">
        <v>0.01</v>
      </c>
      <c r="F249" s="3" t="n">
        <v>0.06</v>
      </c>
      <c r="G249" s="3">
        <f>F249-E249</f>
        <v/>
      </c>
      <c r="H249" s="4">
        <f>IF(E249=0,"",F249/E249-1)</f>
        <v/>
      </c>
      <c r="I249" t="inlineStr"/>
    </row>
    <row r="250">
      <c r="A250" t="inlineStr">
        <is>
          <t>Organic &amp; inorganic chemicals</t>
        </is>
      </c>
      <c r="B250" t="inlineStr">
        <is>
          <t>29</t>
        </is>
      </c>
      <c r="C250" t="inlineStr">
        <is>
          <t>29389090</t>
        </is>
      </c>
      <c r="D250" t="inlineStr">
        <is>
          <t>OTHER GLYCOSIDES NTRL/RPRDCD BY SYNTHSIS ANDTHR SLTS ETHRS DRVTVS</t>
        </is>
      </c>
      <c r="E250" s="3" t="n">
        <v>0</v>
      </c>
      <c r="F250" s="3" t="n">
        <v>0.06</v>
      </c>
      <c r="G250" s="3">
        <f>F250-E250</f>
        <v/>
      </c>
      <c r="H250" s="4">
        <f>IF(E250=0,"",F250/E250-1)</f>
        <v/>
      </c>
      <c r="I250" t="inlineStr"/>
    </row>
    <row r="251">
      <c r="A251" t="inlineStr">
        <is>
          <t>Organic &amp; inorganic chemicals</t>
        </is>
      </c>
      <c r="B251" t="inlineStr">
        <is>
          <t>28</t>
        </is>
      </c>
      <c r="C251" t="inlineStr">
        <is>
          <t>28230010</t>
        </is>
      </c>
      <c r="D251" t="inlineStr">
        <is>
          <t>TITANIUM DIOXIDE</t>
        </is>
      </c>
      <c r="E251" s="3" t="n">
        <v>0.08</v>
      </c>
      <c r="F251" s="3" t="n">
        <v>0.05</v>
      </c>
      <c r="G251" s="3">
        <f>F251-E251</f>
        <v/>
      </c>
      <c r="H251" s="4">
        <f>IF(E251=0,"",F251/E251-1)</f>
        <v/>
      </c>
      <c r="I251" t="inlineStr"/>
    </row>
    <row r="252">
      <c r="A252" t="inlineStr">
        <is>
          <t>Organic &amp; inorganic chemicals</t>
        </is>
      </c>
      <c r="B252" t="inlineStr">
        <is>
          <t>28</t>
        </is>
      </c>
      <c r="C252" t="inlineStr">
        <is>
          <t>28353100</t>
        </is>
      </c>
      <c r="D252" t="inlineStr">
        <is>
          <t>SODIUM TRIPHOSPHATE( SODIUM TRIPLYPHOSPHAE</t>
        </is>
      </c>
      <c r="E252" s="3" t="n">
        <v>0.04</v>
      </c>
      <c r="F252" s="3" t="n">
        <v>0.05</v>
      </c>
      <c r="G252" s="3">
        <f>F252-E252</f>
        <v/>
      </c>
      <c r="H252" s="4">
        <f>IF(E252=0,"",F252/E252-1)</f>
        <v/>
      </c>
      <c r="I252" t="inlineStr"/>
    </row>
    <row r="253">
      <c r="A253" t="inlineStr">
        <is>
          <t>Organic &amp; inorganic chemicals</t>
        </is>
      </c>
      <c r="B253" t="inlineStr">
        <is>
          <t>28</t>
        </is>
      </c>
      <c r="C253" t="inlineStr">
        <is>
          <t>28539010</t>
        </is>
      </c>
      <c r="D253" t="inlineStr">
        <is>
          <t>DISTILLED OR CONDUCTIVITY WATER AND WATER OF SIMILAR PURITY</t>
        </is>
      </c>
      <c r="E253" s="3" t="n">
        <v>0.06</v>
      </c>
      <c r="F253" s="3" t="n">
        <v>0.05</v>
      </c>
      <c r="G253" s="3">
        <f>F253-E253</f>
        <v/>
      </c>
      <c r="H253" s="4">
        <f>IF(E253=0,"",F253/E253-1)</f>
        <v/>
      </c>
      <c r="I253" t="inlineStr"/>
    </row>
    <row r="254">
      <c r="A254" t="inlineStr">
        <is>
          <t>Organic &amp; inorganic chemicals</t>
        </is>
      </c>
      <c r="B254" t="inlineStr">
        <is>
          <t>29</t>
        </is>
      </c>
      <c r="C254" t="inlineStr">
        <is>
          <t>29144000</t>
        </is>
      </c>
      <c r="D254" t="inlineStr">
        <is>
          <t>KETONE-ALCOHOLS AND KETONE ALDEHYDES</t>
        </is>
      </c>
      <c r="E254" s="3" t="n">
        <v>0</v>
      </c>
      <c r="F254" s="3" t="n">
        <v>0.05</v>
      </c>
      <c r="G254" s="3">
        <f>F254-E254</f>
        <v/>
      </c>
      <c r="H254" s="4">
        <f>IF(E254=0,"",F254/E254-1)</f>
        <v/>
      </c>
      <c r="I254" t="inlineStr"/>
    </row>
    <row r="255">
      <c r="A255" t="inlineStr">
        <is>
          <t>Organic &amp; inorganic chemicals</t>
        </is>
      </c>
      <c r="B255" t="inlineStr">
        <is>
          <t>29</t>
        </is>
      </c>
      <c r="C255" t="inlineStr">
        <is>
          <t>29163190</t>
        </is>
      </c>
      <c r="D255" t="inlineStr">
        <is>
          <t>OTHER SALTS AND ESTERS OF BENZOIC ACID</t>
        </is>
      </c>
      <c r="E255" s="3" t="n">
        <v>0.01</v>
      </c>
      <c r="F255" s="3" t="n">
        <v>0.05</v>
      </c>
      <c r="G255" s="3">
        <f>F255-E255</f>
        <v/>
      </c>
      <c r="H255" s="4">
        <f>IF(E255=0,"",F255/E255-1)</f>
        <v/>
      </c>
      <c r="I255" t="inlineStr"/>
    </row>
    <row r="256">
      <c r="A256" t="inlineStr">
        <is>
          <t>Organic &amp; inorganic chemicals</t>
        </is>
      </c>
      <c r="B256" t="inlineStr">
        <is>
          <t>29</t>
        </is>
      </c>
      <c r="C256" t="inlineStr">
        <is>
          <t>29171110</t>
        </is>
      </c>
      <c r="D256" t="inlineStr">
        <is>
          <t>OXALIC ACID</t>
        </is>
      </c>
      <c r="E256" s="3" t="n">
        <v>0</v>
      </c>
      <c r="F256" s="3" t="n">
        <v>0.05</v>
      </c>
      <c r="G256" s="3">
        <f>F256-E256</f>
        <v/>
      </c>
      <c r="H256" s="4">
        <f>IF(E256=0,"",F256/E256-1)</f>
        <v/>
      </c>
      <c r="I256" t="inlineStr"/>
    </row>
    <row r="257">
      <c r="A257" t="inlineStr">
        <is>
          <t>Organic &amp; inorganic chemicals</t>
        </is>
      </c>
      <c r="B257" t="inlineStr">
        <is>
          <t>29</t>
        </is>
      </c>
      <c r="C257" t="inlineStr">
        <is>
          <t>29222990</t>
        </is>
      </c>
      <c r="D257" t="inlineStr">
        <is>
          <t>OTHER AMINO-NAPHTHOLS AND OTHER AMINO- PHENOLS, THEIR ETHERS,ESTERS AND SALTS</t>
        </is>
      </c>
      <c r="E257" s="3" t="n">
        <v>0</v>
      </c>
      <c r="F257" s="3" t="n">
        <v>0.05</v>
      </c>
      <c r="G257" s="3">
        <f>F257-E257</f>
        <v/>
      </c>
      <c r="H257" s="4">
        <f>IF(E257=0,"",F257/E257-1)</f>
        <v/>
      </c>
      <c r="I257" t="inlineStr"/>
    </row>
    <row r="258">
      <c r="A258" t="inlineStr">
        <is>
          <t>Organic &amp; inorganic chemicals</t>
        </is>
      </c>
      <c r="B258" t="inlineStr">
        <is>
          <t>29</t>
        </is>
      </c>
      <c r="C258" t="inlineStr">
        <is>
          <t>29333914</t>
        </is>
      </c>
      <c r="D258" t="inlineStr">
        <is>
          <t>CHLORPHENIRAMINE MALEATE</t>
        </is>
      </c>
      <c r="E258" s="3" t="n">
        <v>0.02</v>
      </c>
      <c r="F258" s="3" t="n">
        <v>0.05</v>
      </c>
      <c r="G258" s="3">
        <f>F258-E258</f>
        <v/>
      </c>
      <c r="H258" s="4">
        <f>IF(E258=0,"",F258/E258-1)</f>
        <v/>
      </c>
      <c r="I258" t="inlineStr"/>
    </row>
    <row r="259">
      <c r="A259" t="inlineStr">
        <is>
          <t>Organic &amp; inorganic chemicals</t>
        </is>
      </c>
      <c r="B259" t="inlineStr">
        <is>
          <t>29</t>
        </is>
      </c>
      <c r="C259" t="inlineStr">
        <is>
          <t>29379090</t>
        </is>
      </c>
      <c r="D259" t="inlineStr">
        <is>
          <t>OTHERS-OF-OTHER HORMONS, NTRL OR RPRDCD BY SYNTHSIS USED AS HORMONS</t>
        </is>
      </c>
      <c r="E259" s="3" t="n">
        <v>0.01</v>
      </c>
      <c r="F259" s="3" t="n">
        <v>0.05</v>
      </c>
      <c r="G259" s="3">
        <f>F259-E259</f>
        <v/>
      </c>
      <c r="H259" s="4">
        <f>IF(E259=0,"",F259/E259-1)</f>
        <v/>
      </c>
      <c r="I259" t="inlineStr"/>
    </row>
    <row r="260">
      <c r="A260" t="inlineStr">
        <is>
          <t>Organic &amp; inorganic chemicals</t>
        </is>
      </c>
      <c r="B260" t="inlineStr">
        <is>
          <t>29</t>
        </is>
      </c>
      <c r="C260" t="inlineStr">
        <is>
          <t>29393000</t>
        </is>
      </c>
      <c r="D260" t="inlineStr">
        <is>
          <t>CAFFEINE AND ITS SALTS</t>
        </is>
      </c>
      <c r="E260" s="3" t="n">
        <v>0.05</v>
      </c>
      <c r="F260" s="3" t="n">
        <v>0.05</v>
      </c>
      <c r="G260" s="3">
        <f>F260-E260</f>
        <v/>
      </c>
      <c r="H260" s="4">
        <f>IF(E260=0,"",F260/E260-1)</f>
        <v/>
      </c>
      <c r="I260" t="inlineStr"/>
    </row>
    <row r="261">
      <c r="A261" t="inlineStr">
        <is>
          <t>Organic &amp; inorganic chemicals</t>
        </is>
      </c>
      <c r="B261" t="inlineStr">
        <is>
          <t>28</t>
        </is>
      </c>
      <c r="C261" t="inlineStr">
        <is>
          <t>28048000</t>
        </is>
      </c>
      <c r="D261" t="inlineStr">
        <is>
          <t>ARSENIC</t>
        </is>
      </c>
      <c r="E261" s="3" t="n">
        <v>0</v>
      </c>
      <c r="F261" s="3" t="n">
        <v>0.04</v>
      </c>
      <c r="G261" s="3">
        <f>F261-E261</f>
        <v/>
      </c>
      <c r="H261" s="4">
        <f>IF(E261=0,"",F261/E261-1)</f>
        <v/>
      </c>
      <c r="I261" t="inlineStr"/>
    </row>
    <row r="262">
      <c r="A262" t="inlineStr">
        <is>
          <t>Organic &amp; inorganic chemicals</t>
        </is>
      </c>
      <c r="B262" t="inlineStr">
        <is>
          <t>28</t>
        </is>
      </c>
      <c r="C262" t="inlineStr">
        <is>
          <t>28269000</t>
        </is>
      </c>
      <c r="D262" t="inlineStr">
        <is>
          <t>OTHER FLUOROSILICATES, FLUROALUMINATES AND OTHER COMPLX FLUORINE SALTS</t>
        </is>
      </c>
      <c r="E262" s="3" t="n">
        <v>0</v>
      </c>
      <c r="F262" s="3" t="n">
        <v>0.04</v>
      </c>
      <c r="G262" s="3">
        <f>F262-E262</f>
        <v/>
      </c>
      <c r="H262" s="4">
        <f>IF(E262=0,"",F262/E262-1)</f>
        <v/>
      </c>
      <c r="I262" t="inlineStr"/>
    </row>
    <row r="263">
      <c r="A263" t="inlineStr">
        <is>
          <t>Organic &amp; inorganic chemicals</t>
        </is>
      </c>
      <c r="B263" t="inlineStr">
        <is>
          <t>28</t>
        </is>
      </c>
      <c r="C263" t="inlineStr">
        <is>
          <t>28371100</t>
        </is>
      </c>
      <c r="D263" t="inlineStr">
        <is>
          <t>CYANIDESANDCYANIDE OXIDE OF SODIUM</t>
        </is>
      </c>
      <c r="E263" s="3" t="n">
        <v>0</v>
      </c>
      <c r="F263" s="3" t="n">
        <v>0.04</v>
      </c>
      <c r="G263" s="3">
        <f>F263-E263</f>
        <v/>
      </c>
      <c r="H263" s="4">
        <f>IF(E263=0,"",F263/E263-1)</f>
        <v/>
      </c>
      <c r="I263" t="inlineStr"/>
    </row>
    <row r="264">
      <c r="A264" t="inlineStr">
        <is>
          <t>Organic &amp; inorganic chemicals</t>
        </is>
      </c>
      <c r="B264" t="inlineStr">
        <is>
          <t>29</t>
        </is>
      </c>
      <c r="C264" t="inlineStr">
        <is>
          <t>29029010</t>
        </is>
      </c>
      <c r="D264" t="inlineStr">
        <is>
          <t>DIPENTENE</t>
        </is>
      </c>
      <c r="E264" s="3" t="n">
        <v>0</v>
      </c>
      <c r="F264" s="3" t="n">
        <v>0.04</v>
      </c>
      <c r="G264" s="3">
        <f>F264-E264</f>
        <v/>
      </c>
      <c r="H264" s="4">
        <f>IF(E264=0,"",F264/E264-1)</f>
        <v/>
      </c>
      <c r="I264" t="inlineStr"/>
    </row>
    <row r="265">
      <c r="A265" t="inlineStr">
        <is>
          <t>Organic &amp; inorganic chemicals</t>
        </is>
      </c>
      <c r="B265" t="inlineStr">
        <is>
          <t>29</t>
        </is>
      </c>
      <c r="C265" t="inlineStr">
        <is>
          <t>29031300</t>
        </is>
      </c>
      <c r="D265" t="inlineStr">
        <is>
          <t>CHLOROFORM (TRICHLOROMETHANE)</t>
        </is>
      </c>
      <c r="E265" s="3" t="n">
        <v>0.03</v>
      </c>
      <c r="F265" s="3" t="n">
        <v>0.04</v>
      </c>
      <c r="G265" s="3">
        <f>F265-E265</f>
        <v/>
      </c>
      <c r="H265" s="4">
        <f>IF(E265=0,"",F265/E265-1)</f>
        <v/>
      </c>
      <c r="I265" t="inlineStr"/>
    </row>
    <row r="266">
      <c r="A266" t="inlineStr">
        <is>
          <t>Organic &amp; inorganic chemicals</t>
        </is>
      </c>
      <c r="B266" t="inlineStr">
        <is>
          <t>29</t>
        </is>
      </c>
      <c r="C266" t="inlineStr">
        <is>
          <t>29051220</t>
        </is>
      </c>
      <c r="D266" t="inlineStr">
        <is>
          <t>ISOPROPYL ALCOHOL</t>
        </is>
      </c>
      <c r="E266" s="3" t="n">
        <v>0.32</v>
      </c>
      <c r="F266" s="3" t="n">
        <v>0.04</v>
      </c>
      <c r="G266" s="3">
        <f>F266-E266</f>
        <v/>
      </c>
      <c r="H266" s="4">
        <f>IF(E266=0,"",F266/E266-1)</f>
        <v/>
      </c>
      <c r="I266" t="inlineStr"/>
    </row>
    <row r="267">
      <c r="A267" t="inlineStr">
        <is>
          <t>Organic &amp; inorganic chemicals</t>
        </is>
      </c>
      <c r="B267" t="inlineStr">
        <is>
          <t>29</t>
        </is>
      </c>
      <c r="C267" t="inlineStr">
        <is>
          <t>29061990</t>
        </is>
      </c>
      <c r="D267" t="inlineStr">
        <is>
          <t>OTHER CYCLANIC, CYCLENIC OR CYCLOTERPENIC ALCOHOLS</t>
        </is>
      </c>
      <c r="E267" s="3" t="n">
        <v>0.05</v>
      </c>
      <c r="F267" s="3" t="n">
        <v>0.04</v>
      </c>
      <c r="G267" s="3">
        <f>F267-E267</f>
        <v/>
      </c>
      <c r="H267" s="4">
        <f>IF(E267=0,"",F267/E267-1)</f>
        <v/>
      </c>
      <c r="I267" t="inlineStr"/>
    </row>
    <row r="268">
      <c r="A268" t="inlineStr">
        <is>
          <t>Organic &amp; inorganic chemicals</t>
        </is>
      </c>
      <c r="B268" t="inlineStr">
        <is>
          <t>29</t>
        </is>
      </c>
      <c r="C268" t="inlineStr">
        <is>
          <t>29147990</t>
        </is>
      </c>
      <c r="D268" t="inlineStr">
        <is>
          <t>OTHERS-OF-OTHERS-OF-KTNS AND QUINONES,W/N WTH OTHR OXYGN FNCTN, THR HALGNTD SLPHNTD NITRTD/NITRSTD DRVTVS</t>
        </is>
      </c>
      <c r="E268" s="3" t="n">
        <v>0</v>
      </c>
      <c r="F268" s="3" t="n">
        <v>0.04</v>
      </c>
      <c r="G268" s="3">
        <f>F268-E268</f>
        <v/>
      </c>
      <c r="H268" s="4">
        <f>IF(E268=0,"",F268/E268-1)</f>
        <v/>
      </c>
      <c r="I268" t="inlineStr"/>
    </row>
    <row r="269">
      <c r="A269" t="inlineStr">
        <is>
          <t>Organic &amp; inorganic chemicals</t>
        </is>
      </c>
      <c r="B269" t="inlineStr">
        <is>
          <t>29</t>
        </is>
      </c>
      <c r="C269" t="inlineStr">
        <is>
          <t>29163140</t>
        </is>
      </c>
      <c r="D269" t="inlineStr">
        <is>
          <t>SODIUM BENZOATE</t>
        </is>
      </c>
      <c r="E269" s="3" t="n">
        <v>0.04</v>
      </c>
      <c r="F269" s="3" t="n">
        <v>0.04</v>
      </c>
      <c r="G269" s="3">
        <f>F269-E269</f>
        <v/>
      </c>
      <c r="H269" s="4">
        <f>IF(E269=0,"",F269/E269-1)</f>
        <v/>
      </c>
      <c r="I269" t="inlineStr"/>
    </row>
    <row r="270">
      <c r="A270" t="inlineStr">
        <is>
          <t>Organic &amp; inorganic chemicals</t>
        </is>
      </c>
      <c r="B270" t="inlineStr">
        <is>
          <t>29</t>
        </is>
      </c>
      <c r="C270" t="inlineStr">
        <is>
          <t>29182310</t>
        </is>
      </c>
      <c r="D270" t="inlineStr">
        <is>
          <t>METHYL SALICYLATE</t>
        </is>
      </c>
      <c r="E270" s="3" t="n">
        <v>0</v>
      </c>
      <c r="F270" s="3" t="n">
        <v>0.04</v>
      </c>
      <c r="G270" s="3">
        <f>F270-E270</f>
        <v/>
      </c>
      <c r="H270" s="4">
        <f>IF(E270=0,"",F270/E270-1)</f>
        <v/>
      </c>
      <c r="I270" t="inlineStr"/>
    </row>
    <row r="271">
      <c r="A271" t="inlineStr">
        <is>
          <t>Organic &amp; inorganic chemicals</t>
        </is>
      </c>
      <c r="B271" t="inlineStr">
        <is>
          <t>28</t>
        </is>
      </c>
      <c r="C271" t="inlineStr">
        <is>
          <t>28092020</t>
        </is>
      </c>
      <c r="D271" t="inlineStr">
        <is>
          <t>P0LYPH0SPH0RIC ACID</t>
        </is>
      </c>
      <c r="E271" s="3" t="n">
        <v>0</v>
      </c>
      <c r="F271" s="3" t="n">
        <v>0.03</v>
      </c>
      <c r="G271" s="3">
        <f>F271-E271</f>
        <v/>
      </c>
      <c r="H271" s="4">
        <f>IF(E271=0,"",F271/E271-1)</f>
        <v/>
      </c>
      <c r="I271" t="inlineStr"/>
    </row>
    <row r="272">
      <c r="A272" t="inlineStr">
        <is>
          <t>Organic &amp; inorganic chemicals</t>
        </is>
      </c>
      <c r="B272" t="inlineStr">
        <is>
          <t>28</t>
        </is>
      </c>
      <c r="C272" t="inlineStr">
        <is>
          <t>28152000</t>
        </is>
      </c>
      <c r="D272" t="inlineStr">
        <is>
          <t>POTASSIUM HYPROXIDE (CAUSTIC POTASH)</t>
        </is>
      </c>
      <c r="E272" s="3" t="n">
        <v>0.02</v>
      </c>
      <c r="F272" s="3" t="n">
        <v>0.03</v>
      </c>
      <c r="G272" s="3">
        <f>F272-E272</f>
        <v/>
      </c>
      <c r="H272" s="4">
        <f>IF(E272=0,"",F272/E272-1)</f>
        <v/>
      </c>
      <c r="I272" t="inlineStr"/>
    </row>
    <row r="273">
      <c r="A273" t="inlineStr">
        <is>
          <t>Organic &amp; inorganic chemicals</t>
        </is>
      </c>
      <c r="B273" t="inlineStr">
        <is>
          <t>28</t>
        </is>
      </c>
      <c r="C273" t="inlineStr">
        <is>
          <t>28352940</t>
        </is>
      </c>
      <c r="D273" t="inlineStr">
        <is>
          <t>SODIUM HEXA META PHOSPHATE</t>
        </is>
      </c>
      <c r="E273" s="3" t="n">
        <v>0.02</v>
      </c>
      <c r="F273" s="3" t="n">
        <v>0.03</v>
      </c>
      <c r="G273" s="3">
        <f>F273-E273</f>
        <v/>
      </c>
      <c r="H273" s="4">
        <f>IF(E273=0,"",F273/E273-1)</f>
        <v/>
      </c>
      <c r="I273" t="inlineStr"/>
    </row>
    <row r="274">
      <c r="A274" t="inlineStr">
        <is>
          <t>Organic &amp; inorganic chemicals</t>
        </is>
      </c>
      <c r="B274" t="inlineStr">
        <is>
          <t>28</t>
        </is>
      </c>
      <c r="C274" t="inlineStr">
        <is>
          <t>28431020</t>
        </is>
      </c>
      <c r="D274" t="inlineStr">
        <is>
          <t>COLLOIDAL PRECIOUS METALS OF SILVER</t>
        </is>
      </c>
      <c r="E274" s="3" t="n">
        <v>0</v>
      </c>
      <c r="F274" s="3" t="n">
        <v>0.03</v>
      </c>
      <c r="G274" s="3">
        <f>F274-E274</f>
        <v/>
      </c>
      <c r="H274" s="4">
        <f>IF(E274=0,"",F274/E274-1)</f>
        <v/>
      </c>
      <c r="I274" t="inlineStr"/>
    </row>
    <row r="275">
      <c r="A275" t="inlineStr">
        <is>
          <t>Organic &amp; inorganic chemicals</t>
        </is>
      </c>
      <c r="B275" t="inlineStr">
        <is>
          <t>29</t>
        </is>
      </c>
      <c r="C275" t="inlineStr">
        <is>
          <t>29039120</t>
        </is>
      </c>
      <c r="D275" t="inlineStr">
        <is>
          <t>O - DICHLOROBENZENE (ORTHODICHLOROBENZENE)</t>
        </is>
      </c>
      <c r="E275" s="3" t="n">
        <v>0.02</v>
      </c>
      <c r="F275" s="3" t="n">
        <v>0.03</v>
      </c>
      <c r="G275" s="3">
        <f>F275-E275</f>
        <v/>
      </c>
      <c r="H275" s="4">
        <f>IF(E275=0,"",F275/E275-1)</f>
        <v/>
      </c>
      <c r="I275" t="inlineStr"/>
    </row>
    <row r="276">
      <c r="A276" t="inlineStr">
        <is>
          <t>Organic &amp; inorganic chemicals</t>
        </is>
      </c>
      <c r="B276" t="inlineStr">
        <is>
          <t>29</t>
        </is>
      </c>
      <c r="C276" t="inlineStr">
        <is>
          <t>29049950</t>
        </is>
      </c>
      <c r="D276" t="inlineStr">
        <is>
          <t>PARA NITROCHLOROBENZENE</t>
        </is>
      </c>
      <c r="E276" s="3" t="n">
        <v>0</v>
      </c>
      <c r="F276" s="3" t="n">
        <v>0.03</v>
      </c>
      <c r="G276" s="3">
        <f>F276-E276</f>
        <v/>
      </c>
      <c r="H276" s="4">
        <f>IF(E276=0,"",F276/E276-1)</f>
        <v/>
      </c>
      <c r="I276" t="inlineStr"/>
    </row>
    <row r="277">
      <c r="A277" t="inlineStr">
        <is>
          <t>Organic &amp; inorganic chemicals</t>
        </is>
      </c>
      <c r="B277" t="inlineStr">
        <is>
          <t>29</t>
        </is>
      </c>
      <c r="C277" t="inlineStr">
        <is>
          <t>29151290</t>
        </is>
      </c>
      <c r="D277" t="inlineStr">
        <is>
          <t>OTHER SALTS OF FORMIC ACID</t>
        </is>
      </c>
      <c r="E277" s="3" t="n">
        <v>0</v>
      </c>
      <c r="F277" s="3" t="n">
        <v>0.03</v>
      </c>
      <c r="G277" s="3">
        <f>F277-E277</f>
        <v/>
      </c>
      <c r="H277" s="4">
        <f>IF(E277=0,"",F277/E277-1)</f>
        <v/>
      </c>
      <c r="I277" t="inlineStr"/>
    </row>
    <row r="278">
      <c r="A278" t="inlineStr">
        <is>
          <t>Organic &amp; inorganic chemicals</t>
        </is>
      </c>
      <c r="B278" t="inlineStr">
        <is>
          <t>29</t>
        </is>
      </c>
      <c r="C278" t="inlineStr">
        <is>
          <t>29157020</t>
        </is>
      </c>
      <c r="D278" t="inlineStr">
        <is>
          <t>STEARIC ACID</t>
        </is>
      </c>
      <c r="E278" s="3" t="n">
        <v>0.06</v>
      </c>
      <c r="F278" s="3" t="n">
        <v>0.03</v>
      </c>
      <c r="G278" s="3">
        <f>F278-E278</f>
        <v/>
      </c>
      <c r="H278" s="4">
        <f>IF(E278=0,"",F278/E278-1)</f>
        <v/>
      </c>
      <c r="I278" t="inlineStr"/>
    </row>
    <row r="279">
      <c r="A279" t="inlineStr">
        <is>
          <t>Organic &amp; inorganic chemicals</t>
        </is>
      </c>
      <c r="B279" t="inlineStr">
        <is>
          <t>29</t>
        </is>
      </c>
      <c r="C279" t="inlineStr">
        <is>
          <t>29322090</t>
        </is>
      </c>
      <c r="D279" t="inlineStr">
        <is>
          <t>OTHER LACTONES</t>
        </is>
      </c>
      <c r="E279" s="3" t="n">
        <v>0</v>
      </c>
      <c r="F279" s="3" t="n">
        <v>0.03</v>
      </c>
      <c r="G279" s="3">
        <f>F279-E279</f>
        <v/>
      </c>
      <c r="H279" s="4">
        <f>IF(E279=0,"",F279/E279-1)</f>
        <v/>
      </c>
      <c r="I279" t="inlineStr"/>
    </row>
    <row r="280">
      <c r="A280" t="inlineStr">
        <is>
          <t>Organic &amp; inorganic chemicals</t>
        </is>
      </c>
      <c r="B280" t="inlineStr">
        <is>
          <t>28</t>
        </is>
      </c>
      <c r="C280" t="inlineStr">
        <is>
          <t>28092010</t>
        </is>
      </c>
      <c r="D280" t="inlineStr">
        <is>
          <t>PH0SPH0RIC ACID</t>
        </is>
      </c>
      <c r="E280" s="3" t="n">
        <v>0.05</v>
      </c>
      <c r="F280" s="3" t="n">
        <v>0.02</v>
      </c>
      <c r="G280" s="3">
        <f>F280-E280</f>
        <v/>
      </c>
      <c r="H280" s="4">
        <f>IF(E280=0,"",F280/E280-1)</f>
        <v/>
      </c>
      <c r="I280" t="inlineStr"/>
    </row>
    <row r="281">
      <c r="A281" t="inlineStr">
        <is>
          <t>Organic &amp; inorganic chemicals</t>
        </is>
      </c>
      <c r="B281" t="inlineStr">
        <is>
          <t>28</t>
        </is>
      </c>
      <c r="C281" t="inlineStr">
        <is>
          <t>28299030</t>
        </is>
      </c>
      <c r="D281" t="inlineStr">
        <is>
          <t>IODATES AND PERIODATES</t>
        </is>
      </c>
      <c r="E281" s="3" t="n">
        <v>0</v>
      </c>
      <c r="F281" s="3" t="n">
        <v>0.02</v>
      </c>
      <c r="G281" s="3">
        <f>F281-E281</f>
        <v/>
      </c>
      <c r="H281" s="4">
        <f>IF(E281=0,"",F281/E281-1)</f>
        <v/>
      </c>
      <c r="I281" t="inlineStr"/>
    </row>
    <row r="282">
      <c r="A282" t="inlineStr">
        <is>
          <t>Organic &amp; inorganic chemicals</t>
        </is>
      </c>
      <c r="B282" t="inlineStr">
        <is>
          <t>28</t>
        </is>
      </c>
      <c r="C282" t="inlineStr">
        <is>
          <t>28309010</t>
        </is>
      </c>
      <c r="D282" t="inlineStr">
        <is>
          <t>OTHER SULPHIDES</t>
        </is>
      </c>
      <c r="E282" s="3" t="n">
        <v>0</v>
      </c>
      <c r="F282" s="3" t="n">
        <v>0.02</v>
      </c>
      <c r="G282" s="3">
        <f>F282-E282</f>
        <v/>
      </c>
      <c r="H282" s="4">
        <f>IF(E282=0,"",F282/E282-1)</f>
        <v/>
      </c>
      <c r="I282" t="inlineStr"/>
    </row>
    <row r="283">
      <c r="A283" t="inlineStr">
        <is>
          <t>Organic &amp; inorganic chemicals</t>
        </is>
      </c>
      <c r="B283" t="inlineStr">
        <is>
          <t>28</t>
        </is>
      </c>
      <c r="C283" t="inlineStr">
        <is>
          <t>28321090</t>
        </is>
      </c>
      <c r="D283" t="inlineStr">
        <is>
          <t>OTHER SODIUM SULPHITE</t>
        </is>
      </c>
      <c r="E283" s="3" t="n">
        <v>0.26</v>
      </c>
      <c r="F283" s="3" t="n">
        <v>0.02</v>
      </c>
      <c r="G283" s="3">
        <f>F283-E283</f>
        <v/>
      </c>
      <c r="H283" s="4">
        <f>IF(E283=0,"",F283/E283-1)</f>
        <v/>
      </c>
      <c r="I283" t="inlineStr"/>
    </row>
    <row r="284">
      <c r="A284" t="inlineStr">
        <is>
          <t>Organic &amp; inorganic chemicals</t>
        </is>
      </c>
      <c r="B284" t="inlineStr">
        <is>
          <t>28</t>
        </is>
      </c>
      <c r="C284" t="inlineStr">
        <is>
          <t>28332990</t>
        </is>
      </c>
      <c r="D284" t="inlineStr">
        <is>
          <t>OTHER SULPHATES, NES</t>
        </is>
      </c>
      <c r="E284" s="3" t="n">
        <v>0</v>
      </c>
      <c r="F284" s="3" t="n">
        <v>0.02</v>
      </c>
      <c r="G284" s="3">
        <f>F284-E284</f>
        <v/>
      </c>
      <c r="H284" s="4">
        <f>IF(E284=0,"",F284/E284-1)</f>
        <v/>
      </c>
      <c r="I284" t="inlineStr"/>
    </row>
    <row r="285">
      <c r="A285" t="inlineStr">
        <is>
          <t>Organic &amp; inorganic chemicals</t>
        </is>
      </c>
      <c r="B285" t="inlineStr">
        <is>
          <t>28</t>
        </is>
      </c>
      <c r="C285" t="inlineStr">
        <is>
          <t>28352400</t>
        </is>
      </c>
      <c r="D285" t="inlineStr">
        <is>
          <t>POTASSIUM PHOSPHATE</t>
        </is>
      </c>
      <c r="E285" s="3" t="n">
        <v>0.02</v>
      </c>
      <c r="F285" s="3" t="n">
        <v>0.02</v>
      </c>
      <c r="G285" s="3">
        <f>F285-E285</f>
        <v/>
      </c>
      <c r="H285" s="4">
        <f>IF(E285=0,"",F285/E285-1)</f>
        <v/>
      </c>
      <c r="I285" t="inlineStr"/>
    </row>
    <row r="286">
      <c r="A286" t="inlineStr">
        <is>
          <t>Organic &amp; inorganic chemicals</t>
        </is>
      </c>
      <c r="B286" t="inlineStr">
        <is>
          <t>28</t>
        </is>
      </c>
      <c r="C286" t="inlineStr">
        <is>
          <t>28399010</t>
        </is>
      </c>
      <c r="D286" t="inlineStr">
        <is>
          <t>MAGNESIUM TRISILICATE</t>
        </is>
      </c>
      <c r="E286" s="3" t="n">
        <v>0.01</v>
      </c>
      <c r="F286" s="3" t="n">
        <v>0.02</v>
      </c>
      <c r="G286" s="3">
        <f>F286-E286</f>
        <v/>
      </c>
      <c r="H286" s="4">
        <f>IF(E286=0,"",F286/E286-1)</f>
        <v/>
      </c>
      <c r="I286" t="inlineStr"/>
    </row>
    <row r="287">
      <c r="A287" t="inlineStr">
        <is>
          <t>Organic &amp; inorganic chemicals</t>
        </is>
      </c>
      <c r="B287" t="inlineStr">
        <is>
          <t>28</t>
        </is>
      </c>
      <c r="C287" t="inlineStr">
        <is>
          <t>28415090</t>
        </is>
      </c>
      <c r="D287" t="inlineStr">
        <is>
          <t>OTHER DICHROMATES : PEROXOCHROMATES AND CHROMATES</t>
        </is>
      </c>
      <c r="E287" s="3" t="n">
        <v>0</v>
      </c>
      <c r="F287" s="3" t="n">
        <v>0.02</v>
      </c>
      <c r="G287" s="3">
        <f>F287-E287</f>
        <v/>
      </c>
      <c r="H287" s="4">
        <f>IF(E287=0,"",F287/E287-1)</f>
        <v/>
      </c>
      <c r="I287" t="inlineStr"/>
    </row>
    <row r="288">
      <c r="A288" t="inlineStr">
        <is>
          <t>Organic &amp; inorganic chemicals</t>
        </is>
      </c>
      <c r="B288" t="inlineStr">
        <is>
          <t>28</t>
        </is>
      </c>
      <c r="C288" t="inlineStr">
        <is>
          <t>28432100</t>
        </is>
      </c>
      <c r="D288" t="inlineStr">
        <is>
          <t>SILVER NITRATE</t>
        </is>
      </c>
      <c r="E288" s="3" t="n">
        <v>0.01</v>
      </c>
      <c r="F288" s="3" t="n">
        <v>0.02</v>
      </c>
      <c r="G288" s="3">
        <f>F288-E288</f>
        <v/>
      </c>
      <c r="H288" s="4">
        <f>IF(E288=0,"",F288/E288-1)</f>
        <v/>
      </c>
      <c r="I288" t="inlineStr"/>
    </row>
    <row r="289">
      <c r="A289" t="inlineStr">
        <is>
          <t>Organic &amp; inorganic chemicals</t>
        </is>
      </c>
      <c r="B289" t="inlineStr">
        <is>
          <t>28</t>
        </is>
      </c>
      <c r="C289" t="inlineStr">
        <is>
          <t>28459090</t>
        </is>
      </c>
      <c r="D289" t="inlineStr">
        <is>
          <t>OTHER ISOTOPES</t>
        </is>
      </c>
      <c r="E289" s="3" t="n">
        <v>0</v>
      </c>
      <c r="F289" s="3" t="n">
        <v>0.02</v>
      </c>
      <c r="G289" s="3">
        <f>F289-E289</f>
        <v/>
      </c>
      <c r="H289" s="4">
        <f>IF(E289=0,"",F289/E289-1)</f>
        <v/>
      </c>
      <c r="I289" t="inlineStr"/>
    </row>
    <row r="290">
      <c r="A290" t="inlineStr">
        <is>
          <t>Organic &amp; inorganic chemicals</t>
        </is>
      </c>
      <c r="B290" t="inlineStr">
        <is>
          <t>29</t>
        </is>
      </c>
      <c r="C290" t="inlineStr">
        <is>
          <t>29012990</t>
        </is>
      </c>
      <c r="D290" t="inlineStr">
        <is>
          <t>OTHER ACYCLIC HYDROCARBONS</t>
        </is>
      </c>
      <c r="E290" s="3" t="n">
        <v>0.03</v>
      </c>
      <c r="F290" s="3" t="n">
        <v>0.02</v>
      </c>
      <c r="G290" s="3">
        <f>F290-E290</f>
        <v/>
      </c>
      <c r="H290" s="4">
        <f>IF(E290=0,"",F290/E290-1)</f>
        <v/>
      </c>
      <c r="I290" t="inlineStr"/>
    </row>
    <row r="291">
      <c r="A291" t="inlineStr">
        <is>
          <t>Organic &amp; inorganic chemicals</t>
        </is>
      </c>
      <c r="B291" t="inlineStr">
        <is>
          <t>29</t>
        </is>
      </c>
      <c r="C291" t="inlineStr">
        <is>
          <t>29024400</t>
        </is>
      </c>
      <c r="D291" t="inlineStr">
        <is>
          <t>MIXED XYLENE ISOMERS</t>
        </is>
      </c>
      <c r="E291" s="3" t="n">
        <v>0.02</v>
      </c>
      <c r="F291" s="3" t="n">
        <v>0.02</v>
      </c>
      <c r="G291" s="3">
        <f>F291-E291</f>
        <v/>
      </c>
      <c r="H291" s="4">
        <f>IF(E291=0,"",F291/E291-1)</f>
        <v/>
      </c>
      <c r="I291" t="inlineStr"/>
    </row>
    <row r="292">
      <c r="A292" t="inlineStr">
        <is>
          <t>Organic &amp; inorganic chemicals</t>
        </is>
      </c>
      <c r="B292" t="inlineStr">
        <is>
          <t>29</t>
        </is>
      </c>
      <c r="C292" t="inlineStr">
        <is>
          <t>29049990</t>
        </is>
      </c>
      <c r="D292" t="inlineStr">
        <is>
          <t>OTHERS-OF-OTHERS-OF-SULPHONATED, NITRATED OR NITROSATED DERIVATIVES OF HYDROCARBONS, WHETHER OR NOT HALOGENATED</t>
        </is>
      </c>
      <c r="E292" s="3" t="n">
        <v>0.01</v>
      </c>
      <c r="F292" s="3" t="n">
        <v>0.02</v>
      </c>
      <c r="G292" s="3">
        <f>F292-E292</f>
        <v/>
      </c>
      <c r="H292" s="4">
        <f>IF(E292=0,"",F292/E292-1)</f>
        <v/>
      </c>
      <c r="I292" t="inlineStr"/>
    </row>
    <row r="293">
      <c r="A293" t="inlineStr">
        <is>
          <t>Organic &amp; inorganic chemicals</t>
        </is>
      </c>
      <c r="B293" t="inlineStr">
        <is>
          <t>29</t>
        </is>
      </c>
      <c r="C293" t="inlineStr">
        <is>
          <t>29051300</t>
        </is>
      </c>
      <c r="D293" t="inlineStr">
        <is>
          <t>SATURATED BUTAN-1-OL(N-BUTYL ALCOHOL)</t>
        </is>
      </c>
      <c r="E293" s="3" t="n">
        <v>0.02</v>
      </c>
      <c r="F293" s="3" t="n">
        <v>0.02</v>
      </c>
      <c r="G293" s="3">
        <f>F293-E293</f>
        <v/>
      </c>
      <c r="H293" s="4">
        <f>IF(E293=0,"",F293/E293-1)</f>
        <v/>
      </c>
      <c r="I293" t="inlineStr"/>
    </row>
    <row r="294">
      <c r="A294" t="inlineStr">
        <is>
          <t>Organic &amp; inorganic chemicals</t>
        </is>
      </c>
      <c r="B294" t="inlineStr">
        <is>
          <t>29</t>
        </is>
      </c>
      <c r="C294" t="inlineStr">
        <is>
          <t>29055900</t>
        </is>
      </c>
      <c r="D294" t="inlineStr">
        <is>
          <t>OTHER ACYLIC ALCOHOLS</t>
        </is>
      </c>
      <c r="E294" s="3" t="n">
        <v>0</v>
      </c>
      <c r="F294" s="3" t="n">
        <v>0.02</v>
      </c>
      <c r="G294" s="3">
        <f>F294-E294</f>
        <v/>
      </c>
      <c r="H294" s="4">
        <f>IF(E294=0,"",F294/E294-1)</f>
        <v/>
      </c>
      <c r="I294" t="inlineStr"/>
    </row>
    <row r="295">
      <c r="A295" t="inlineStr">
        <is>
          <t>Organic &amp; inorganic chemicals</t>
        </is>
      </c>
      <c r="B295" t="inlineStr">
        <is>
          <t>29</t>
        </is>
      </c>
      <c r="C295" t="inlineStr">
        <is>
          <t>29081900</t>
        </is>
      </c>
      <c r="D295" t="inlineStr">
        <is>
          <t>OTHER DERIVTVS CONTAINING ONLY HALOGEN SUBSTITUENTS AND THEIR SALTS</t>
        </is>
      </c>
      <c r="E295" s="3" t="n">
        <v>0</v>
      </c>
      <c r="F295" s="3" t="n">
        <v>0.02</v>
      </c>
      <c r="G295" s="3">
        <f>F295-E295</f>
        <v/>
      </c>
      <c r="H295" s="4">
        <f>IF(E295=0,"",F295/E295-1)</f>
        <v/>
      </c>
      <c r="I295" t="inlineStr"/>
    </row>
    <row r="296">
      <c r="A296" t="inlineStr">
        <is>
          <t>Organic &amp; inorganic chemicals</t>
        </is>
      </c>
      <c r="B296" t="inlineStr">
        <is>
          <t>29</t>
        </is>
      </c>
      <c r="C296" t="inlineStr">
        <is>
          <t>29094910</t>
        </is>
      </c>
      <c r="D296" t="inlineStr">
        <is>
          <t>PHENOXY ETHANOL</t>
        </is>
      </c>
      <c r="E296" s="3" t="n">
        <v>0</v>
      </c>
      <c r="F296" s="3" t="n">
        <v>0.02</v>
      </c>
      <c r="G296" s="3">
        <f>F296-E296</f>
        <v/>
      </c>
      <c r="H296" s="4">
        <f>IF(E296=0,"",F296/E296-1)</f>
        <v/>
      </c>
      <c r="I296" t="inlineStr"/>
    </row>
    <row r="297">
      <c r="A297" t="inlineStr">
        <is>
          <t>Organic &amp; inorganic chemicals</t>
        </is>
      </c>
      <c r="B297" t="inlineStr">
        <is>
          <t>29</t>
        </is>
      </c>
      <c r="C297" t="inlineStr">
        <is>
          <t>29121100</t>
        </is>
      </c>
      <c r="D297" t="inlineStr">
        <is>
          <t>METHANAL (FORMALDEHYDE)</t>
        </is>
      </c>
      <c r="E297" s="3" t="n">
        <v>0.01</v>
      </c>
      <c r="F297" s="3" t="n">
        <v>0.02</v>
      </c>
      <c r="G297" s="3">
        <f>F297-E297</f>
        <v/>
      </c>
      <c r="H297" s="4">
        <f>IF(E297=0,"",F297/E297-1)</f>
        <v/>
      </c>
      <c r="I297" t="inlineStr"/>
    </row>
    <row r="298">
      <c r="A298" t="inlineStr">
        <is>
          <t>Organic &amp; inorganic chemicals</t>
        </is>
      </c>
      <c r="B298" t="inlineStr">
        <is>
          <t>29</t>
        </is>
      </c>
      <c r="C298" t="inlineStr">
        <is>
          <t>29146990</t>
        </is>
      </c>
      <c r="D298" t="inlineStr">
        <is>
          <t>OTHER QUINONES</t>
        </is>
      </c>
      <c r="E298" s="3" t="n">
        <v>0.01</v>
      </c>
      <c r="F298" s="3" t="n">
        <v>0.02</v>
      </c>
      <c r="G298" s="3">
        <f>F298-E298</f>
        <v/>
      </c>
      <c r="H298" s="4">
        <f>IF(E298=0,"",F298/E298-1)</f>
        <v/>
      </c>
      <c r="I298" t="inlineStr"/>
    </row>
    <row r="299">
      <c r="A299" t="inlineStr">
        <is>
          <t>Organic &amp; inorganic chemicals</t>
        </is>
      </c>
      <c r="B299" t="inlineStr">
        <is>
          <t>29</t>
        </is>
      </c>
      <c r="C299" t="inlineStr">
        <is>
          <t>29163130</t>
        </is>
      </c>
      <c r="D299" t="inlineStr">
        <is>
          <t>METHYL BENZOATE</t>
        </is>
      </c>
      <c r="E299" s="3" t="n">
        <v>0.01</v>
      </c>
      <c r="F299" s="3" t="n">
        <v>0.02</v>
      </c>
      <c r="G299" s="3">
        <f>F299-E299</f>
        <v/>
      </c>
      <c r="H299" s="4">
        <f>IF(E299=0,"",F299/E299-1)</f>
        <v/>
      </c>
      <c r="I299" t="inlineStr"/>
    </row>
    <row r="300">
      <c r="A300" t="inlineStr">
        <is>
          <t>Organic &amp; inorganic chemicals</t>
        </is>
      </c>
      <c r="B300" t="inlineStr">
        <is>
          <t>29</t>
        </is>
      </c>
      <c r="C300" t="inlineStr">
        <is>
          <t>29209000</t>
        </is>
      </c>
      <c r="D300" t="inlineStr">
        <is>
          <t>*OTHER</t>
        </is>
      </c>
      <c r="E300" s="3" t="n">
        <v>0.07000000000000001</v>
      </c>
      <c r="F300" s="3" t="n">
        <v>0.02</v>
      </c>
      <c r="G300" s="3">
        <f>F300-E300</f>
        <v/>
      </c>
      <c r="H300" s="4">
        <f>IF(E300=0,"",F300/E300-1)</f>
        <v/>
      </c>
      <c r="I300" t="inlineStr"/>
    </row>
    <row r="301">
      <c r="A301" t="inlineStr">
        <is>
          <t>Organic &amp; inorganic chemicals</t>
        </is>
      </c>
      <c r="B301" t="inlineStr">
        <is>
          <t>29</t>
        </is>
      </c>
      <c r="C301" t="inlineStr">
        <is>
          <t>29242190</t>
        </is>
      </c>
      <c r="D301" t="inlineStr">
        <is>
          <t>OTHER UREINES AND THR DRVTVS SALTS THEREOF</t>
        </is>
      </c>
      <c r="E301" s="3" t="n">
        <v>0.01</v>
      </c>
      <c r="F301" s="3" t="n">
        <v>0.02</v>
      </c>
      <c r="G301" s="3">
        <f>F301-E301</f>
        <v/>
      </c>
      <c r="H301" s="4">
        <f>IF(E301=0,"",F301/E301-1)</f>
        <v/>
      </c>
      <c r="I301" t="inlineStr"/>
    </row>
    <row r="302">
      <c r="A302" t="inlineStr">
        <is>
          <t>Organic &amp; inorganic chemicals</t>
        </is>
      </c>
      <c r="B302" t="inlineStr">
        <is>
          <t>29</t>
        </is>
      </c>
      <c r="C302" t="inlineStr">
        <is>
          <t>29242960</t>
        </is>
      </c>
      <c r="D302" t="inlineStr">
        <is>
          <t>PYRAZINAMIDE(PYRAZINE CARBOXAMIDE)</t>
        </is>
      </c>
      <c r="E302" s="3" t="n">
        <v>0</v>
      </c>
      <c r="F302" s="3" t="n">
        <v>0.02</v>
      </c>
      <c r="G302" s="3">
        <f>F302-E302</f>
        <v/>
      </c>
      <c r="H302" s="4">
        <f>IF(E302=0,"",F302/E302-1)</f>
        <v/>
      </c>
      <c r="I302" t="inlineStr"/>
    </row>
    <row r="303">
      <c r="A303" t="inlineStr">
        <is>
          <t>Organic &amp; inorganic chemicals</t>
        </is>
      </c>
      <c r="B303" t="inlineStr">
        <is>
          <t>29</t>
        </is>
      </c>
      <c r="C303" t="inlineStr">
        <is>
          <t>29359013</t>
        </is>
      </c>
      <c r="D303" t="inlineStr">
        <is>
          <t>SULPHADIAZINE</t>
        </is>
      </c>
      <c r="E303" s="3" t="n">
        <v>0</v>
      </c>
      <c r="F303" s="3" t="n">
        <v>0.02</v>
      </c>
      <c r="G303" s="3">
        <f>F303-E303</f>
        <v/>
      </c>
      <c r="H303" s="4">
        <f>IF(E303=0,"",F303/E303-1)</f>
        <v/>
      </c>
      <c r="I303" t="inlineStr"/>
    </row>
    <row r="304">
      <c r="A304" t="inlineStr">
        <is>
          <t>Organic &amp; inorganic chemicals</t>
        </is>
      </c>
      <c r="B304" t="inlineStr">
        <is>
          <t>29</t>
        </is>
      </c>
      <c r="C304" t="inlineStr">
        <is>
          <t>29372300</t>
        </is>
      </c>
      <c r="D304" t="inlineStr">
        <is>
          <t>OESTROGENS AND PROGESTOGENS</t>
        </is>
      </c>
      <c r="E304" s="3" t="n">
        <v>0.01</v>
      </c>
      <c r="F304" s="3" t="n">
        <v>0.02</v>
      </c>
      <c r="G304" s="3">
        <f>F304-E304</f>
        <v/>
      </c>
      <c r="H304" s="4">
        <f>IF(E304=0,"",F304/E304-1)</f>
        <v/>
      </c>
      <c r="I304" t="inlineStr"/>
    </row>
    <row r="305">
      <c r="A305" t="inlineStr">
        <is>
          <t>Organic &amp; inorganic chemicals</t>
        </is>
      </c>
      <c r="B305" t="inlineStr">
        <is>
          <t>29</t>
        </is>
      </c>
      <c r="C305" t="inlineStr">
        <is>
          <t>29413020</t>
        </is>
      </c>
      <c r="D305" t="inlineStr">
        <is>
          <t>TETRACYCLINE/OXYTETRA - CYCLINE AND HR SALTS</t>
        </is>
      </c>
      <c r="E305" s="3" t="n">
        <v>0</v>
      </c>
      <c r="F305" s="3" t="n">
        <v>0.02</v>
      </c>
      <c r="G305" s="3">
        <f>F305-E305</f>
        <v/>
      </c>
      <c r="H305" s="4">
        <f>IF(E305=0,"",F305/E305-1)</f>
        <v/>
      </c>
      <c r="I305" t="inlineStr"/>
    </row>
    <row r="306">
      <c r="A306" t="inlineStr">
        <is>
          <t>Organic &amp; inorganic chemicals</t>
        </is>
      </c>
      <c r="B306" t="inlineStr">
        <is>
          <t>29</t>
        </is>
      </c>
      <c r="C306" t="inlineStr">
        <is>
          <t>29420034</t>
        </is>
      </c>
      <c r="D306" t="inlineStr">
        <is>
          <t>FAMOTIDINE</t>
        </is>
      </c>
      <c r="E306" s="3" t="n">
        <v>0</v>
      </c>
      <c r="F306" s="3" t="n">
        <v>0.02</v>
      </c>
      <c r="G306" s="3">
        <f>F306-E306</f>
        <v/>
      </c>
      <c r="H306" s="4">
        <f>IF(E306=0,"",F306/E306-1)</f>
        <v/>
      </c>
      <c r="I306" t="inlineStr"/>
    </row>
    <row r="307">
      <c r="A307" t="inlineStr">
        <is>
          <t>Organic &amp; inorganic chemicals</t>
        </is>
      </c>
      <c r="B307" t="inlineStr">
        <is>
          <t>28</t>
        </is>
      </c>
      <c r="C307" t="inlineStr">
        <is>
          <t>28012000</t>
        </is>
      </c>
      <c r="D307" t="inlineStr">
        <is>
          <t>IODINE</t>
        </is>
      </c>
      <c r="E307" s="3" t="n">
        <v>0.01</v>
      </c>
      <c r="F307" s="3" t="n">
        <v>0.01</v>
      </c>
      <c r="G307" s="3">
        <f>F307-E307</f>
        <v/>
      </c>
      <c r="H307" s="4">
        <f>IF(E307=0,"",F307/E307-1)</f>
        <v/>
      </c>
      <c r="I307" t="inlineStr"/>
    </row>
    <row r="308">
      <c r="A308" t="inlineStr">
        <is>
          <t>Organic &amp; inorganic chemicals</t>
        </is>
      </c>
      <c r="B308" t="inlineStr">
        <is>
          <t>28</t>
        </is>
      </c>
      <c r="C308" t="inlineStr">
        <is>
          <t>28273100</t>
        </is>
      </c>
      <c r="D308" t="inlineStr">
        <is>
          <t>CHLORIDES OF MAGNESIUM</t>
        </is>
      </c>
      <c r="E308" s="3" t="n">
        <v>0</v>
      </c>
      <c r="F308" s="3" t="n">
        <v>0.01</v>
      </c>
      <c r="G308" s="3">
        <f>F308-E308</f>
        <v/>
      </c>
      <c r="H308" s="4">
        <f>IF(E308=0,"",F308/E308-1)</f>
        <v/>
      </c>
      <c r="I308" t="inlineStr"/>
    </row>
    <row r="309">
      <c r="A309" t="inlineStr">
        <is>
          <t>Organic &amp; inorganic chemicals</t>
        </is>
      </c>
      <c r="B309" t="inlineStr">
        <is>
          <t>28</t>
        </is>
      </c>
      <c r="C309" t="inlineStr">
        <is>
          <t>28291990</t>
        </is>
      </c>
      <c r="D309" t="inlineStr">
        <is>
          <t>OTHER CHLORATES</t>
        </is>
      </c>
      <c r="E309" s="3" t="n">
        <v>0.02</v>
      </c>
      <c r="F309" s="3" t="n">
        <v>0.01</v>
      </c>
      <c r="G309" s="3">
        <f>F309-E309</f>
        <v/>
      </c>
      <c r="H309" s="4">
        <f>IF(E309=0,"",F309/E309-1)</f>
        <v/>
      </c>
      <c r="I309" t="inlineStr"/>
    </row>
    <row r="310">
      <c r="A310" t="inlineStr">
        <is>
          <t>Organic &amp; inorganic chemicals</t>
        </is>
      </c>
      <c r="B310" t="inlineStr">
        <is>
          <t>28</t>
        </is>
      </c>
      <c r="C310" t="inlineStr">
        <is>
          <t>28332500</t>
        </is>
      </c>
      <c r="D310" t="inlineStr">
        <is>
          <t>COPPER SULPHATE</t>
        </is>
      </c>
      <c r="E310" s="3" t="n">
        <v>0.58</v>
      </c>
      <c r="F310" s="3" t="n">
        <v>0.01</v>
      </c>
      <c r="G310" s="3">
        <f>F310-E310</f>
        <v/>
      </c>
      <c r="H310" s="4">
        <f>IF(E310=0,"",F310/E310-1)</f>
        <v/>
      </c>
      <c r="I310" t="inlineStr"/>
    </row>
    <row r="311">
      <c r="A311" t="inlineStr">
        <is>
          <t>Organic &amp; inorganic chemicals</t>
        </is>
      </c>
      <c r="B311" t="inlineStr">
        <is>
          <t>28</t>
        </is>
      </c>
      <c r="C311" t="inlineStr">
        <is>
          <t>28334000</t>
        </is>
      </c>
      <c r="D311" t="inlineStr">
        <is>
          <t>PEROXOSULPHATES (PERSULPHATES)</t>
        </is>
      </c>
      <c r="E311" s="3" t="n">
        <v>0.32</v>
      </c>
      <c r="F311" s="3" t="n">
        <v>0.01</v>
      </c>
      <c r="G311" s="3">
        <f>F311-E311</f>
        <v/>
      </c>
      <c r="H311" s="4">
        <f>IF(E311=0,"",F311/E311-1)</f>
        <v/>
      </c>
      <c r="I311" t="inlineStr"/>
    </row>
    <row r="312">
      <c r="A312" t="inlineStr">
        <is>
          <t>Organic &amp; inorganic chemicals</t>
        </is>
      </c>
      <c r="B312" t="inlineStr">
        <is>
          <t>28</t>
        </is>
      </c>
      <c r="C312" t="inlineStr">
        <is>
          <t>28352620</t>
        </is>
      </c>
      <c r="D312" t="inlineStr">
        <is>
          <t>CALCIUM TRIBASIC PHOSPHATE</t>
        </is>
      </c>
      <c r="E312" s="3" t="n">
        <v>0</v>
      </c>
      <c r="F312" s="3" t="n">
        <v>0.01</v>
      </c>
      <c r="G312" s="3">
        <f>F312-E312</f>
        <v/>
      </c>
      <c r="H312" s="4">
        <f>IF(E312=0,"",F312/E312-1)</f>
        <v/>
      </c>
      <c r="I312" t="inlineStr"/>
    </row>
    <row r="313">
      <c r="A313" t="inlineStr">
        <is>
          <t>Organic &amp; inorganic chemicals</t>
        </is>
      </c>
      <c r="B313" t="inlineStr">
        <is>
          <t>28</t>
        </is>
      </c>
      <c r="C313" t="inlineStr">
        <is>
          <t>28352990</t>
        </is>
      </c>
      <c r="D313" t="inlineStr">
        <is>
          <t>OTHER PHOSPHATES, NES</t>
        </is>
      </c>
      <c r="E313" s="3" t="n">
        <v>0.01</v>
      </c>
      <c r="F313" s="3" t="n">
        <v>0.01</v>
      </c>
      <c r="G313" s="3">
        <f>F313-E313</f>
        <v/>
      </c>
      <c r="H313" s="4">
        <f>IF(E313=0,"",F313/E313-1)</f>
        <v/>
      </c>
      <c r="I313" t="inlineStr"/>
    </row>
    <row r="314">
      <c r="A314" t="inlineStr">
        <is>
          <t>Organic &amp; inorganic chemicals</t>
        </is>
      </c>
      <c r="B314" t="inlineStr">
        <is>
          <t>28</t>
        </is>
      </c>
      <c r="C314" t="inlineStr">
        <is>
          <t>28369920</t>
        </is>
      </c>
      <c r="D314" t="inlineStr">
        <is>
          <t>MAGNESIUM CARBONATE (EXCL NATURAL)</t>
        </is>
      </c>
      <c r="E314" s="3" t="n">
        <v>0</v>
      </c>
      <c r="F314" s="3" t="n">
        <v>0.01</v>
      </c>
      <c r="G314" s="3">
        <f>F314-E314</f>
        <v/>
      </c>
      <c r="H314" s="4">
        <f>IF(E314=0,"",F314/E314-1)</f>
        <v/>
      </c>
      <c r="I314" t="inlineStr"/>
    </row>
    <row r="315">
      <c r="A315" t="inlineStr">
        <is>
          <t>Organic &amp; inorganic chemicals</t>
        </is>
      </c>
      <c r="B315" t="inlineStr">
        <is>
          <t>28</t>
        </is>
      </c>
      <c r="C315" t="inlineStr">
        <is>
          <t>28372040</t>
        </is>
      </c>
      <c r="D315" t="inlineStr">
        <is>
          <t>SODIUM FERROCYANIDE</t>
        </is>
      </c>
      <c r="E315" s="3" t="n">
        <v>0</v>
      </c>
      <c r="F315" s="3" t="n">
        <v>0.01</v>
      </c>
      <c r="G315" s="3">
        <f>F315-E315</f>
        <v/>
      </c>
      <c r="H315" s="4">
        <f>IF(E315=0,"",F315/E315-1)</f>
        <v/>
      </c>
      <c r="I315" t="inlineStr"/>
    </row>
    <row r="316">
      <c r="A316" t="inlineStr">
        <is>
          <t>Organic &amp; inorganic chemicals</t>
        </is>
      </c>
      <c r="B316" t="inlineStr">
        <is>
          <t>28</t>
        </is>
      </c>
      <c r="C316" t="inlineStr">
        <is>
          <t>28401900</t>
        </is>
      </c>
      <c r="D316" t="inlineStr">
        <is>
          <t>OTHER DISODIUM TETRABORATES</t>
        </is>
      </c>
      <c r="E316" s="3" t="n">
        <v>0</v>
      </c>
      <c r="F316" s="3" t="n">
        <v>0.01</v>
      </c>
      <c r="G316" s="3">
        <f>F316-E316</f>
        <v/>
      </c>
      <c r="H316" s="4">
        <f>IF(E316=0,"",F316/E316-1)</f>
        <v/>
      </c>
      <c r="I316" t="inlineStr"/>
    </row>
    <row r="317">
      <c r="A317" t="inlineStr">
        <is>
          <t>Organic &amp; inorganic chemicals</t>
        </is>
      </c>
      <c r="B317" t="inlineStr">
        <is>
          <t>28</t>
        </is>
      </c>
      <c r="C317" t="inlineStr">
        <is>
          <t>28418090</t>
        </is>
      </c>
      <c r="D317" t="inlineStr">
        <is>
          <t>OTHER TUNGSTATES</t>
        </is>
      </c>
      <c r="E317" s="3" t="n">
        <v>0</v>
      </c>
      <c r="F317" s="3" t="n">
        <v>0.01</v>
      </c>
      <c r="G317" s="3">
        <f>F317-E317</f>
        <v/>
      </c>
      <c r="H317" s="4">
        <f>IF(E317=0,"",F317/E317-1)</f>
        <v/>
      </c>
      <c r="I317" t="inlineStr"/>
    </row>
    <row r="318">
      <c r="A318" t="inlineStr">
        <is>
          <t>Organic &amp; inorganic chemicals</t>
        </is>
      </c>
      <c r="B318" t="inlineStr">
        <is>
          <t>28</t>
        </is>
      </c>
      <c r="C318" t="inlineStr">
        <is>
          <t>28432900</t>
        </is>
      </c>
      <c r="D318" t="inlineStr">
        <is>
          <t>OTHER COMPOUND OF SILVER</t>
        </is>
      </c>
      <c r="E318" s="3" t="n">
        <v>0.01</v>
      </c>
      <c r="F318" s="3" t="n">
        <v>0.01</v>
      </c>
      <c r="G318" s="3">
        <f>F318-E318</f>
        <v/>
      </c>
      <c r="H318" s="4">
        <f>IF(E318=0,"",F318/E318-1)</f>
        <v/>
      </c>
      <c r="I318" t="inlineStr"/>
    </row>
    <row r="319">
      <c r="A319" t="inlineStr">
        <is>
          <t>Organic &amp; inorganic chemicals</t>
        </is>
      </c>
      <c r="B319" t="inlineStr">
        <is>
          <t>28</t>
        </is>
      </c>
      <c r="C319" t="inlineStr">
        <is>
          <t>28443090</t>
        </is>
      </c>
      <c r="D319" t="inlineStr">
        <is>
          <t>OTHER COMPOUNDS OF URANIUM</t>
        </is>
      </c>
      <c r="E319" s="3" t="n">
        <v>0</v>
      </c>
      <c r="F319" s="3" t="n">
        <v>0.01</v>
      </c>
      <c r="G319" s="3">
        <f>F319-E319</f>
        <v/>
      </c>
      <c r="H319" s="4">
        <f>IF(E319=0,"",F319/E319-1)</f>
        <v/>
      </c>
      <c r="I319" t="inlineStr"/>
    </row>
    <row r="320">
      <c r="A320" t="inlineStr">
        <is>
          <t>Organic &amp; inorganic chemicals</t>
        </is>
      </c>
      <c r="B320" t="inlineStr">
        <is>
          <t>29</t>
        </is>
      </c>
      <c r="C320" t="inlineStr">
        <is>
          <t>29061110</t>
        </is>
      </c>
      <c r="D320" t="inlineStr">
        <is>
          <t>NATURAL MENTHOL</t>
        </is>
      </c>
      <c r="E320" s="3" t="n">
        <v>0</v>
      </c>
      <c r="F320" s="3" t="n">
        <v>0.01</v>
      </c>
      <c r="G320" s="3">
        <f>F320-E320</f>
        <v/>
      </c>
      <c r="H320" s="4">
        <f>IF(E320=0,"",F320/E320-1)</f>
        <v/>
      </c>
      <c r="I320" t="inlineStr"/>
    </row>
    <row r="321">
      <c r="A321" t="inlineStr">
        <is>
          <t>Organic &amp; inorganic chemicals</t>
        </is>
      </c>
      <c r="B321" t="inlineStr">
        <is>
          <t>29</t>
        </is>
      </c>
      <c r="C321" t="inlineStr">
        <is>
          <t>29061190</t>
        </is>
      </c>
      <c r="D321" t="inlineStr">
        <is>
          <t>OTHERS-OF-MENTHOL</t>
        </is>
      </c>
      <c r="E321" s="3" t="n">
        <v>0</v>
      </c>
      <c r="F321" s="3" t="n">
        <v>0.01</v>
      </c>
      <c r="G321" s="3">
        <f>F321-E321</f>
        <v/>
      </c>
      <c r="H321" s="4">
        <f>IF(E321=0,"",F321/E321-1)</f>
        <v/>
      </c>
      <c r="I321" t="inlineStr"/>
    </row>
    <row r="322">
      <c r="A322" t="inlineStr">
        <is>
          <t>Organic &amp; inorganic chemicals</t>
        </is>
      </c>
      <c r="B322" t="inlineStr">
        <is>
          <t>29</t>
        </is>
      </c>
      <c r="C322" t="inlineStr">
        <is>
          <t>29094300</t>
        </is>
      </c>
      <c r="D322" t="inlineStr">
        <is>
          <t>MONOBUTYL ETHERS OF ETHYLENE GLYCOL OR OF DIETHYLENE GLYCOL</t>
        </is>
      </c>
      <c r="E322" s="3" t="n">
        <v>0</v>
      </c>
      <c r="F322" s="3" t="n">
        <v>0.01</v>
      </c>
      <c r="G322" s="3">
        <f>F322-E322</f>
        <v/>
      </c>
      <c r="H322" s="4">
        <f>IF(E322=0,"",F322/E322-1)</f>
        <v/>
      </c>
      <c r="I322" t="inlineStr"/>
    </row>
    <row r="323">
      <c r="A323" t="inlineStr">
        <is>
          <t>Organic &amp; inorganic chemicals</t>
        </is>
      </c>
      <c r="B323" t="inlineStr">
        <is>
          <t>29</t>
        </is>
      </c>
      <c r="C323" t="inlineStr">
        <is>
          <t>29094990</t>
        </is>
      </c>
      <c r="D323" t="inlineStr">
        <is>
          <t>OTHERS-OF-OTHR ETHR-ALCHLS AND THR HALGNTD SLPHNTDNITRATED OR NITROSATED DERIVATIVES</t>
        </is>
      </c>
      <c r="E323" s="3" t="n">
        <v>0.02</v>
      </c>
      <c r="F323" s="3" t="n">
        <v>0.01</v>
      </c>
      <c r="G323" s="3">
        <f>F323-E323</f>
        <v/>
      </c>
      <c r="H323" s="4">
        <f>IF(E323=0,"",F323/E323-1)</f>
        <v/>
      </c>
      <c r="I323" t="inlineStr"/>
    </row>
    <row r="324">
      <c r="A324" t="inlineStr">
        <is>
          <t>Organic &amp; inorganic chemicals</t>
        </is>
      </c>
      <c r="B324" t="inlineStr">
        <is>
          <t>29</t>
        </is>
      </c>
      <c r="C324" t="inlineStr">
        <is>
          <t>29143990</t>
        </is>
      </c>
      <c r="D324" t="inlineStr">
        <is>
          <t>OTHER AROMATIC KETONES WITHOUT OTHER OXYGNFN.</t>
        </is>
      </c>
      <c r="E324" s="3" t="n">
        <v>0</v>
      </c>
      <c r="F324" s="3" t="n">
        <v>0.01</v>
      </c>
      <c r="G324" s="3">
        <f>F324-E324</f>
        <v/>
      </c>
      <c r="H324" s="4">
        <f>IF(E324=0,"",F324/E324-1)</f>
        <v/>
      </c>
      <c r="I324" t="inlineStr"/>
    </row>
    <row r="325">
      <c r="A325" t="inlineStr">
        <is>
          <t>Organic &amp; inorganic chemicals</t>
        </is>
      </c>
      <c r="B325" t="inlineStr">
        <is>
          <t>29</t>
        </is>
      </c>
      <c r="C325" t="inlineStr">
        <is>
          <t>29151100</t>
        </is>
      </c>
      <c r="D325" t="inlineStr">
        <is>
          <t>FORMIC ACID</t>
        </is>
      </c>
      <c r="E325" s="3" t="n">
        <v>0</v>
      </c>
      <c r="F325" s="3" t="n">
        <v>0.01</v>
      </c>
      <c r="G325" s="3">
        <f>F325-E325</f>
        <v/>
      </c>
      <c r="H325" s="4">
        <f>IF(E325=0,"",F325/E325-1)</f>
        <v/>
      </c>
      <c r="I325" t="inlineStr"/>
    </row>
    <row r="326">
      <c r="A326" t="inlineStr">
        <is>
          <t>Organic &amp; inorganic chemicals</t>
        </is>
      </c>
      <c r="B326" t="inlineStr">
        <is>
          <t>29</t>
        </is>
      </c>
      <c r="C326" t="inlineStr">
        <is>
          <t>29152990</t>
        </is>
      </c>
      <c r="D326" t="inlineStr">
        <is>
          <t>OTHER SALTS OF ACETIC ACID</t>
        </is>
      </c>
      <c r="E326" s="3" t="n">
        <v>0.02</v>
      </c>
      <c r="F326" s="3" t="n">
        <v>0.01</v>
      </c>
      <c r="G326" s="3">
        <f>F326-E326</f>
        <v/>
      </c>
      <c r="H326" s="4">
        <f>IF(E326=0,"",F326/E326-1)</f>
        <v/>
      </c>
      <c r="I326" t="inlineStr"/>
    </row>
    <row r="327">
      <c r="A327" t="inlineStr">
        <is>
          <t>Organic &amp; inorganic chemicals</t>
        </is>
      </c>
      <c r="B327" t="inlineStr">
        <is>
          <t>29</t>
        </is>
      </c>
      <c r="C327" t="inlineStr">
        <is>
          <t>29163110</t>
        </is>
      </c>
      <c r="D327" t="inlineStr">
        <is>
          <t>BENZOIC ACID</t>
        </is>
      </c>
      <c r="E327" s="3" t="n">
        <v>0.01</v>
      </c>
      <c r="F327" s="3" t="n">
        <v>0.01</v>
      </c>
      <c r="G327" s="3">
        <f>F327-E327</f>
        <v/>
      </c>
      <c r="H327" s="4">
        <f>IF(E327=0,"",F327/E327-1)</f>
        <v/>
      </c>
      <c r="I327" t="inlineStr"/>
    </row>
    <row r="328">
      <c r="A328" t="inlineStr">
        <is>
          <t>Organic &amp; inorganic chemicals</t>
        </is>
      </c>
      <c r="B328" t="inlineStr">
        <is>
          <t>29</t>
        </is>
      </c>
      <c r="C328" t="inlineStr">
        <is>
          <t>29181590</t>
        </is>
      </c>
      <c r="D328" t="inlineStr">
        <is>
          <t>OTHER SALTS AND ESTERS OF CITRIC ACID</t>
        </is>
      </c>
      <c r="E328" s="3" t="n">
        <v>0.04</v>
      </c>
      <c r="F328" s="3" t="n">
        <v>0.01</v>
      </c>
      <c r="G328" s="3">
        <f>F328-E328</f>
        <v/>
      </c>
      <c r="H328" s="4">
        <f>IF(E328=0,"",F328/E328-1)</f>
        <v/>
      </c>
      <c r="I328" t="inlineStr"/>
    </row>
    <row r="329">
      <c r="A329" t="inlineStr">
        <is>
          <t>Organic &amp; inorganic chemicals</t>
        </is>
      </c>
      <c r="B329" t="inlineStr">
        <is>
          <t>29</t>
        </is>
      </c>
      <c r="C329" t="inlineStr">
        <is>
          <t>29182110</t>
        </is>
      </c>
      <c r="D329" t="inlineStr">
        <is>
          <t>SALICYLIC ACID</t>
        </is>
      </c>
      <c r="E329" s="3" t="n">
        <v>0</v>
      </c>
      <c r="F329" s="3" t="n">
        <v>0.01</v>
      </c>
      <c r="G329" s="3">
        <f>F329-E329</f>
        <v/>
      </c>
      <c r="H329" s="4">
        <f>IF(E329=0,"",F329/E329-1)</f>
        <v/>
      </c>
      <c r="I329" t="inlineStr"/>
    </row>
    <row r="330">
      <c r="A330" t="inlineStr">
        <is>
          <t>Organic &amp; inorganic chemicals</t>
        </is>
      </c>
      <c r="B330" t="inlineStr">
        <is>
          <t>29</t>
        </is>
      </c>
      <c r="C330" t="inlineStr">
        <is>
          <t>29182930</t>
        </is>
      </c>
      <c r="D330" t="inlineStr">
        <is>
          <t>PROPYL GALLATE</t>
        </is>
      </c>
      <c r="E330" s="3" t="n">
        <v>0</v>
      </c>
      <c r="F330" s="3" t="n">
        <v>0.01</v>
      </c>
      <c r="G330" s="3">
        <f>F330-E330</f>
        <v/>
      </c>
      <c r="H330" s="4">
        <f>IF(E330=0,"",F330/E330-1)</f>
        <v/>
      </c>
      <c r="I330" t="inlineStr"/>
    </row>
    <row r="331">
      <c r="A331" t="inlineStr">
        <is>
          <t>Organic &amp; inorganic chemicals</t>
        </is>
      </c>
      <c r="B331" t="inlineStr">
        <is>
          <t>29</t>
        </is>
      </c>
      <c r="C331" t="inlineStr">
        <is>
          <t>29270090</t>
        </is>
      </c>
      <c r="D331" t="inlineStr">
        <is>
          <t>OTHER DIAZO-AZO-OR AZOXY-COMPOUNDS</t>
        </is>
      </c>
      <c r="E331" s="3" t="n">
        <v>0.01</v>
      </c>
      <c r="F331" s="3" t="n">
        <v>0.01</v>
      </c>
      <c r="G331" s="3">
        <f>F331-E331</f>
        <v/>
      </c>
      <c r="H331" s="4">
        <f>IF(E331=0,"",F331/E331-1)</f>
        <v/>
      </c>
      <c r="I331" t="inlineStr"/>
    </row>
    <row r="332">
      <c r="A332" t="inlineStr">
        <is>
          <t>Organic &amp; inorganic chemicals</t>
        </is>
      </c>
      <c r="B332" t="inlineStr">
        <is>
          <t>29</t>
        </is>
      </c>
      <c r="C332" t="inlineStr">
        <is>
          <t>29291090</t>
        </is>
      </c>
      <c r="D332" t="inlineStr">
        <is>
          <t>OTHER ISOCYANATES</t>
        </is>
      </c>
      <c r="E332" s="3" t="n">
        <v>0.01</v>
      </c>
      <c r="F332" s="3" t="n">
        <v>0.01</v>
      </c>
      <c r="G332" s="3">
        <f>F332-E332</f>
        <v/>
      </c>
      <c r="H332" s="4">
        <f>IF(E332=0,"",F332/E332-1)</f>
        <v/>
      </c>
      <c r="I332" t="inlineStr"/>
    </row>
    <row r="333">
      <c r="A333" t="inlineStr">
        <is>
          <t>Organic &amp; inorganic chemicals</t>
        </is>
      </c>
      <c r="B333" t="inlineStr">
        <is>
          <t>29</t>
        </is>
      </c>
      <c r="C333" t="inlineStr">
        <is>
          <t>29309060</t>
        </is>
      </c>
      <c r="D333" t="inlineStr">
        <is>
          <t>*SULPHOXIDE</t>
        </is>
      </c>
      <c r="E333" s="3" t="n">
        <v>0.01</v>
      </c>
      <c r="F333" s="3" t="n">
        <v>0.01</v>
      </c>
      <c r="G333" s="3">
        <f>F333-E333</f>
        <v/>
      </c>
      <c r="H333" s="4">
        <f>IF(E333=0,"",F333/E333-1)</f>
        <v/>
      </c>
      <c r="I333" t="inlineStr"/>
    </row>
    <row r="334">
      <c r="A334" t="inlineStr">
        <is>
          <t>Organic &amp; inorganic chemicals</t>
        </is>
      </c>
      <c r="B334" t="inlineStr">
        <is>
          <t>29</t>
        </is>
      </c>
      <c r="C334" t="inlineStr">
        <is>
          <t>29321400</t>
        </is>
      </c>
      <c r="D334" t="inlineStr">
        <is>
          <t>SUCRALOSE</t>
        </is>
      </c>
      <c r="E334" s="3" t="n">
        <v>0</v>
      </c>
      <c r="F334" s="3" t="n">
        <v>0.01</v>
      </c>
      <c r="G334" s="3">
        <f>F334-E334</f>
        <v/>
      </c>
      <c r="H334" s="4">
        <f>IF(E334=0,"",F334/E334-1)</f>
        <v/>
      </c>
      <c r="I334" t="inlineStr"/>
    </row>
    <row r="335">
      <c r="A335" t="inlineStr">
        <is>
          <t>Organic &amp; inorganic chemicals</t>
        </is>
      </c>
      <c r="B335" t="inlineStr">
        <is>
          <t>29</t>
        </is>
      </c>
      <c r="C335" t="inlineStr">
        <is>
          <t>29332920</t>
        </is>
      </c>
      <c r="D335" t="inlineStr">
        <is>
          <t>METRONIDAZOLE METRONIDIAZOLE BENZOATE</t>
        </is>
      </c>
      <c r="E335" s="3" t="n">
        <v>0.05</v>
      </c>
      <c r="F335" s="3" t="n">
        <v>0.01</v>
      </c>
      <c r="G335" s="3">
        <f>F335-E335</f>
        <v/>
      </c>
      <c r="H335" s="4">
        <f>IF(E335=0,"",F335/E335-1)</f>
        <v/>
      </c>
      <c r="I335" t="inlineStr"/>
    </row>
    <row r="336">
      <c r="A336" t="inlineStr">
        <is>
          <t>Organic &amp; inorganic chemicals</t>
        </is>
      </c>
      <c r="B336" t="inlineStr">
        <is>
          <t>29</t>
        </is>
      </c>
      <c r="C336" t="inlineStr">
        <is>
          <t>29333916</t>
        </is>
      </c>
      <c r="D336" t="inlineStr">
        <is>
          <t>BETA PIC0LINE ( 3-METHYL PYRIDINE )</t>
        </is>
      </c>
      <c r="E336" s="3" t="n">
        <v>0</v>
      </c>
      <c r="F336" s="3" t="n">
        <v>0.01</v>
      </c>
      <c r="G336" s="3">
        <f>F336-E336</f>
        <v/>
      </c>
      <c r="H336" s="4">
        <f>IF(E336=0,"",F336/E336-1)</f>
        <v/>
      </c>
      <c r="I336" t="inlineStr"/>
    </row>
    <row r="337">
      <c r="A337" t="inlineStr">
        <is>
          <t>Organic &amp; inorganic chemicals</t>
        </is>
      </c>
      <c r="B337" t="inlineStr">
        <is>
          <t>29</t>
        </is>
      </c>
      <c r="C337" t="inlineStr">
        <is>
          <t>29349100</t>
        </is>
      </c>
      <c r="D337" t="inlineStr">
        <is>
          <t>AMINOREX, BROTIZOLAM AND OTHER LIKE CMPNDS, SALTS THEREOF</t>
        </is>
      </c>
      <c r="E337" s="3" t="n">
        <v>0</v>
      </c>
      <c r="F337" s="3" t="n">
        <v>0.01</v>
      </c>
      <c r="G337" s="3">
        <f>F337-E337</f>
        <v/>
      </c>
      <c r="H337" s="4">
        <f>IF(E337=0,"",F337/E337-1)</f>
        <v/>
      </c>
      <c r="I337" t="inlineStr"/>
    </row>
    <row r="338">
      <c r="A338" t="inlineStr">
        <is>
          <t>Organic &amp; inorganic chemicals</t>
        </is>
      </c>
      <c r="B338" t="inlineStr">
        <is>
          <t>29</t>
        </is>
      </c>
      <c r="C338" t="inlineStr">
        <is>
          <t>29362210</t>
        </is>
      </c>
      <c r="D338" t="inlineStr">
        <is>
          <t>VITAMIN B1I(THIAMINE, ANEURINE) AND ITS SALT</t>
        </is>
      </c>
      <c r="E338" s="3" t="n">
        <v>0</v>
      </c>
      <c r="F338" s="3" t="n">
        <v>0.01</v>
      </c>
      <c r="G338" s="3">
        <f>F338-E338</f>
        <v/>
      </c>
      <c r="H338" s="4">
        <f>IF(E338=0,"",F338/E338-1)</f>
        <v/>
      </c>
      <c r="I338" t="inlineStr"/>
    </row>
    <row r="339">
      <c r="A339" t="inlineStr">
        <is>
          <t>Organic &amp; inorganic chemicals</t>
        </is>
      </c>
      <c r="B339" t="inlineStr">
        <is>
          <t>29</t>
        </is>
      </c>
      <c r="C339" t="inlineStr">
        <is>
          <t>29362310</t>
        </is>
      </c>
      <c r="D339" t="inlineStr">
        <is>
          <t>VITAMIN B2 (RIBOFLAVIN, LACTOPLAVIN) AND ITS SALTS</t>
        </is>
      </c>
      <c r="E339" s="3" t="n">
        <v>0.01</v>
      </c>
      <c r="F339" s="3" t="n">
        <v>0.01</v>
      </c>
      <c r="G339" s="3">
        <f>F339-E339</f>
        <v/>
      </c>
      <c r="H339" s="4">
        <f>IF(E339=0,"",F339/E339-1)</f>
        <v/>
      </c>
      <c r="I339" t="inlineStr"/>
    </row>
    <row r="340">
      <c r="A340" t="inlineStr">
        <is>
          <t>Organic &amp; inorganic chemicals</t>
        </is>
      </c>
      <c r="B340" t="inlineStr">
        <is>
          <t>29</t>
        </is>
      </c>
      <c r="C340" t="inlineStr">
        <is>
          <t>29362400</t>
        </is>
      </c>
      <c r="D340" t="inlineStr">
        <is>
          <t>D-OR DL-PANTOTHENIC ACID (VITAMIN B5) AND ITS DERIVATIVES</t>
        </is>
      </c>
      <c r="E340" s="3" t="n">
        <v>0</v>
      </c>
      <c r="F340" s="3" t="n">
        <v>0.01</v>
      </c>
      <c r="G340" s="3">
        <f>F340-E340</f>
        <v/>
      </c>
      <c r="H340" s="4">
        <f>IF(E340=0,"",F340/E340-1)</f>
        <v/>
      </c>
      <c r="I340" t="inlineStr"/>
    </row>
    <row r="341">
      <c r="A341" t="inlineStr">
        <is>
          <t>Organic &amp; inorganic chemicals</t>
        </is>
      </c>
      <c r="B341" t="inlineStr">
        <is>
          <t>29</t>
        </is>
      </c>
      <c r="C341" t="inlineStr">
        <is>
          <t>29362500</t>
        </is>
      </c>
      <c r="D341" t="inlineStr">
        <is>
          <t>VITAMIN B6 AND ITS DRVTS</t>
        </is>
      </c>
      <c r="E341" s="3" t="n">
        <v>0</v>
      </c>
      <c r="F341" s="3" t="n">
        <v>0.01</v>
      </c>
      <c r="G341" s="3">
        <f>F341-E341</f>
        <v/>
      </c>
      <c r="H341" s="4">
        <f>IF(E341=0,"",F341/E341-1)</f>
        <v/>
      </c>
      <c r="I341" t="inlineStr"/>
    </row>
    <row r="342">
      <c r="A342" t="inlineStr">
        <is>
          <t>Organic &amp; inorganic chemicals</t>
        </is>
      </c>
      <c r="B342" t="inlineStr">
        <is>
          <t>29</t>
        </is>
      </c>
      <c r="C342" t="inlineStr">
        <is>
          <t>29372900</t>
        </is>
      </c>
      <c r="D342" t="inlineStr">
        <is>
          <t>OTHR STEROIDAL HORMONS THR DRVTVS AND STRCTL ANLGES</t>
        </is>
      </c>
      <c r="E342" s="3" t="n">
        <v>0.03</v>
      </c>
      <c r="F342" s="3" t="n">
        <v>0.01</v>
      </c>
      <c r="G342" s="3">
        <f>F342-E342</f>
        <v/>
      </c>
      <c r="H342" s="4">
        <f>IF(E342=0,"",F342/E342-1)</f>
        <v/>
      </c>
      <c r="I342" t="inlineStr"/>
    </row>
    <row r="343">
      <c r="A343" t="inlineStr">
        <is>
          <t>Organic &amp; inorganic chemicals</t>
        </is>
      </c>
      <c r="B343" t="inlineStr">
        <is>
          <t>29</t>
        </is>
      </c>
      <c r="C343" t="inlineStr">
        <is>
          <t>29419040</t>
        </is>
      </c>
      <c r="D343" t="inlineStr">
        <is>
          <t>GENTAMYCIN AND ITS SALTS</t>
        </is>
      </c>
      <c r="E343" s="3" t="n">
        <v>0</v>
      </c>
      <c r="F343" s="3" t="n">
        <v>0.01</v>
      </c>
      <c r="G343" s="3">
        <f>F343-E343</f>
        <v/>
      </c>
      <c r="H343" s="4">
        <f>IF(E343=0,"",F343/E343-1)</f>
        <v/>
      </c>
      <c r="I343" t="inlineStr"/>
    </row>
    <row r="344">
      <c r="A344" t="inlineStr">
        <is>
          <t>Organic &amp; inorganic chemicals</t>
        </is>
      </c>
      <c r="B344" t="inlineStr">
        <is>
          <t>28</t>
        </is>
      </c>
      <c r="C344" t="inlineStr">
        <is>
          <t>28013010</t>
        </is>
      </c>
      <c r="D344" t="inlineStr">
        <is>
          <t>FLUORINE</t>
        </is>
      </c>
      <c r="E344" s="3" t="n">
        <v>0</v>
      </c>
      <c r="F344" s="3" t="n">
        <v>0</v>
      </c>
      <c r="G344" s="3">
        <f>F344-E344</f>
        <v/>
      </c>
      <c r="H344" s="4">
        <f>IF(E344=0,"",F344/E344-1)</f>
        <v/>
      </c>
      <c r="I344" t="inlineStr"/>
    </row>
    <row r="345">
      <c r="A345" t="inlineStr">
        <is>
          <t>Organic &amp; inorganic chemicals</t>
        </is>
      </c>
      <c r="B345" t="inlineStr">
        <is>
          <t>28</t>
        </is>
      </c>
      <c r="C345" t="inlineStr">
        <is>
          <t>28020010</t>
        </is>
      </c>
      <c r="D345" t="inlineStr">
        <is>
          <t>SUBLIMED SULPHUR</t>
        </is>
      </c>
      <c r="E345" s="3" t="n">
        <v>0</v>
      </c>
      <c r="F345" s="3" t="n">
        <v>0</v>
      </c>
      <c r="G345" s="3">
        <f>F345-E345</f>
        <v/>
      </c>
      <c r="H345" s="4">
        <f>IF(E345=0,"",F345/E345-1)</f>
        <v/>
      </c>
      <c r="I345" t="inlineStr"/>
    </row>
    <row r="346">
      <c r="A346" t="inlineStr">
        <is>
          <t>Organic &amp; inorganic chemicals</t>
        </is>
      </c>
      <c r="B346" t="inlineStr">
        <is>
          <t>28</t>
        </is>
      </c>
      <c r="C346" t="inlineStr">
        <is>
          <t>28030090</t>
        </is>
      </c>
      <c r="D346" t="inlineStr">
        <is>
          <t>OTHER CARBON</t>
        </is>
      </c>
      <c r="E346" s="3" t="n">
        <v>0.11</v>
      </c>
      <c r="F346" s="3" t="n">
        <v>0</v>
      </c>
      <c r="G346" s="3">
        <f>F346-E346</f>
        <v/>
      </c>
      <c r="H346" s="4">
        <f>IF(E346=0,"",F346/E346-1)</f>
        <v/>
      </c>
      <c r="I346" t="inlineStr"/>
    </row>
    <row r="347">
      <c r="A347" t="inlineStr">
        <is>
          <t>Organic &amp; inorganic chemicals</t>
        </is>
      </c>
      <c r="B347" t="inlineStr">
        <is>
          <t>28</t>
        </is>
      </c>
      <c r="C347" t="inlineStr">
        <is>
          <t>28043000</t>
        </is>
      </c>
      <c r="D347" t="inlineStr">
        <is>
          <t>NITROGEN</t>
        </is>
      </c>
      <c r="E347" s="3" t="n">
        <v>0.01</v>
      </c>
      <c r="F347" s="3" t="n">
        <v>0</v>
      </c>
      <c r="G347" s="3">
        <f>F347-E347</f>
        <v/>
      </c>
      <c r="H347" s="4">
        <f>IF(E347=0,"",F347/E347-1)</f>
        <v/>
      </c>
      <c r="I347" t="inlineStr"/>
    </row>
    <row r="348">
      <c r="A348" t="inlineStr">
        <is>
          <t>Organic &amp; inorganic chemicals</t>
        </is>
      </c>
      <c r="B348" t="inlineStr">
        <is>
          <t>28</t>
        </is>
      </c>
      <c r="C348" t="inlineStr">
        <is>
          <t>28045020</t>
        </is>
      </c>
      <c r="D348" t="inlineStr">
        <is>
          <t>TELLURIUM</t>
        </is>
      </c>
      <c r="E348" s="3" t="n">
        <v>0.01</v>
      </c>
      <c r="F348" s="3" t="n">
        <v>0</v>
      </c>
      <c r="G348" s="3">
        <f>F348-E348</f>
        <v/>
      </c>
      <c r="H348" s="4">
        <f>IF(E348=0,"",F348/E348-1)</f>
        <v/>
      </c>
      <c r="I348" t="inlineStr"/>
    </row>
    <row r="349">
      <c r="A349" t="inlineStr">
        <is>
          <t>Organic &amp; inorganic chemicals</t>
        </is>
      </c>
      <c r="B349" t="inlineStr">
        <is>
          <t>28</t>
        </is>
      </c>
      <c r="C349" t="inlineStr">
        <is>
          <t>28051100</t>
        </is>
      </c>
      <c r="D349" t="inlineStr">
        <is>
          <t>SODIUM</t>
        </is>
      </c>
      <c r="E349" s="3" t="n">
        <v>0</v>
      </c>
      <c r="F349" s="3" t="n">
        <v>0</v>
      </c>
      <c r="G349" s="3">
        <f>F349-E349</f>
        <v/>
      </c>
      <c r="H349" s="4">
        <f>IF(E349=0,"",F349/E349-1)</f>
        <v/>
      </c>
      <c r="I349" t="inlineStr"/>
    </row>
    <row r="350">
      <c r="A350" t="inlineStr">
        <is>
          <t>Organic &amp; inorganic chemicals</t>
        </is>
      </c>
      <c r="B350" t="inlineStr">
        <is>
          <t>28</t>
        </is>
      </c>
      <c r="C350" t="inlineStr">
        <is>
          <t>28051900</t>
        </is>
      </c>
      <c r="D350" t="inlineStr">
        <is>
          <t>OTHER ALKALI/ALKALINE -EARTH METALS</t>
        </is>
      </c>
      <c r="E350" s="3" t="n">
        <v>0</v>
      </c>
      <c r="F350" s="3" t="n">
        <v>0</v>
      </c>
      <c r="G350" s="3">
        <f>F350-E350</f>
        <v/>
      </c>
      <c r="H350" s="4">
        <f>IF(E350=0,"",F350/E350-1)</f>
        <v/>
      </c>
      <c r="I350" t="inlineStr"/>
    </row>
    <row r="351">
      <c r="A351" t="inlineStr">
        <is>
          <t>Organic &amp; inorganic chemicals</t>
        </is>
      </c>
      <c r="B351" t="inlineStr">
        <is>
          <t>28</t>
        </is>
      </c>
      <c r="C351" t="inlineStr">
        <is>
          <t>28070020</t>
        </is>
      </c>
      <c r="D351" t="inlineStr">
        <is>
          <t>OLEUM</t>
        </is>
      </c>
      <c r="E351" s="3" t="n">
        <v>0</v>
      </c>
      <c r="F351" s="3" t="n">
        <v>0</v>
      </c>
      <c r="G351" s="3">
        <f>F351-E351</f>
        <v/>
      </c>
      <c r="H351" s="4">
        <f>IF(E351=0,"",F351/E351-1)</f>
        <v/>
      </c>
      <c r="I351" t="inlineStr"/>
    </row>
    <row r="352">
      <c r="A352" t="inlineStr">
        <is>
          <t>Organic &amp; inorganic chemicals</t>
        </is>
      </c>
      <c r="B352" t="inlineStr">
        <is>
          <t>28</t>
        </is>
      </c>
      <c r="C352" t="inlineStr">
        <is>
          <t>28091000</t>
        </is>
      </c>
      <c r="D352" t="inlineStr">
        <is>
          <t>DIPHOSPHORUS PENIAOXIDE</t>
        </is>
      </c>
      <c r="E352" s="3" t="n">
        <v>0</v>
      </c>
      <c r="F352" s="3" t="n">
        <v>0</v>
      </c>
      <c r="G352" s="3">
        <f>F352-E352</f>
        <v/>
      </c>
      <c r="H352" s="4">
        <f>IF(E352=0,"",F352/E352-1)</f>
        <v/>
      </c>
      <c r="I352" t="inlineStr"/>
    </row>
    <row r="353">
      <c r="A353" t="inlineStr">
        <is>
          <t>Organic &amp; inorganic chemicals</t>
        </is>
      </c>
      <c r="B353" t="inlineStr">
        <is>
          <t>28</t>
        </is>
      </c>
      <c r="C353" t="inlineStr">
        <is>
          <t>28111990</t>
        </is>
      </c>
      <c r="D353" t="inlineStr">
        <is>
          <t>OTHER INORGANIC ACIDS</t>
        </is>
      </c>
      <c r="E353" s="3" t="n">
        <v>0</v>
      </c>
      <c r="F353" s="3" t="n">
        <v>0</v>
      </c>
      <c r="G353" s="3">
        <f>F353-E353</f>
        <v/>
      </c>
      <c r="H353" s="4">
        <f>IF(E353=0,"",F353/E353-1)</f>
        <v/>
      </c>
      <c r="I353" t="inlineStr"/>
    </row>
    <row r="354">
      <c r="A354" t="inlineStr">
        <is>
          <t>Organic &amp; inorganic chemicals</t>
        </is>
      </c>
      <c r="B354" t="inlineStr">
        <is>
          <t>28</t>
        </is>
      </c>
      <c r="C354" t="inlineStr">
        <is>
          <t>28112920</t>
        </is>
      </c>
      <c r="D354" t="inlineStr">
        <is>
          <t>ARSENIC TRIOXIDE</t>
        </is>
      </c>
      <c r="E354" s="3" t="n">
        <v>0</v>
      </c>
      <c r="F354" s="3" t="n">
        <v>0</v>
      </c>
      <c r="G354" s="3">
        <f>F354-E354</f>
        <v/>
      </c>
      <c r="H354" s="4">
        <f>IF(E354=0,"",F354/E354-1)</f>
        <v/>
      </c>
      <c r="I354" t="inlineStr"/>
    </row>
    <row r="355">
      <c r="A355" t="inlineStr">
        <is>
          <t>Organic &amp; inorganic chemicals</t>
        </is>
      </c>
      <c r="B355" t="inlineStr">
        <is>
          <t>28</t>
        </is>
      </c>
      <c r="C355" t="inlineStr">
        <is>
          <t>28112990</t>
        </is>
      </c>
      <c r="D355" t="inlineStr">
        <is>
          <t>OTHER INORGNC OXGN COMPNDS OF NON-MTLS, NES</t>
        </is>
      </c>
      <c r="E355" s="3" t="n">
        <v>0.01</v>
      </c>
      <c r="F355" s="3" t="n">
        <v>0</v>
      </c>
      <c r="G355" s="3">
        <f>F355-E355</f>
        <v/>
      </c>
      <c r="H355" s="4">
        <f>IF(E355=0,"",F355/E355-1)</f>
        <v/>
      </c>
      <c r="I355" t="inlineStr"/>
    </row>
    <row r="356">
      <c r="A356" t="inlineStr">
        <is>
          <t>Organic &amp; inorganic chemicals</t>
        </is>
      </c>
      <c r="B356" t="inlineStr">
        <is>
          <t>28</t>
        </is>
      </c>
      <c r="C356" t="inlineStr">
        <is>
          <t>28129000</t>
        </is>
      </c>
      <c r="D356" t="inlineStr">
        <is>
          <t>OTHERS-OF-OTHERS-OF-HALIDES AND HALIDE OXIDES OF NON-METALS</t>
        </is>
      </c>
      <c r="E356" s="3" t="n">
        <v>0</v>
      </c>
      <c r="F356" s="3" t="n">
        <v>0</v>
      </c>
      <c r="G356" s="3">
        <f>F356-E356</f>
        <v/>
      </c>
      <c r="H356" s="4">
        <f>IF(E356=0,"",F356/E356-1)</f>
        <v/>
      </c>
      <c r="I356" t="inlineStr"/>
    </row>
    <row r="357">
      <c r="A357" t="inlineStr">
        <is>
          <t>Organic &amp; inorganic chemicals</t>
        </is>
      </c>
      <c r="B357" t="inlineStr">
        <is>
          <t>28</t>
        </is>
      </c>
      <c r="C357" t="inlineStr">
        <is>
          <t>28164000</t>
        </is>
      </c>
      <c r="D357" t="inlineStr">
        <is>
          <t>OXIDES,HYDROXIDES AND PEROXIDE OF STRONTIUM OR BARIUM</t>
        </is>
      </c>
      <c r="E357" s="3" t="n">
        <v>0</v>
      </c>
      <c r="F357" s="3" t="n">
        <v>0</v>
      </c>
      <c r="G357" s="3">
        <f>F357-E357</f>
        <v/>
      </c>
      <c r="H357" s="4">
        <f>IF(E357=0,"",F357/E357-1)</f>
        <v/>
      </c>
      <c r="I357" t="inlineStr"/>
    </row>
    <row r="358">
      <c r="A358" t="inlineStr">
        <is>
          <t>Organic &amp; inorganic chemicals</t>
        </is>
      </c>
      <c r="B358" t="inlineStr">
        <is>
          <t>28</t>
        </is>
      </c>
      <c r="C358" t="inlineStr">
        <is>
          <t>28199000</t>
        </is>
      </c>
      <c r="D358" t="inlineStr">
        <is>
          <t>OTHER CHROMIUM OXIDES AND HYDROXIDES</t>
        </is>
      </c>
      <c r="E358" s="3" t="n">
        <v>0</v>
      </c>
      <c r="F358" s="3" t="n">
        <v>0</v>
      </c>
      <c r="G358" s="3">
        <f>F358-E358</f>
        <v/>
      </c>
      <c r="H358" s="4">
        <f>IF(E358=0,"",F358/E358-1)</f>
        <v/>
      </c>
      <c r="I358" t="inlineStr"/>
    </row>
    <row r="359">
      <c r="A359" t="inlineStr">
        <is>
          <t>Organic &amp; inorganic chemicals</t>
        </is>
      </c>
      <c r="B359" t="inlineStr">
        <is>
          <t>28</t>
        </is>
      </c>
      <c r="C359" t="inlineStr">
        <is>
          <t>28211020</t>
        </is>
      </c>
      <c r="D359" t="inlineStr">
        <is>
          <t>IRON HYDROXIDES</t>
        </is>
      </c>
      <c r="E359" s="3" t="n">
        <v>0</v>
      </c>
      <c r="F359" s="3" t="n">
        <v>0</v>
      </c>
      <c r="G359" s="3">
        <f>F359-E359</f>
        <v/>
      </c>
      <c r="H359" s="4">
        <f>IF(E359=0,"",F359/E359-1)</f>
        <v/>
      </c>
      <c r="I359" t="inlineStr"/>
    </row>
    <row r="360">
      <c r="A360" t="inlineStr">
        <is>
          <t>Organic &amp; inorganic chemicals</t>
        </is>
      </c>
      <c r="B360" t="inlineStr">
        <is>
          <t>28</t>
        </is>
      </c>
      <c r="C360" t="inlineStr">
        <is>
          <t>28230090</t>
        </is>
      </c>
      <c r="D360" t="inlineStr">
        <is>
          <t>OTHER TITANIUM OXIDES</t>
        </is>
      </c>
      <c r="E360" s="3" t="n">
        <v>0</v>
      </c>
      <c r="F360" s="3" t="n">
        <v>0</v>
      </c>
      <c r="G360" s="3">
        <f>F360-E360</f>
        <v/>
      </c>
      <c r="H360" s="4">
        <f>IF(E360=0,"",F360/E360-1)</f>
        <v/>
      </c>
      <c r="I360" t="inlineStr"/>
    </row>
    <row r="361">
      <c r="A361" t="inlineStr">
        <is>
          <t>Organic &amp; inorganic chemicals</t>
        </is>
      </c>
      <c r="B361" t="inlineStr">
        <is>
          <t>28</t>
        </is>
      </c>
      <c r="C361" t="inlineStr">
        <is>
          <t>28249000</t>
        </is>
      </c>
      <c r="D361" t="inlineStr">
        <is>
          <t>OTHER LEAD OXIDES</t>
        </is>
      </c>
      <c r="E361" s="3" t="n">
        <v>0</v>
      </c>
      <c r="F361" s="3" t="n">
        <v>0</v>
      </c>
      <c r="G361" s="3">
        <f>F361-E361</f>
        <v/>
      </c>
      <c r="H361" s="4">
        <f>IF(E361=0,"",F361/E361-1)</f>
        <v/>
      </c>
      <c r="I361" t="inlineStr"/>
    </row>
    <row r="362">
      <c r="A362" t="inlineStr">
        <is>
          <t>Organic &amp; inorganic chemicals</t>
        </is>
      </c>
      <c r="B362" t="inlineStr">
        <is>
          <t>28</t>
        </is>
      </c>
      <c r="C362" t="inlineStr">
        <is>
          <t>28251020</t>
        </is>
      </c>
      <c r="D362" t="inlineStr">
        <is>
          <t>HYDRAZINE HYDRATE</t>
        </is>
      </c>
      <c r="E362" s="3" t="n">
        <v>0</v>
      </c>
      <c r="F362" s="3" t="n">
        <v>0</v>
      </c>
      <c r="G362" s="3">
        <f>F362-E362</f>
        <v/>
      </c>
      <c r="H362" s="4">
        <f>IF(E362=0,"",F362/E362-1)</f>
        <v/>
      </c>
      <c r="I362" t="inlineStr"/>
    </row>
    <row r="363">
      <c r="A363" t="inlineStr">
        <is>
          <t>Organic &amp; inorganic chemicals</t>
        </is>
      </c>
      <c r="B363" t="inlineStr">
        <is>
          <t>28</t>
        </is>
      </c>
      <c r="C363" t="inlineStr">
        <is>
          <t>28251030</t>
        </is>
      </c>
      <c r="D363" t="inlineStr">
        <is>
          <t>HYDRAZINE SULPHATE</t>
        </is>
      </c>
      <c r="E363" s="3" t="n">
        <v>0</v>
      </c>
      <c r="F363" s="3" t="n">
        <v>0</v>
      </c>
      <c r="G363" s="3">
        <f>F363-E363</f>
        <v/>
      </c>
      <c r="H363" s="4">
        <f>IF(E363=0,"",F363/E363-1)</f>
        <v/>
      </c>
      <c r="I363" t="inlineStr"/>
    </row>
    <row r="364">
      <c r="A364" t="inlineStr">
        <is>
          <t>Organic &amp; inorganic chemicals</t>
        </is>
      </c>
      <c r="B364" t="inlineStr">
        <is>
          <t>28</t>
        </is>
      </c>
      <c r="C364" t="inlineStr">
        <is>
          <t>28251040</t>
        </is>
      </c>
      <c r="D364" t="inlineStr">
        <is>
          <t>HYDROXYLAMINE SULPHATE</t>
        </is>
      </c>
      <c r="E364" s="3" t="n">
        <v>0</v>
      </c>
      <c r="F364" s="3" t="n">
        <v>0</v>
      </c>
      <c r="G364" s="3">
        <f>F364-E364</f>
        <v/>
      </c>
      <c r="H364" s="4">
        <f>IF(E364=0,"",F364/E364-1)</f>
        <v/>
      </c>
      <c r="I364" t="inlineStr"/>
    </row>
    <row r="365">
      <c r="A365" t="inlineStr">
        <is>
          <t>Organic &amp; inorganic chemicals</t>
        </is>
      </c>
      <c r="B365" t="inlineStr">
        <is>
          <t>28</t>
        </is>
      </c>
      <c r="C365" t="inlineStr">
        <is>
          <t>28251090</t>
        </is>
      </c>
      <c r="D365" t="inlineStr">
        <is>
          <t>OTHER HYDRAZINE AND HYDROXYLAMINE AND THEIR INORGNC SLTS</t>
        </is>
      </c>
      <c r="E365" s="3" t="n">
        <v>0</v>
      </c>
      <c r="F365" s="3" t="n">
        <v>0</v>
      </c>
      <c r="G365" s="3">
        <f>F365-E365</f>
        <v/>
      </c>
      <c r="H365" s="4">
        <f>IF(E365=0,"",F365/E365-1)</f>
        <v/>
      </c>
      <c r="I365" t="inlineStr"/>
    </row>
    <row r="366">
      <c r="A366" t="inlineStr">
        <is>
          <t>Organic &amp; inorganic chemicals</t>
        </is>
      </c>
      <c r="B366" t="inlineStr">
        <is>
          <t>28</t>
        </is>
      </c>
      <c r="C366" t="inlineStr">
        <is>
          <t>28252000</t>
        </is>
      </c>
      <c r="D366" t="inlineStr">
        <is>
          <t>LITHIUM OXIDE AND HYDROXIDE</t>
        </is>
      </c>
      <c r="E366" s="3" t="n">
        <v>0</v>
      </c>
      <c r="F366" s="3" t="n">
        <v>0</v>
      </c>
      <c r="G366" s="3">
        <f>F366-E366</f>
        <v/>
      </c>
      <c r="H366" s="4">
        <f>IF(E366=0,"",F366/E366-1)</f>
        <v/>
      </c>
      <c r="I366" t="inlineStr"/>
    </row>
    <row r="367">
      <c r="A367" t="inlineStr">
        <is>
          <t>Organic &amp; inorganic chemicals</t>
        </is>
      </c>
      <c r="B367" t="inlineStr">
        <is>
          <t>28</t>
        </is>
      </c>
      <c r="C367" t="inlineStr">
        <is>
          <t>28253010</t>
        </is>
      </c>
      <c r="D367" t="inlineStr">
        <is>
          <t>VANADIUM PENIOXIDE FLAKES</t>
        </is>
      </c>
      <c r="E367" s="3" t="n">
        <v>0.39</v>
      </c>
      <c r="F367" s="3" t="n">
        <v>0</v>
      </c>
      <c r="G367" s="3">
        <f>F367-E367</f>
        <v/>
      </c>
      <c r="H367" s="4">
        <f>IF(E367=0,"",F367/E367-1)</f>
        <v/>
      </c>
      <c r="I367" t="inlineStr"/>
    </row>
    <row r="368">
      <c r="A368" t="inlineStr">
        <is>
          <t>Organic &amp; inorganic chemicals</t>
        </is>
      </c>
      <c r="B368" t="inlineStr">
        <is>
          <t>28</t>
        </is>
      </c>
      <c r="C368" t="inlineStr">
        <is>
          <t>28254000</t>
        </is>
      </c>
      <c r="D368" t="inlineStr">
        <is>
          <t>NICKEL OXIDES AND HYDROXIDES</t>
        </is>
      </c>
      <c r="E368" s="3" t="n">
        <v>0</v>
      </c>
      <c r="F368" s="3" t="n">
        <v>0</v>
      </c>
      <c r="G368" s="3">
        <f>F368-E368</f>
        <v/>
      </c>
      <c r="H368" s="4">
        <f>IF(E368=0,"",F368/E368-1)</f>
        <v/>
      </c>
      <c r="I368" t="inlineStr"/>
    </row>
    <row r="369">
      <c r="A369" t="inlineStr">
        <is>
          <t>Organic &amp; inorganic chemicals</t>
        </is>
      </c>
      <c r="B369" t="inlineStr">
        <is>
          <t>28</t>
        </is>
      </c>
      <c r="C369" t="inlineStr">
        <is>
          <t>28255000</t>
        </is>
      </c>
      <c r="D369" t="inlineStr">
        <is>
          <t>COPPER OXIDES AND HYDROXIDES</t>
        </is>
      </c>
      <c r="E369" s="3" t="n">
        <v>0</v>
      </c>
      <c r="F369" s="3" t="n">
        <v>0</v>
      </c>
      <c r="G369" s="3">
        <f>F369-E369</f>
        <v/>
      </c>
      <c r="H369" s="4">
        <f>IF(E369=0,"",F369/E369-1)</f>
        <v/>
      </c>
      <c r="I369" t="inlineStr"/>
    </row>
    <row r="370">
      <c r="A370" t="inlineStr">
        <is>
          <t>Organic &amp; inorganic chemicals</t>
        </is>
      </c>
      <c r="B370" t="inlineStr">
        <is>
          <t>28</t>
        </is>
      </c>
      <c r="C370" t="inlineStr">
        <is>
          <t>28257010</t>
        </is>
      </c>
      <c r="D370" t="inlineStr">
        <is>
          <t>MOLYBDENUM TRIOXIDE</t>
        </is>
      </c>
      <c r="E370" s="3" t="n">
        <v>0</v>
      </c>
      <c r="F370" s="3" t="n">
        <v>0</v>
      </c>
      <c r="G370" s="3">
        <f>F370-E370</f>
        <v/>
      </c>
      <c r="H370" s="4">
        <f>IF(E370=0,"",F370/E370-1)</f>
        <v/>
      </c>
      <c r="I370" t="inlineStr"/>
    </row>
    <row r="371">
      <c r="A371" t="inlineStr">
        <is>
          <t>Organic &amp; inorganic chemicals</t>
        </is>
      </c>
      <c r="B371" t="inlineStr">
        <is>
          <t>28</t>
        </is>
      </c>
      <c r="C371" t="inlineStr">
        <is>
          <t>28257020</t>
        </is>
      </c>
      <c r="D371" t="inlineStr">
        <is>
          <t>MOLYBDIC ACID</t>
        </is>
      </c>
      <c r="E371" s="3" t="n">
        <v>0</v>
      </c>
      <c r="F371" s="3" t="n">
        <v>0</v>
      </c>
      <c r="G371" s="3">
        <f>F371-E371</f>
        <v/>
      </c>
      <c r="H371" s="4">
        <f>IF(E371=0,"",F371/E371-1)</f>
        <v/>
      </c>
      <c r="I371" t="inlineStr"/>
    </row>
    <row r="372">
      <c r="A372" t="inlineStr">
        <is>
          <t>Organic &amp; inorganic chemicals</t>
        </is>
      </c>
      <c r="B372" t="inlineStr">
        <is>
          <t>28</t>
        </is>
      </c>
      <c r="C372" t="inlineStr">
        <is>
          <t>28259040</t>
        </is>
      </c>
      <c r="D372" t="inlineStr">
        <is>
          <t>CALCIUM HYDROXIDE</t>
        </is>
      </c>
      <c r="E372" s="3" t="n">
        <v>0</v>
      </c>
      <c r="F372" s="3" t="n">
        <v>0</v>
      </c>
      <c r="G372" s="3">
        <f>F372-E372</f>
        <v/>
      </c>
      <c r="H372" s="4">
        <f>IF(E372=0,"",F372/E372-1)</f>
        <v/>
      </c>
      <c r="I372" t="inlineStr"/>
    </row>
    <row r="373">
      <c r="A373" t="inlineStr">
        <is>
          <t>Organic &amp; inorganic chemicals</t>
        </is>
      </c>
      <c r="B373" t="inlineStr">
        <is>
          <t>28</t>
        </is>
      </c>
      <c r="C373" t="inlineStr">
        <is>
          <t>28273500</t>
        </is>
      </c>
      <c r="D373" t="inlineStr">
        <is>
          <t>CHLORIDE OF NICKEL</t>
        </is>
      </c>
      <c r="E373" s="3" t="n">
        <v>0</v>
      </c>
      <c r="F373" s="3" t="n">
        <v>0</v>
      </c>
      <c r="G373" s="3">
        <f>F373-E373</f>
        <v/>
      </c>
      <c r="H373" s="4">
        <f>IF(E373=0,"",F373/E373-1)</f>
        <v/>
      </c>
      <c r="I373" t="inlineStr"/>
    </row>
    <row r="374">
      <c r="A374" t="inlineStr">
        <is>
          <t>Organic &amp; inorganic chemicals</t>
        </is>
      </c>
      <c r="B374" t="inlineStr">
        <is>
          <t>28</t>
        </is>
      </c>
      <c r="C374" t="inlineStr">
        <is>
          <t>28273930</t>
        </is>
      </c>
      <c r="D374" t="inlineStr">
        <is>
          <t>STRONTIUM CHLORIDE</t>
        </is>
      </c>
      <c r="E374" s="3" t="n">
        <v>0</v>
      </c>
      <c r="F374" s="3" t="n">
        <v>0</v>
      </c>
      <c r="G374" s="3">
        <f>F374-E374</f>
        <v/>
      </c>
      <c r="H374" s="4">
        <f>IF(E374=0,"",F374/E374-1)</f>
        <v/>
      </c>
      <c r="I374" t="inlineStr"/>
    </row>
    <row r="375">
      <c r="A375" t="inlineStr">
        <is>
          <t>Organic &amp; inorganic chemicals</t>
        </is>
      </c>
      <c r="B375" t="inlineStr">
        <is>
          <t>28</t>
        </is>
      </c>
      <c r="C375" t="inlineStr">
        <is>
          <t>28273940</t>
        </is>
      </c>
      <c r="D375" t="inlineStr">
        <is>
          <t>CUPROUS CHLORIDE</t>
        </is>
      </c>
      <c r="E375" s="3" t="n">
        <v>0</v>
      </c>
      <c r="F375" s="3" t="n">
        <v>0</v>
      </c>
      <c r="G375" s="3">
        <f>F375-E375</f>
        <v/>
      </c>
      <c r="H375" s="4">
        <f>IF(E375=0,"",F375/E375-1)</f>
        <v/>
      </c>
      <c r="I375" t="inlineStr"/>
    </row>
    <row r="376">
      <c r="A376" t="inlineStr">
        <is>
          <t>Organic &amp; inorganic chemicals</t>
        </is>
      </c>
      <c r="B376" t="inlineStr">
        <is>
          <t>28</t>
        </is>
      </c>
      <c r="C376" t="inlineStr">
        <is>
          <t>28274190</t>
        </is>
      </c>
      <c r="D376" t="inlineStr">
        <is>
          <t>OTHER COPPER CHLORIDE OXIDES NES</t>
        </is>
      </c>
      <c r="E376" s="3" t="n">
        <v>0</v>
      </c>
      <c r="F376" s="3" t="n">
        <v>0</v>
      </c>
      <c r="G376" s="3">
        <f>F376-E376</f>
        <v/>
      </c>
      <c r="H376" s="4">
        <f>IF(E376=0,"",F376/E376-1)</f>
        <v/>
      </c>
      <c r="I376" t="inlineStr"/>
    </row>
    <row r="377">
      <c r="A377" t="inlineStr">
        <is>
          <t>Organic &amp; inorganic chemicals</t>
        </is>
      </c>
      <c r="B377" t="inlineStr">
        <is>
          <t>28</t>
        </is>
      </c>
      <c r="C377" t="inlineStr">
        <is>
          <t>28274900</t>
        </is>
      </c>
      <c r="D377" t="inlineStr">
        <is>
          <t>OTHER CHLORIDE OXIDES AND CHLORID HYDROXIDES</t>
        </is>
      </c>
      <c r="E377" s="3" t="n">
        <v>0.01</v>
      </c>
      <c r="F377" s="3" t="n">
        <v>0</v>
      </c>
      <c r="G377" s="3">
        <f>F377-E377</f>
        <v/>
      </c>
      <c r="H377" s="4">
        <f>IF(E377=0,"",F377/E377-1)</f>
        <v/>
      </c>
      <c r="I377" t="inlineStr"/>
    </row>
    <row r="378">
      <c r="A378" t="inlineStr">
        <is>
          <t>Organic &amp; inorganic chemicals</t>
        </is>
      </c>
      <c r="B378" t="inlineStr">
        <is>
          <t>28</t>
        </is>
      </c>
      <c r="C378" t="inlineStr">
        <is>
          <t>28275110</t>
        </is>
      </c>
      <c r="D378" t="inlineStr">
        <is>
          <t>SODIUM BROMIDE</t>
        </is>
      </c>
      <c r="E378" s="3" t="n">
        <v>1.1</v>
      </c>
      <c r="F378" s="3" t="n">
        <v>0</v>
      </c>
      <c r="G378" s="3">
        <f>F378-E378</f>
        <v/>
      </c>
      <c r="H378" s="4">
        <f>IF(E378=0,"",F378/E378-1)</f>
        <v/>
      </c>
      <c r="I378" t="inlineStr"/>
    </row>
    <row r="379">
      <c r="A379" t="inlineStr">
        <is>
          <t>Organic &amp; inorganic chemicals</t>
        </is>
      </c>
      <c r="B379" t="inlineStr">
        <is>
          <t>28</t>
        </is>
      </c>
      <c r="C379" t="inlineStr">
        <is>
          <t>28275120</t>
        </is>
      </c>
      <c r="D379" t="inlineStr">
        <is>
          <t>POTASSIUM BROMIDE</t>
        </is>
      </c>
      <c r="E379" s="3" t="n">
        <v>0</v>
      </c>
      <c r="F379" s="3" t="n">
        <v>0</v>
      </c>
      <c r="G379" s="3">
        <f>F379-E379</f>
        <v/>
      </c>
      <c r="H379" s="4">
        <f>IF(E379=0,"",F379/E379-1)</f>
        <v/>
      </c>
      <c r="I379" t="inlineStr"/>
    </row>
    <row r="380">
      <c r="A380" t="inlineStr">
        <is>
          <t>Organic &amp; inorganic chemicals</t>
        </is>
      </c>
      <c r="B380" t="inlineStr">
        <is>
          <t>28</t>
        </is>
      </c>
      <c r="C380" t="inlineStr">
        <is>
          <t>28276020</t>
        </is>
      </c>
      <c r="D380" t="inlineStr">
        <is>
          <t>SODIUM IODIDE</t>
        </is>
      </c>
      <c r="E380" s="3" t="n">
        <v>0</v>
      </c>
      <c r="F380" s="3" t="n">
        <v>0</v>
      </c>
      <c r="G380" s="3">
        <f>F380-E380</f>
        <v/>
      </c>
      <c r="H380" s="4">
        <f>IF(E380=0,"",F380/E380-1)</f>
        <v/>
      </c>
      <c r="I380" t="inlineStr"/>
    </row>
    <row r="381">
      <c r="A381" t="inlineStr">
        <is>
          <t>Organic &amp; inorganic chemicals</t>
        </is>
      </c>
      <c r="B381" t="inlineStr">
        <is>
          <t>28</t>
        </is>
      </c>
      <c r="C381" t="inlineStr">
        <is>
          <t>28276090</t>
        </is>
      </c>
      <c r="D381" t="inlineStr">
        <is>
          <t>OTHER IDODIES AND OXYIODIDES</t>
        </is>
      </c>
      <c r="E381" s="3" t="n">
        <v>0</v>
      </c>
      <c r="F381" s="3" t="n">
        <v>0</v>
      </c>
      <c r="G381" s="3">
        <f>F381-E381</f>
        <v/>
      </c>
      <c r="H381" s="4">
        <f>IF(E381=0,"",F381/E381-1)</f>
        <v/>
      </c>
      <c r="I381" t="inlineStr"/>
    </row>
    <row r="382">
      <c r="A382" t="inlineStr">
        <is>
          <t>Organic &amp; inorganic chemicals</t>
        </is>
      </c>
      <c r="B382" t="inlineStr">
        <is>
          <t>28</t>
        </is>
      </c>
      <c r="C382" t="inlineStr">
        <is>
          <t>28281010</t>
        </is>
      </c>
      <c r="D382" t="inlineStr">
        <is>
          <t>COMMERCIAL CALCIUM HYPOCHLORIDE ( BLEACHINGPASTE OR POWDER)</t>
        </is>
      </c>
      <c r="E382" s="3" t="n">
        <v>0.21</v>
      </c>
      <c r="F382" s="3" t="n">
        <v>0</v>
      </c>
      <c r="G382" s="3">
        <f>F382-E382</f>
        <v/>
      </c>
      <c r="H382" s="4">
        <f>IF(E382=0,"",F382/E382-1)</f>
        <v/>
      </c>
      <c r="I382" t="inlineStr"/>
    </row>
    <row r="383">
      <c r="A383" t="inlineStr">
        <is>
          <t>Organic &amp; inorganic chemicals</t>
        </is>
      </c>
      <c r="B383" t="inlineStr">
        <is>
          <t>28</t>
        </is>
      </c>
      <c r="C383" t="inlineStr">
        <is>
          <t>28281090</t>
        </is>
      </c>
      <c r="D383" t="inlineStr">
        <is>
          <t>OTHER COMMERCIAL CALCIUM HYPOCHLORIDES</t>
        </is>
      </c>
      <c r="E383" s="3" t="n">
        <v>0.28</v>
      </c>
      <c r="F383" s="3" t="n">
        <v>0</v>
      </c>
      <c r="G383" s="3">
        <f>F383-E383</f>
        <v/>
      </c>
      <c r="H383" s="4">
        <f>IF(E383=0,"",F383/E383-1)</f>
        <v/>
      </c>
      <c r="I383" t="inlineStr"/>
    </row>
    <row r="384">
      <c r="A384" t="inlineStr">
        <is>
          <t>Organic &amp; inorganic chemicals</t>
        </is>
      </c>
      <c r="B384" t="inlineStr">
        <is>
          <t>28</t>
        </is>
      </c>
      <c r="C384" t="inlineStr">
        <is>
          <t>28289019</t>
        </is>
      </c>
      <c r="D384" t="inlineStr">
        <is>
          <t>OTHER SODIUM HYPOCHLORITES</t>
        </is>
      </c>
      <c r="E384" s="3" t="n">
        <v>0</v>
      </c>
      <c r="F384" s="3" t="n">
        <v>0</v>
      </c>
      <c r="G384" s="3">
        <f>F384-E384</f>
        <v/>
      </c>
      <c r="H384" s="4">
        <f>IF(E384=0,"",F384/E384-1)</f>
        <v/>
      </c>
      <c r="I384" t="inlineStr"/>
    </row>
    <row r="385">
      <c r="A385" t="inlineStr">
        <is>
          <t>Organic &amp; inorganic chemicals</t>
        </is>
      </c>
      <c r="B385" t="inlineStr">
        <is>
          <t>28</t>
        </is>
      </c>
      <c r="C385" t="inlineStr">
        <is>
          <t>28291100</t>
        </is>
      </c>
      <c r="D385" t="inlineStr">
        <is>
          <t>SODIUM CHLORATE</t>
        </is>
      </c>
      <c r="E385" s="3" t="n">
        <v>0</v>
      </c>
      <c r="F385" s="3" t="n">
        <v>0</v>
      </c>
      <c r="G385" s="3">
        <f>F385-E385</f>
        <v/>
      </c>
      <c r="H385" s="4">
        <f>IF(E385=0,"",F385/E385-1)</f>
        <v/>
      </c>
      <c r="I385" t="inlineStr"/>
    </row>
    <row r="386">
      <c r="A386" t="inlineStr">
        <is>
          <t>Organic &amp; inorganic chemicals</t>
        </is>
      </c>
      <c r="B386" t="inlineStr">
        <is>
          <t>28</t>
        </is>
      </c>
      <c r="C386" t="inlineStr">
        <is>
          <t>28299010</t>
        </is>
      </c>
      <c r="D386" t="inlineStr">
        <is>
          <t>PERCHLORATES</t>
        </is>
      </c>
      <c r="E386" s="3" t="n">
        <v>0</v>
      </c>
      <c r="F386" s="3" t="n">
        <v>0</v>
      </c>
      <c r="G386" s="3">
        <f>F386-E386</f>
        <v/>
      </c>
      <c r="H386" s="4">
        <f>IF(E386=0,"",F386/E386-1)</f>
        <v/>
      </c>
      <c r="I386" t="inlineStr"/>
    </row>
    <row r="387">
      <c r="A387" t="inlineStr">
        <is>
          <t>Organic &amp; inorganic chemicals</t>
        </is>
      </c>
      <c r="B387" t="inlineStr">
        <is>
          <t>28</t>
        </is>
      </c>
      <c r="C387" t="inlineStr">
        <is>
          <t>28301000</t>
        </is>
      </c>
      <c r="D387" t="inlineStr">
        <is>
          <t>SODIUM SULPHIDE</t>
        </is>
      </c>
      <c r="E387" s="3" t="n">
        <v>0</v>
      </c>
      <c r="F387" s="3" t="n">
        <v>0</v>
      </c>
      <c r="G387" s="3">
        <f>F387-E387</f>
        <v/>
      </c>
      <c r="H387" s="4">
        <f>IF(E387=0,"",F387/E387-1)</f>
        <v/>
      </c>
      <c r="I387" t="inlineStr"/>
    </row>
    <row r="388">
      <c r="A388" t="inlineStr">
        <is>
          <t>Organic &amp; inorganic chemicals</t>
        </is>
      </c>
      <c r="B388" t="inlineStr">
        <is>
          <t>28</t>
        </is>
      </c>
      <c r="C388" t="inlineStr">
        <is>
          <t>28309020</t>
        </is>
      </c>
      <c r="D388" t="inlineStr">
        <is>
          <t>OTHER POLYSULPHIDES</t>
        </is>
      </c>
      <c r="E388" s="3" t="n">
        <v>0</v>
      </c>
      <c r="F388" s="3" t="n">
        <v>0</v>
      </c>
      <c r="G388" s="3">
        <f>F388-E388</f>
        <v/>
      </c>
      <c r="H388" s="4">
        <f>IF(E388=0,"",F388/E388-1)</f>
        <v/>
      </c>
      <c r="I388" t="inlineStr"/>
    </row>
    <row r="389">
      <c r="A389" t="inlineStr">
        <is>
          <t>Organic &amp; inorganic chemicals</t>
        </is>
      </c>
      <c r="B389" t="inlineStr">
        <is>
          <t>28</t>
        </is>
      </c>
      <c r="C389" t="inlineStr">
        <is>
          <t>28311020</t>
        </is>
      </c>
      <c r="D389" t="inlineStr">
        <is>
          <t>SODIUM SULPHOXYLATE (INCL SODIUM FORMAL- DEHDE SULPHOXYLATE)</t>
        </is>
      </c>
      <c r="E389" s="3" t="n">
        <v>0</v>
      </c>
      <c r="F389" s="3" t="n">
        <v>0</v>
      </c>
      <c r="G389" s="3">
        <f>F389-E389</f>
        <v/>
      </c>
      <c r="H389" s="4">
        <f>IF(E389=0,"",F389/E389-1)</f>
        <v/>
      </c>
      <c r="I389" t="inlineStr"/>
    </row>
    <row r="390">
      <c r="A390" t="inlineStr">
        <is>
          <t>Organic &amp; inorganic chemicals</t>
        </is>
      </c>
      <c r="B390" t="inlineStr">
        <is>
          <t>28</t>
        </is>
      </c>
      <c r="C390" t="inlineStr">
        <is>
          <t>28323090</t>
        </is>
      </c>
      <c r="D390" t="inlineStr">
        <is>
          <t>OTHER THIOSULPHATE</t>
        </is>
      </c>
      <c r="E390" s="3" t="n">
        <v>0.04</v>
      </c>
      <c r="F390" s="3" t="n">
        <v>0</v>
      </c>
      <c r="G390" s="3">
        <f>F390-E390</f>
        <v/>
      </c>
      <c r="H390" s="4">
        <f>IF(E390=0,"",F390/E390-1)</f>
        <v/>
      </c>
      <c r="I390" t="inlineStr"/>
    </row>
    <row r="391">
      <c r="A391" t="inlineStr">
        <is>
          <t>Organic &amp; inorganic chemicals</t>
        </is>
      </c>
      <c r="B391" t="inlineStr">
        <is>
          <t>28</t>
        </is>
      </c>
      <c r="C391" t="inlineStr">
        <is>
          <t>28331910</t>
        </is>
      </c>
      <c r="D391" t="inlineStr">
        <is>
          <t>SODIUM HYDROGEN SULPHATE(ACID SULPHATE)</t>
        </is>
      </c>
      <c r="E391" s="3" t="n">
        <v>0</v>
      </c>
      <c r="F391" s="3" t="n">
        <v>0</v>
      </c>
      <c r="G391" s="3">
        <f>F391-E391</f>
        <v/>
      </c>
      <c r="H391" s="4">
        <f>IF(E391=0,"",F391/E391-1)</f>
        <v/>
      </c>
      <c r="I391" t="inlineStr"/>
    </row>
    <row r="392">
      <c r="A392" t="inlineStr">
        <is>
          <t>Organic &amp; inorganic chemicals</t>
        </is>
      </c>
      <c r="B392" t="inlineStr">
        <is>
          <t>28</t>
        </is>
      </c>
      <c r="C392" t="inlineStr">
        <is>
          <t>28331990</t>
        </is>
      </c>
      <c r="D392" t="inlineStr">
        <is>
          <t>OTHER SODIUM SULPHATES</t>
        </is>
      </c>
      <c r="E392" s="3" t="n">
        <v>0</v>
      </c>
      <c r="F392" s="3" t="n">
        <v>0</v>
      </c>
      <c r="G392" s="3">
        <f>F392-E392</f>
        <v/>
      </c>
      <c r="H392" s="4">
        <f>IF(E392=0,"",F392/E392-1)</f>
        <v/>
      </c>
      <c r="I392" t="inlineStr"/>
    </row>
    <row r="393">
      <c r="A393" t="inlineStr">
        <is>
          <t>Organic &amp; inorganic chemicals</t>
        </is>
      </c>
      <c r="B393" t="inlineStr">
        <is>
          <t>28</t>
        </is>
      </c>
      <c r="C393" t="inlineStr">
        <is>
          <t>28332290</t>
        </is>
      </c>
      <c r="D393" t="inlineStr">
        <is>
          <t>OTHER ALUMINIUM SULPHATE</t>
        </is>
      </c>
      <c r="E393" s="3" t="n">
        <v>0</v>
      </c>
      <c r="F393" s="3" t="n">
        <v>0</v>
      </c>
      <c r="G393" s="3">
        <f>F393-E393</f>
        <v/>
      </c>
      <c r="H393" s="4">
        <f>IF(E393=0,"",F393/E393-1)</f>
        <v/>
      </c>
      <c r="I393" t="inlineStr"/>
    </row>
    <row r="394">
      <c r="A394" t="inlineStr">
        <is>
          <t>Organic &amp; inorganic chemicals</t>
        </is>
      </c>
      <c r="B394" t="inlineStr">
        <is>
          <t>28</t>
        </is>
      </c>
      <c r="C394" t="inlineStr">
        <is>
          <t>28332700</t>
        </is>
      </c>
      <c r="D394" t="inlineStr">
        <is>
          <t>BARIUM SULPHATE</t>
        </is>
      </c>
      <c r="E394" s="3" t="n">
        <v>0</v>
      </c>
      <c r="F394" s="3" t="n">
        <v>0</v>
      </c>
      <c r="G394" s="3">
        <f>F394-E394</f>
        <v/>
      </c>
      <c r="H394" s="4">
        <f>IF(E394=0,"",F394/E394-1)</f>
        <v/>
      </c>
      <c r="I394" t="inlineStr"/>
    </row>
    <row r="395">
      <c r="A395" t="inlineStr">
        <is>
          <t>Organic &amp; inorganic chemicals</t>
        </is>
      </c>
      <c r="B395" t="inlineStr">
        <is>
          <t>28</t>
        </is>
      </c>
      <c r="C395" t="inlineStr">
        <is>
          <t>28332910</t>
        </is>
      </c>
      <c r="D395" t="inlineStr">
        <is>
          <t>FERROUS SULPHATE</t>
        </is>
      </c>
      <c r="E395" s="3" t="n">
        <v>0.02</v>
      </c>
      <c r="F395" s="3" t="n">
        <v>0</v>
      </c>
      <c r="G395" s="3">
        <f>F395-E395</f>
        <v/>
      </c>
      <c r="H395" s="4">
        <f>IF(E395=0,"",F395/E395-1)</f>
        <v/>
      </c>
      <c r="I395" t="inlineStr"/>
    </row>
    <row r="396">
      <c r="A396" t="inlineStr">
        <is>
          <t>Organic &amp; inorganic chemicals</t>
        </is>
      </c>
      <c r="B396" t="inlineStr">
        <is>
          <t>28</t>
        </is>
      </c>
      <c r="C396" t="inlineStr">
        <is>
          <t>28332940</t>
        </is>
      </c>
      <c r="D396" t="inlineStr">
        <is>
          <t>MANGANESE SULPHATE</t>
        </is>
      </c>
      <c r="E396" s="3" t="n">
        <v>0</v>
      </c>
      <c r="F396" s="3" t="n">
        <v>0</v>
      </c>
      <c r="G396" s="3">
        <f>F396-E396</f>
        <v/>
      </c>
      <c r="H396" s="4">
        <f>IF(E396=0,"",F396/E396-1)</f>
        <v/>
      </c>
      <c r="I396" t="inlineStr"/>
    </row>
    <row r="397">
      <c r="A397" t="inlineStr">
        <is>
          <t>Organic &amp; inorganic chemicals</t>
        </is>
      </c>
      <c r="B397" t="inlineStr">
        <is>
          <t>28</t>
        </is>
      </c>
      <c r="C397" t="inlineStr">
        <is>
          <t>28333010</t>
        </is>
      </c>
      <c r="D397" t="inlineStr">
        <is>
          <t>AMMONIUM ALUM</t>
        </is>
      </c>
      <c r="E397" s="3" t="n">
        <v>0</v>
      </c>
      <c r="F397" s="3" t="n">
        <v>0</v>
      </c>
      <c r="G397" s="3">
        <f>F397-E397</f>
        <v/>
      </c>
      <c r="H397" s="4">
        <f>IF(E397=0,"",F397/E397-1)</f>
        <v/>
      </c>
      <c r="I397" t="inlineStr"/>
    </row>
    <row r="398">
      <c r="A398" t="inlineStr">
        <is>
          <t>Organic &amp; inorganic chemicals</t>
        </is>
      </c>
      <c r="B398" t="inlineStr">
        <is>
          <t>28</t>
        </is>
      </c>
      <c r="C398" t="inlineStr">
        <is>
          <t>28333020</t>
        </is>
      </c>
      <c r="D398" t="inlineStr">
        <is>
          <t>FERRIC AMMONIUM ALUM</t>
        </is>
      </c>
      <c r="E398" s="3" t="n">
        <v>0</v>
      </c>
      <c r="F398" s="3" t="n">
        <v>0</v>
      </c>
      <c r="G398" s="3">
        <f>F398-E398</f>
        <v/>
      </c>
      <c r="H398" s="4">
        <f>IF(E398=0,"",F398/E398-1)</f>
        <v/>
      </c>
      <c r="I398" t="inlineStr"/>
    </row>
    <row r="399">
      <c r="A399" t="inlineStr">
        <is>
          <t>Organic &amp; inorganic chemicals</t>
        </is>
      </c>
      <c r="B399" t="inlineStr">
        <is>
          <t>28</t>
        </is>
      </c>
      <c r="C399" t="inlineStr">
        <is>
          <t>28333030</t>
        </is>
      </c>
      <c r="D399" t="inlineStr">
        <is>
          <t>POTASH ALUM</t>
        </is>
      </c>
      <c r="E399" s="3" t="n">
        <v>0</v>
      </c>
      <c r="F399" s="3" t="n">
        <v>0</v>
      </c>
      <c r="G399" s="3">
        <f>F399-E399</f>
        <v/>
      </c>
      <c r="H399" s="4">
        <f>IF(E399=0,"",F399/E399-1)</f>
        <v/>
      </c>
      <c r="I399" t="inlineStr"/>
    </row>
    <row r="400">
      <c r="A400" t="inlineStr">
        <is>
          <t>Organic &amp; inorganic chemicals</t>
        </is>
      </c>
      <c r="B400" t="inlineStr">
        <is>
          <t>28</t>
        </is>
      </c>
      <c r="C400" t="inlineStr">
        <is>
          <t>28333090</t>
        </is>
      </c>
      <c r="D400" t="inlineStr">
        <is>
          <t>OTHER ALUMS</t>
        </is>
      </c>
      <c r="E400" s="3" t="n">
        <v>0</v>
      </c>
      <c r="F400" s="3" t="n">
        <v>0</v>
      </c>
      <c r="G400" s="3">
        <f>F400-E400</f>
        <v/>
      </c>
      <c r="H400" s="4">
        <f>IF(E400=0,"",F400/E400-1)</f>
        <v/>
      </c>
      <c r="I400" t="inlineStr"/>
    </row>
    <row r="401">
      <c r="A401" t="inlineStr">
        <is>
          <t>Organic &amp; inorganic chemicals</t>
        </is>
      </c>
      <c r="B401" t="inlineStr">
        <is>
          <t>28</t>
        </is>
      </c>
      <c r="C401" t="inlineStr">
        <is>
          <t>28341010</t>
        </is>
      </c>
      <c r="D401" t="inlineStr">
        <is>
          <t>SODIUM NITRITE</t>
        </is>
      </c>
      <c r="E401" s="3" t="n">
        <v>0</v>
      </c>
      <c r="F401" s="3" t="n">
        <v>0</v>
      </c>
      <c r="G401" s="3">
        <f>F401-E401</f>
        <v/>
      </c>
      <c r="H401" s="4">
        <f>IF(E401=0,"",F401/E401-1)</f>
        <v/>
      </c>
      <c r="I401" t="inlineStr"/>
    </row>
    <row r="402">
      <c r="A402" t="inlineStr">
        <is>
          <t>Organic &amp; inorganic chemicals</t>
        </is>
      </c>
      <c r="B402" t="inlineStr">
        <is>
          <t>28</t>
        </is>
      </c>
      <c r="C402" t="inlineStr">
        <is>
          <t>28342930</t>
        </is>
      </c>
      <c r="D402" t="inlineStr">
        <is>
          <t>BARIUM NITRATE</t>
        </is>
      </c>
      <c r="E402" s="3" t="n">
        <v>0</v>
      </c>
      <c r="F402" s="3" t="n">
        <v>0</v>
      </c>
      <c r="G402" s="3">
        <f>F402-E402</f>
        <v/>
      </c>
      <c r="H402" s="4">
        <f>IF(E402=0,"",F402/E402-1)</f>
        <v/>
      </c>
      <c r="I402" t="inlineStr"/>
    </row>
    <row r="403">
      <c r="A403" t="inlineStr">
        <is>
          <t>Organic &amp; inorganic chemicals</t>
        </is>
      </c>
      <c r="B403" t="inlineStr">
        <is>
          <t>28</t>
        </is>
      </c>
      <c r="C403" t="inlineStr">
        <is>
          <t>28352610</t>
        </is>
      </c>
      <c r="D403" t="inlineStr">
        <is>
          <t>CALCIUM MONOBASIC PHOSPHATE</t>
        </is>
      </c>
      <c r="E403" s="3" t="n">
        <v>0</v>
      </c>
      <c r="F403" s="3" t="n">
        <v>0</v>
      </c>
      <c r="G403" s="3">
        <f>F403-E403</f>
        <v/>
      </c>
      <c r="H403" s="4">
        <f>IF(E403=0,"",F403/E403-1)</f>
        <v/>
      </c>
      <c r="I403" t="inlineStr"/>
    </row>
    <row r="404">
      <c r="A404" t="inlineStr">
        <is>
          <t>Organic &amp; inorganic chemicals</t>
        </is>
      </c>
      <c r="B404" t="inlineStr">
        <is>
          <t>28</t>
        </is>
      </c>
      <c r="C404" t="inlineStr">
        <is>
          <t>28352920</t>
        </is>
      </c>
      <c r="D404" t="inlineStr">
        <is>
          <t>MAGNESIUM PHOSPHATE DIBASIC</t>
        </is>
      </c>
      <c r="E404" s="3" t="n">
        <v>0</v>
      </c>
      <c r="F404" s="3" t="n">
        <v>0</v>
      </c>
      <c r="G404" s="3">
        <f>F404-E404</f>
        <v/>
      </c>
      <c r="H404" s="4">
        <f>IF(E404=0,"",F404/E404-1)</f>
        <v/>
      </c>
      <c r="I404" t="inlineStr"/>
    </row>
    <row r="405">
      <c r="A405" t="inlineStr">
        <is>
          <t>Organic &amp; inorganic chemicals</t>
        </is>
      </c>
      <c r="B405" t="inlineStr">
        <is>
          <t>28</t>
        </is>
      </c>
      <c r="C405" t="inlineStr">
        <is>
          <t>28353900</t>
        </is>
      </c>
      <c r="D405" t="inlineStr">
        <is>
          <t>OTHER POLYPHOSPHATES</t>
        </is>
      </c>
      <c r="E405" s="3" t="n">
        <v>0</v>
      </c>
      <c r="F405" s="3" t="n">
        <v>0</v>
      </c>
      <c r="G405" s="3">
        <f>F405-E405</f>
        <v/>
      </c>
      <c r="H405" s="4">
        <f>IF(E405=0,"",F405/E405-1)</f>
        <v/>
      </c>
      <c r="I405" t="inlineStr"/>
    </row>
    <row r="406">
      <c r="A406" t="inlineStr">
        <is>
          <t>Organic &amp; inorganic chemicals</t>
        </is>
      </c>
      <c r="B406" t="inlineStr">
        <is>
          <t>28</t>
        </is>
      </c>
      <c r="C406" t="inlineStr">
        <is>
          <t>28362090</t>
        </is>
      </c>
      <c r="D406" t="inlineStr">
        <is>
          <t>OTHER DISODIUM CARBONATE</t>
        </is>
      </c>
      <c r="E406" s="3" t="n">
        <v>0</v>
      </c>
      <c r="F406" s="3" t="n">
        <v>0</v>
      </c>
      <c r="G406" s="3">
        <f>F406-E406</f>
        <v/>
      </c>
      <c r="H406" s="4">
        <f>IF(E406=0,"",F406/E406-1)</f>
        <v/>
      </c>
      <c r="I406" t="inlineStr"/>
    </row>
    <row r="407">
      <c r="A407" t="inlineStr">
        <is>
          <t>Organic &amp; inorganic chemicals</t>
        </is>
      </c>
      <c r="B407" t="inlineStr">
        <is>
          <t>28</t>
        </is>
      </c>
      <c r="C407" t="inlineStr">
        <is>
          <t>28369200</t>
        </is>
      </c>
      <c r="D407" t="inlineStr">
        <is>
          <t>STRONTIUM CARBONATE</t>
        </is>
      </c>
      <c r="E407" s="3" t="n">
        <v>0</v>
      </c>
      <c r="F407" s="3" t="n">
        <v>0</v>
      </c>
      <c r="G407" s="3">
        <f>F407-E407</f>
        <v/>
      </c>
      <c r="H407" s="4">
        <f>IF(E407=0,"",F407/E407-1)</f>
        <v/>
      </c>
      <c r="I407" t="inlineStr"/>
    </row>
    <row r="408">
      <c r="A408" t="inlineStr">
        <is>
          <t>Organic &amp; inorganic chemicals</t>
        </is>
      </c>
      <c r="B408" t="inlineStr">
        <is>
          <t>28</t>
        </is>
      </c>
      <c r="C408" t="inlineStr">
        <is>
          <t>28372020</t>
        </is>
      </c>
      <c r="D408" t="inlineStr">
        <is>
          <t>POTASSIUM FERRICYANIDE</t>
        </is>
      </c>
      <c r="E408" s="3" t="n">
        <v>0</v>
      </c>
      <c r="F408" s="3" t="n">
        <v>0</v>
      </c>
      <c r="G408" s="3">
        <f>F408-E408</f>
        <v/>
      </c>
      <c r="H408" s="4">
        <f>IF(E408=0,"",F408/E408-1)</f>
        <v/>
      </c>
      <c r="I408" t="inlineStr"/>
    </row>
    <row r="409">
      <c r="A409" t="inlineStr">
        <is>
          <t>Organic &amp; inorganic chemicals</t>
        </is>
      </c>
      <c r="B409" t="inlineStr">
        <is>
          <t>28</t>
        </is>
      </c>
      <c r="C409" t="inlineStr">
        <is>
          <t>28372030</t>
        </is>
      </c>
      <c r="D409" t="inlineStr">
        <is>
          <t>POTASSIUM FERROCYANIDE</t>
        </is>
      </c>
      <c r="E409" s="3" t="n">
        <v>0.05</v>
      </c>
      <c r="F409" s="3" t="n">
        <v>0</v>
      </c>
      <c r="G409" s="3">
        <f>F409-E409</f>
        <v/>
      </c>
      <c r="H409" s="4">
        <f>IF(E409=0,"",F409/E409-1)</f>
        <v/>
      </c>
      <c r="I409" t="inlineStr"/>
    </row>
    <row r="410">
      <c r="A410" t="inlineStr">
        <is>
          <t>Organic &amp; inorganic chemicals</t>
        </is>
      </c>
      <c r="B410" t="inlineStr">
        <is>
          <t>28</t>
        </is>
      </c>
      <c r="C410" t="inlineStr">
        <is>
          <t>28372050</t>
        </is>
      </c>
      <c r="D410" t="inlineStr">
        <is>
          <t>SODIUM NITROPRUSIDE(SOD NITROFERRICYANIDE)</t>
        </is>
      </c>
      <c r="E410" s="3" t="n">
        <v>0</v>
      </c>
      <c r="F410" s="3" t="n">
        <v>0</v>
      </c>
      <c r="G410" s="3">
        <f>F410-E410</f>
        <v/>
      </c>
      <c r="H410" s="4">
        <f>IF(E410=0,"",F410/E410-1)</f>
        <v/>
      </c>
      <c r="I410" t="inlineStr"/>
    </row>
    <row r="411">
      <c r="A411" t="inlineStr">
        <is>
          <t>Organic &amp; inorganic chemicals</t>
        </is>
      </c>
      <c r="B411" t="inlineStr">
        <is>
          <t>28</t>
        </is>
      </c>
      <c r="C411" t="inlineStr">
        <is>
          <t>28372090</t>
        </is>
      </c>
      <c r="D411" t="inlineStr">
        <is>
          <t>OTHER COMPLEX CYANIDES</t>
        </is>
      </c>
      <c r="E411" s="3" t="n">
        <v>0</v>
      </c>
      <c r="F411" s="3" t="n">
        <v>0</v>
      </c>
      <c r="G411" s="3">
        <f>F411-E411</f>
        <v/>
      </c>
      <c r="H411" s="4">
        <f>IF(E411=0,"",F411/E411-1)</f>
        <v/>
      </c>
      <c r="I411" t="inlineStr"/>
    </row>
    <row r="412">
      <c r="A412" t="inlineStr">
        <is>
          <t>Organic &amp; inorganic chemicals</t>
        </is>
      </c>
      <c r="B412" t="inlineStr">
        <is>
          <t>28</t>
        </is>
      </c>
      <c r="C412" t="inlineStr">
        <is>
          <t>28401100</t>
        </is>
      </c>
      <c r="D412" t="inlineStr">
        <is>
          <t>DISIDIUM TETRABORATES (RFND BORAX), ANHYDROUS</t>
        </is>
      </c>
      <c r="E412" s="3" t="n">
        <v>0</v>
      </c>
      <c r="F412" s="3" t="n">
        <v>0</v>
      </c>
      <c r="G412" s="3">
        <f>F412-E412</f>
        <v/>
      </c>
      <c r="H412" s="4">
        <f>IF(E412=0,"",F412/E412-1)</f>
        <v/>
      </c>
      <c r="I412" t="inlineStr"/>
    </row>
    <row r="413">
      <c r="A413" t="inlineStr">
        <is>
          <t>Organic &amp; inorganic chemicals</t>
        </is>
      </c>
      <c r="B413" t="inlineStr">
        <is>
          <t>28</t>
        </is>
      </c>
      <c r="C413" t="inlineStr">
        <is>
          <t>28413000</t>
        </is>
      </c>
      <c r="D413" t="inlineStr">
        <is>
          <t>SODIUM DICHROMATE</t>
        </is>
      </c>
      <c r="E413" s="3" t="n">
        <v>0</v>
      </c>
      <c r="F413" s="3" t="n">
        <v>0</v>
      </c>
      <c r="G413" s="3">
        <f>F413-E413</f>
        <v/>
      </c>
      <c r="H413" s="4">
        <f>IF(E413=0,"",F413/E413-1)</f>
        <v/>
      </c>
      <c r="I413" t="inlineStr"/>
    </row>
    <row r="414">
      <c r="A414" t="inlineStr">
        <is>
          <t>Organic &amp; inorganic chemicals</t>
        </is>
      </c>
      <c r="B414" t="inlineStr">
        <is>
          <t>28</t>
        </is>
      </c>
      <c r="C414" t="inlineStr">
        <is>
          <t>28417020</t>
        </is>
      </c>
      <c r="D414" t="inlineStr">
        <is>
          <t>SODIUM MOLYBDATE</t>
        </is>
      </c>
      <c r="E414" s="3" t="n">
        <v>0.04</v>
      </c>
      <c r="F414" s="3" t="n">
        <v>0</v>
      </c>
      <c r="G414" s="3">
        <f>F414-E414</f>
        <v/>
      </c>
      <c r="H414" s="4">
        <f>IF(E414=0,"",F414/E414-1)</f>
        <v/>
      </c>
      <c r="I414" t="inlineStr"/>
    </row>
    <row r="415">
      <c r="A415" t="inlineStr">
        <is>
          <t>Organic &amp; inorganic chemicals</t>
        </is>
      </c>
      <c r="B415" t="inlineStr">
        <is>
          <t>28</t>
        </is>
      </c>
      <c r="C415" t="inlineStr">
        <is>
          <t>28417090</t>
        </is>
      </c>
      <c r="D415" t="inlineStr">
        <is>
          <t>OTHER MOLYBDATES</t>
        </is>
      </c>
      <c r="E415" s="3" t="n">
        <v>0.01</v>
      </c>
      <c r="F415" s="3" t="n">
        <v>0</v>
      </c>
      <c r="G415" s="3">
        <f>F415-E415</f>
        <v/>
      </c>
      <c r="H415" s="4">
        <f>IF(E415=0,"",F415/E415-1)</f>
        <v/>
      </c>
      <c r="I415" t="inlineStr"/>
    </row>
    <row r="416">
      <c r="A416" t="inlineStr">
        <is>
          <t>Organic &amp; inorganic chemicals</t>
        </is>
      </c>
      <c r="B416" t="inlineStr">
        <is>
          <t>28</t>
        </is>
      </c>
      <c r="C416" t="inlineStr">
        <is>
          <t>28419000</t>
        </is>
      </c>
      <c r="D416" t="inlineStr">
        <is>
          <t>*OTHER SALTS OF OXOMETALLIC OR PEROXOMETALLIC ACIDS, NES</t>
        </is>
      </c>
      <c r="E416" s="3" t="n">
        <v>0</v>
      </c>
      <c r="F416" s="3" t="n">
        <v>0</v>
      </c>
      <c r="G416" s="3">
        <f>F416-E416</f>
        <v/>
      </c>
      <c r="H416" s="4">
        <f>IF(E416=0,"",F416/E416-1)</f>
        <v/>
      </c>
      <c r="I416" t="inlineStr"/>
    </row>
    <row r="417">
      <c r="A417" t="inlineStr">
        <is>
          <t>Organic &amp; inorganic chemicals</t>
        </is>
      </c>
      <c r="B417" t="inlineStr">
        <is>
          <t>28</t>
        </is>
      </c>
      <c r="C417" t="inlineStr">
        <is>
          <t>28429010</t>
        </is>
      </c>
      <c r="D417" t="inlineStr">
        <is>
          <t>ARSENITES AND ARSENATES</t>
        </is>
      </c>
      <c r="E417" s="3" t="n">
        <v>0</v>
      </c>
      <c r="F417" s="3" t="n">
        <v>0</v>
      </c>
      <c r="G417" s="3">
        <f>F417-E417</f>
        <v/>
      </c>
      <c r="H417" s="4">
        <f>IF(E417=0,"",F417/E417-1)</f>
        <v/>
      </c>
      <c r="I417" t="inlineStr"/>
    </row>
    <row r="418">
      <c r="A418" t="inlineStr">
        <is>
          <t>Organic &amp; inorganic chemicals</t>
        </is>
      </c>
      <c r="B418" t="inlineStr">
        <is>
          <t>28</t>
        </is>
      </c>
      <c r="C418" t="inlineStr">
        <is>
          <t>28429090</t>
        </is>
      </c>
      <c r="D418" t="inlineStr">
        <is>
          <t>OTHER SALTS OF INORGANIC ACIDS/ PEROXOACIDS</t>
        </is>
      </c>
      <c r="E418" s="3" t="n">
        <v>0.13</v>
      </c>
      <c r="F418" s="3" t="n">
        <v>0</v>
      </c>
      <c r="G418" s="3">
        <f>F418-E418</f>
        <v/>
      </c>
      <c r="H418" s="4">
        <f>IF(E418=0,"",F418/E418-1)</f>
        <v/>
      </c>
      <c r="I418" t="inlineStr"/>
    </row>
    <row r="419">
      <c r="A419" t="inlineStr">
        <is>
          <t>Organic &amp; inorganic chemicals</t>
        </is>
      </c>
      <c r="B419" t="inlineStr">
        <is>
          <t>28</t>
        </is>
      </c>
      <c r="C419" t="inlineStr">
        <is>
          <t>28431090</t>
        </is>
      </c>
      <c r="D419" t="inlineStr">
        <is>
          <t>OTHER COLLOIDAL PRECIOUS METALS</t>
        </is>
      </c>
      <c r="E419" s="3" t="n">
        <v>0</v>
      </c>
      <c r="F419" s="3" t="n">
        <v>0</v>
      </c>
      <c r="G419" s="3">
        <f>F419-E419</f>
        <v/>
      </c>
      <c r="H419" s="4">
        <f>IF(E419=0,"",F419/E419-1)</f>
        <v/>
      </c>
      <c r="I419" t="inlineStr"/>
    </row>
    <row r="420">
      <c r="A420" t="inlineStr">
        <is>
          <t>Organic &amp; inorganic chemicals</t>
        </is>
      </c>
      <c r="B420" t="inlineStr">
        <is>
          <t>28</t>
        </is>
      </c>
      <c r="C420" t="inlineStr">
        <is>
          <t>28433000</t>
        </is>
      </c>
      <c r="D420" t="inlineStr">
        <is>
          <t>GOLD COMPOUNDS</t>
        </is>
      </c>
      <c r="E420" s="3" t="n">
        <v>0</v>
      </c>
      <c r="F420" s="3" t="n">
        <v>0</v>
      </c>
      <c r="G420" s="3">
        <f>F420-E420</f>
        <v/>
      </c>
      <c r="H420" s="4">
        <f>IF(E420=0,"",F420/E420-1)</f>
        <v/>
      </c>
      <c r="I420" t="inlineStr"/>
    </row>
    <row r="421">
      <c r="A421" t="inlineStr">
        <is>
          <t>Organic &amp; inorganic chemicals</t>
        </is>
      </c>
      <c r="B421" t="inlineStr">
        <is>
          <t>28</t>
        </is>
      </c>
      <c r="C421" t="inlineStr">
        <is>
          <t>28439019</t>
        </is>
      </c>
      <c r="D421" t="inlineStr">
        <is>
          <t>OTHER COMPOUNDS</t>
        </is>
      </c>
      <c r="E421" s="3" t="n">
        <v>0.02</v>
      </c>
      <c r="F421" s="3" t="n">
        <v>0</v>
      </c>
      <c r="G421" s="3">
        <f>F421-E421</f>
        <v/>
      </c>
      <c r="H421" s="4">
        <f>IF(E421=0,"",F421/E421-1)</f>
        <v/>
      </c>
      <c r="I421" t="inlineStr"/>
    </row>
    <row r="422">
      <c r="A422" t="inlineStr">
        <is>
          <t>Organic &amp; inorganic chemicals</t>
        </is>
      </c>
      <c r="B422" t="inlineStr">
        <is>
          <t>28</t>
        </is>
      </c>
      <c r="C422" t="inlineStr">
        <is>
          <t>28461010</t>
        </is>
      </c>
      <c r="D422" t="inlineStr">
        <is>
          <t>CERIUM OXIDES</t>
        </is>
      </c>
      <c r="E422" s="3" t="n">
        <v>0</v>
      </c>
      <c r="F422" s="3" t="n">
        <v>0</v>
      </c>
      <c r="G422" s="3">
        <f>F422-E422</f>
        <v/>
      </c>
      <c r="H422" s="4">
        <f>IF(E422=0,"",F422/E422-1)</f>
        <v/>
      </c>
      <c r="I422" t="inlineStr"/>
    </row>
    <row r="423">
      <c r="A423" t="inlineStr">
        <is>
          <t>Organic &amp; inorganic chemicals</t>
        </is>
      </c>
      <c r="B423" t="inlineStr">
        <is>
          <t>28</t>
        </is>
      </c>
      <c r="C423" t="inlineStr">
        <is>
          <t>28461090</t>
        </is>
      </c>
      <c r="D423" t="inlineStr">
        <is>
          <t>OTHER CERIUM COMPOUNDS</t>
        </is>
      </c>
      <c r="E423" s="3" t="n">
        <v>0</v>
      </c>
      <c r="F423" s="3" t="n">
        <v>0</v>
      </c>
      <c r="G423" s="3">
        <f>F423-E423</f>
        <v/>
      </c>
      <c r="H423" s="4">
        <f>IF(E423=0,"",F423/E423-1)</f>
        <v/>
      </c>
      <c r="I423" t="inlineStr"/>
    </row>
    <row r="424">
      <c r="A424" t="inlineStr">
        <is>
          <t>Organic &amp; inorganic chemicals</t>
        </is>
      </c>
      <c r="B424" t="inlineStr">
        <is>
          <t>28</t>
        </is>
      </c>
      <c r="C424" t="inlineStr">
        <is>
          <t>28469090</t>
        </is>
      </c>
      <c r="D424" t="inlineStr">
        <is>
          <t>OTHER COMPNDS INORGNC/ORGNC OF RARE EARTH MATERIALS</t>
        </is>
      </c>
      <c r="E424" s="3" t="n">
        <v>0</v>
      </c>
      <c r="F424" s="3" t="n">
        <v>0</v>
      </c>
      <c r="G424" s="3">
        <f>F424-E424</f>
        <v/>
      </c>
      <c r="H424" s="4">
        <f>IF(E424=0,"",F424/E424-1)</f>
        <v/>
      </c>
      <c r="I424" t="inlineStr"/>
    </row>
    <row r="425">
      <c r="A425" t="inlineStr">
        <is>
          <t>Organic &amp; inorganic chemicals</t>
        </is>
      </c>
      <c r="B425" t="inlineStr">
        <is>
          <t>28</t>
        </is>
      </c>
      <c r="C425" t="inlineStr">
        <is>
          <t>28500010</t>
        </is>
      </c>
      <c r="D425" t="inlineStr">
        <is>
          <t>HYDRIED (OTHER THAN LITHIUM ALLUMINIUM HYDRIED)</t>
        </is>
      </c>
      <c r="E425" s="3" t="n">
        <v>0</v>
      </c>
      <c r="F425" s="3" t="n">
        <v>0</v>
      </c>
      <c r="G425" s="3">
        <f>F425-E425</f>
        <v/>
      </c>
      <c r="H425" s="4">
        <f>IF(E425=0,"",F425/E425-1)</f>
        <v/>
      </c>
      <c r="I425" t="inlineStr"/>
    </row>
    <row r="426">
      <c r="A426" t="inlineStr">
        <is>
          <t>Organic &amp; inorganic chemicals</t>
        </is>
      </c>
      <c r="B426" t="inlineStr">
        <is>
          <t>28</t>
        </is>
      </c>
      <c r="C426" t="inlineStr">
        <is>
          <t>28500049</t>
        </is>
      </c>
      <c r="D426" t="inlineStr">
        <is>
          <t>OTHER SILICIDES EXCEPTCALCIUM</t>
        </is>
      </c>
      <c r="E426" s="3" t="n">
        <v>0</v>
      </c>
      <c r="F426" s="3" t="n">
        <v>0</v>
      </c>
      <c r="G426" s="3">
        <f>F426-E426</f>
        <v/>
      </c>
      <c r="H426" s="4">
        <f>IF(E426=0,"",F426/E426-1)</f>
        <v/>
      </c>
      <c r="I426" t="inlineStr"/>
    </row>
    <row r="427">
      <c r="A427" t="inlineStr">
        <is>
          <t>Organic &amp; inorganic chemicals</t>
        </is>
      </c>
      <c r="B427" t="inlineStr">
        <is>
          <t>28</t>
        </is>
      </c>
      <c r="C427" t="inlineStr">
        <is>
          <t>28521000</t>
        </is>
      </c>
      <c r="D427" t="inlineStr">
        <is>
          <t>CHEMICALLY DEFINED</t>
        </is>
      </c>
      <c r="E427" s="3" t="n">
        <v>0</v>
      </c>
      <c r="F427" s="3" t="n">
        <v>0</v>
      </c>
      <c r="G427" s="3">
        <f>F427-E427</f>
        <v/>
      </c>
      <c r="H427" s="4">
        <f>IF(E427=0,"",F427/E427-1)</f>
        <v/>
      </c>
      <c r="I427" t="inlineStr"/>
    </row>
    <row r="428">
      <c r="A428" t="inlineStr">
        <is>
          <t>Organic &amp; inorganic chemicals</t>
        </is>
      </c>
      <c r="B428" t="inlineStr">
        <is>
          <t>28</t>
        </is>
      </c>
      <c r="C428" t="inlineStr">
        <is>
          <t>28529000</t>
        </is>
      </c>
      <c r="D428" t="inlineStr">
        <is>
          <t>OTHER COMPOUNDS OF MERCURY</t>
        </is>
      </c>
      <c r="E428" s="3" t="n">
        <v>0</v>
      </c>
      <c r="F428" s="3" t="n">
        <v>0</v>
      </c>
      <c r="G428" s="3">
        <f>F428-E428</f>
        <v/>
      </c>
      <c r="H428" s="4">
        <f>IF(E428=0,"",F428/E428-1)</f>
        <v/>
      </c>
      <c r="I428" t="inlineStr"/>
    </row>
    <row r="429">
      <c r="A429" t="inlineStr">
        <is>
          <t>Organic &amp; inorganic chemicals</t>
        </is>
      </c>
      <c r="B429" t="inlineStr">
        <is>
          <t>28</t>
        </is>
      </c>
      <c r="C429" t="inlineStr">
        <is>
          <t>28539020</t>
        </is>
      </c>
      <c r="D429" t="inlineStr">
        <is>
          <t>LIQUID AIR, WHETHER OR NOT RARE GASES HAVE BEEN REMOVED</t>
        </is>
      </c>
      <c r="E429" s="3" t="n">
        <v>0</v>
      </c>
      <c r="F429" s="3" t="n">
        <v>0</v>
      </c>
      <c r="G429" s="3">
        <f>F429-E429</f>
        <v/>
      </c>
      <c r="H429" s="4">
        <f>IF(E429=0,"",F429/E429-1)</f>
        <v/>
      </c>
      <c r="I429" t="inlineStr"/>
    </row>
    <row r="430">
      <c r="A430" t="inlineStr">
        <is>
          <t>Organic &amp; inorganic chemicals</t>
        </is>
      </c>
      <c r="B430" t="inlineStr">
        <is>
          <t>28</t>
        </is>
      </c>
      <c r="C430" t="inlineStr">
        <is>
          <t>28539090</t>
        </is>
      </c>
      <c r="D430" t="inlineStr">
        <is>
          <t>OTHERS-OF-OTHERS-OF-PHOSPHIDES,WTH/NOT CHEMCALY DEFN,EXCL FERROPHOSPHORUS, OTH INORG COMP, LIQUID AIR,COMPRESSED AIR AMALG, OT</t>
        </is>
      </c>
      <c r="E430" s="3" t="n">
        <v>0.02</v>
      </c>
      <c r="F430" s="3" t="n">
        <v>0</v>
      </c>
      <c r="G430" s="3">
        <f>F430-E430</f>
        <v/>
      </c>
      <c r="H430" s="4">
        <f>IF(E430=0,"",F430/E430-1)</f>
        <v/>
      </c>
      <c r="I430" t="inlineStr"/>
    </row>
    <row r="431">
      <c r="A431" t="inlineStr">
        <is>
          <t>Organic &amp; inorganic chemicals</t>
        </is>
      </c>
      <c r="B431" t="inlineStr">
        <is>
          <t>29</t>
        </is>
      </c>
      <c r="C431" t="inlineStr">
        <is>
          <t>29021100</t>
        </is>
      </c>
      <c r="D431" t="inlineStr">
        <is>
          <t>CYCLOHEXANE</t>
        </is>
      </c>
      <c r="E431" s="3" t="n">
        <v>0.01</v>
      </c>
      <c r="F431" s="3" t="n">
        <v>0</v>
      </c>
      <c r="G431" s="3">
        <f>F431-E431</f>
        <v/>
      </c>
      <c r="H431" s="4">
        <f>IF(E431=0,"",F431/E431-1)</f>
        <v/>
      </c>
      <c r="I431" t="inlineStr"/>
    </row>
    <row r="432">
      <c r="A432" t="inlineStr">
        <is>
          <t>Organic &amp; inorganic chemicals</t>
        </is>
      </c>
      <c r="B432" t="inlineStr">
        <is>
          <t>29</t>
        </is>
      </c>
      <c r="C432" t="inlineStr">
        <is>
          <t>29021990</t>
        </is>
      </c>
      <c r="D432" t="inlineStr">
        <is>
          <t>OTHERS-OF-OTHER CYCLANES,CYCLENES AND CYCLOTERPENES</t>
        </is>
      </c>
      <c r="E432" s="3" t="n">
        <v>0.84</v>
      </c>
      <c r="F432" s="3" t="n">
        <v>0</v>
      </c>
      <c r="G432" s="3">
        <f>F432-E432</f>
        <v/>
      </c>
      <c r="H432" s="4">
        <f>IF(E432=0,"",F432/E432-1)</f>
        <v/>
      </c>
      <c r="I432" t="inlineStr"/>
    </row>
    <row r="433">
      <c r="A433" t="inlineStr">
        <is>
          <t>Organic &amp; inorganic chemicals</t>
        </is>
      </c>
      <c r="B433" t="inlineStr">
        <is>
          <t>29</t>
        </is>
      </c>
      <c r="C433" t="inlineStr">
        <is>
          <t>29022000</t>
        </is>
      </c>
      <c r="D433" t="inlineStr">
        <is>
          <t>BENZENE</t>
        </is>
      </c>
      <c r="E433" s="3" t="n">
        <v>0</v>
      </c>
      <c r="F433" s="3" t="n">
        <v>0</v>
      </c>
      <c r="G433" s="3">
        <f>F433-E433</f>
        <v/>
      </c>
      <c r="H433" s="4">
        <f>IF(E433=0,"",F433/E433-1)</f>
        <v/>
      </c>
      <c r="I433" t="inlineStr"/>
    </row>
    <row r="434">
      <c r="A434" t="inlineStr">
        <is>
          <t>Organic &amp; inorganic chemicals</t>
        </is>
      </c>
      <c r="B434" t="inlineStr">
        <is>
          <t>29</t>
        </is>
      </c>
      <c r="C434" t="inlineStr">
        <is>
          <t>29023000</t>
        </is>
      </c>
      <c r="D434" t="inlineStr">
        <is>
          <t>TOLUENE</t>
        </is>
      </c>
      <c r="E434" s="3" t="n">
        <v>0.03</v>
      </c>
      <c r="F434" s="3" t="n">
        <v>0</v>
      </c>
      <c r="G434" s="3">
        <f>F434-E434</f>
        <v/>
      </c>
      <c r="H434" s="4">
        <f>IF(E434=0,"",F434/E434-1)</f>
        <v/>
      </c>
      <c r="I434" t="inlineStr"/>
    </row>
    <row r="435">
      <c r="A435" t="inlineStr">
        <is>
          <t>Organic &amp; inorganic chemicals</t>
        </is>
      </c>
      <c r="B435" t="inlineStr">
        <is>
          <t>29</t>
        </is>
      </c>
      <c r="C435" t="inlineStr">
        <is>
          <t>29024100</t>
        </is>
      </c>
      <c r="D435" t="inlineStr">
        <is>
          <t>O-XYLENE</t>
        </is>
      </c>
      <c r="E435" s="3" t="n">
        <v>0</v>
      </c>
      <c r="F435" s="3" t="n">
        <v>0</v>
      </c>
      <c r="G435" s="3">
        <f>F435-E435</f>
        <v/>
      </c>
      <c r="H435" s="4">
        <f>IF(E435=0,"",F435/E435-1)</f>
        <v/>
      </c>
      <c r="I435" t="inlineStr"/>
    </row>
    <row r="436">
      <c r="A436" t="inlineStr">
        <is>
          <t>Organic &amp; inorganic chemicals</t>
        </is>
      </c>
      <c r="B436" t="inlineStr">
        <is>
          <t>29</t>
        </is>
      </c>
      <c r="C436" t="inlineStr">
        <is>
          <t>29024200</t>
        </is>
      </c>
      <c r="D436" t="inlineStr">
        <is>
          <t>M-XYLENE</t>
        </is>
      </c>
      <c r="E436" s="3" t="n">
        <v>0</v>
      </c>
      <c r="F436" s="3" t="n">
        <v>0</v>
      </c>
      <c r="G436" s="3">
        <f>F436-E436</f>
        <v/>
      </c>
      <c r="H436" s="4">
        <f>IF(E436=0,"",F436/E436-1)</f>
        <v/>
      </c>
      <c r="I436" t="inlineStr"/>
    </row>
    <row r="437">
      <c r="A437" t="inlineStr">
        <is>
          <t>Organic &amp; inorganic chemicals</t>
        </is>
      </c>
      <c r="B437" t="inlineStr">
        <is>
          <t>29</t>
        </is>
      </c>
      <c r="C437" t="inlineStr">
        <is>
          <t>29026000</t>
        </is>
      </c>
      <c r="D437" t="inlineStr">
        <is>
          <t>ETHYLBENZENE</t>
        </is>
      </c>
      <c r="E437" s="3" t="n">
        <v>0</v>
      </c>
      <c r="F437" s="3" t="n">
        <v>0</v>
      </c>
      <c r="G437" s="3">
        <f>F437-E437</f>
        <v/>
      </c>
      <c r="H437" s="4">
        <f>IF(E437=0,"",F437/E437-1)</f>
        <v/>
      </c>
      <c r="I437" t="inlineStr"/>
    </row>
    <row r="438">
      <c r="A438" t="inlineStr">
        <is>
          <t>Organic &amp; inorganic chemicals</t>
        </is>
      </c>
      <c r="B438" t="inlineStr">
        <is>
          <t>29</t>
        </is>
      </c>
      <c r="C438" t="inlineStr">
        <is>
          <t>29029040</t>
        </is>
      </c>
      <c r="D438" t="inlineStr">
        <is>
          <t>NAPTHALENE PURE</t>
        </is>
      </c>
      <c r="E438" s="3" t="n">
        <v>0.2</v>
      </c>
      <c r="F438" s="3" t="n">
        <v>0</v>
      </c>
      <c r="G438" s="3">
        <f>F438-E438</f>
        <v/>
      </c>
      <c r="H438" s="4">
        <f>IF(E438=0,"",F438/E438-1)</f>
        <v/>
      </c>
      <c r="I438" t="inlineStr"/>
    </row>
    <row r="439">
      <c r="A439" t="inlineStr">
        <is>
          <t>Organic &amp; inorganic chemicals</t>
        </is>
      </c>
      <c r="B439" t="inlineStr">
        <is>
          <t>29</t>
        </is>
      </c>
      <c r="C439" t="inlineStr">
        <is>
          <t>29029090</t>
        </is>
      </c>
      <c r="D439" t="inlineStr">
        <is>
          <t>OTHER CYCLIC HYDROCARBONS</t>
        </is>
      </c>
      <c r="E439" s="3" t="n">
        <v>0</v>
      </c>
      <c r="F439" s="3" t="n">
        <v>0</v>
      </c>
      <c r="G439" s="3">
        <f>F439-E439</f>
        <v/>
      </c>
      <c r="H439" s="4">
        <f>IF(E439=0,"",F439/E439-1)</f>
        <v/>
      </c>
      <c r="I439" t="inlineStr"/>
    </row>
    <row r="440">
      <c r="A440" t="inlineStr">
        <is>
          <t>Organic &amp; inorganic chemicals</t>
        </is>
      </c>
      <c r="B440" t="inlineStr">
        <is>
          <t>29</t>
        </is>
      </c>
      <c r="C440" t="inlineStr">
        <is>
          <t>29031120</t>
        </is>
      </c>
      <c r="D440" t="inlineStr">
        <is>
          <t>CHLOROETHANE ETHYL CHLORIDE</t>
        </is>
      </c>
      <c r="E440" s="3" t="n">
        <v>0.01</v>
      </c>
      <c r="F440" s="3" t="n">
        <v>0</v>
      </c>
      <c r="G440" s="3">
        <f>F440-E440</f>
        <v/>
      </c>
      <c r="H440" s="4">
        <f>IF(E440=0,"",F440/E440-1)</f>
        <v/>
      </c>
      <c r="I440" t="inlineStr"/>
    </row>
    <row r="441">
      <c r="A441" t="inlineStr">
        <is>
          <t>Organic &amp; inorganic chemicals</t>
        </is>
      </c>
      <c r="B441" t="inlineStr">
        <is>
          <t>29</t>
        </is>
      </c>
      <c r="C441" t="inlineStr">
        <is>
          <t>29031500</t>
        </is>
      </c>
      <c r="D441" t="inlineStr">
        <is>
          <t>1,2 DICHLOROMETHANE (ETHYLNE DICHLORIDE)</t>
        </is>
      </c>
      <c r="E441" s="3" t="n">
        <v>0</v>
      </c>
      <c r="F441" s="3" t="n">
        <v>0</v>
      </c>
      <c r="G441" s="3">
        <f>F441-E441</f>
        <v/>
      </c>
      <c r="H441" s="4">
        <f>IF(E441=0,"",F441/E441-1)</f>
        <v/>
      </c>
      <c r="I441" t="inlineStr"/>
    </row>
    <row r="442">
      <c r="A442" t="inlineStr">
        <is>
          <t>Organic &amp; inorganic chemicals</t>
        </is>
      </c>
      <c r="B442" t="inlineStr">
        <is>
          <t>29</t>
        </is>
      </c>
      <c r="C442" t="inlineStr">
        <is>
          <t>29032200</t>
        </is>
      </c>
      <c r="D442" t="inlineStr">
        <is>
          <t>TRICHLOROETHYLENE,UNSATURATED</t>
        </is>
      </c>
      <c r="E442" s="3" t="n">
        <v>0</v>
      </c>
      <c r="F442" s="3" t="n">
        <v>0</v>
      </c>
      <c r="G442" s="3">
        <f>F442-E442</f>
        <v/>
      </c>
      <c r="H442" s="4">
        <f>IF(E442=0,"",F442/E442-1)</f>
        <v/>
      </c>
      <c r="I442" t="inlineStr"/>
    </row>
    <row r="443">
      <c r="A443" t="inlineStr">
        <is>
          <t>Organic &amp; inorganic chemicals</t>
        </is>
      </c>
      <c r="B443" t="inlineStr">
        <is>
          <t>29</t>
        </is>
      </c>
      <c r="C443" t="inlineStr">
        <is>
          <t>29032900</t>
        </is>
      </c>
      <c r="D443" t="inlineStr">
        <is>
          <t>*OTHER -SATURATED FLUORINATED DERIVATIVES OF ACYCLIC-HYDROCARBONS</t>
        </is>
      </c>
      <c r="E443" s="3" t="n">
        <v>0.02</v>
      </c>
      <c r="F443" s="3" t="n">
        <v>0</v>
      </c>
      <c r="G443" s="3">
        <f>F443-E443</f>
        <v/>
      </c>
      <c r="H443" s="4">
        <f>IF(E443=0,"",F443/E443-1)</f>
        <v/>
      </c>
      <c r="I443" t="inlineStr"/>
    </row>
    <row r="444">
      <c r="A444" t="inlineStr">
        <is>
          <t>Organic &amp; inorganic chemicals</t>
        </is>
      </c>
      <c r="B444" t="inlineStr">
        <is>
          <t>29</t>
        </is>
      </c>
      <c r="C444" t="inlineStr">
        <is>
          <t>29039110</t>
        </is>
      </c>
      <c r="D444" t="inlineStr">
        <is>
          <t>CHLOROBENZENE (MONOCHLORO)</t>
        </is>
      </c>
      <c r="E444" s="3" t="n">
        <v>0</v>
      </c>
      <c r="F444" s="3" t="n">
        <v>0</v>
      </c>
      <c r="G444" s="3">
        <f>F444-E444</f>
        <v/>
      </c>
      <c r="H444" s="4">
        <f>IF(E444=0,"",F444/E444-1)</f>
        <v/>
      </c>
      <c r="I444" t="inlineStr"/>
    </row>
    <row r="445">
      <c r="A445" t="inlineStr">
        <is>
          <t>Organic &amp; inorganic chemicals</t>
        </is>
      </c>
      <c r="B445" t="inlineStr">
        <is>
          <t>29</t>
        </is>
      </c>
      <c r="C445" t="inlineStr">
        <is>
          <t>29039940</t>
        </is>
      </c>
      <c r="D445" t="inlineStr">
        <is>
          <t>BENZYLCHLORIDE</t>
        </is>
      </c>
      <c r="E445" s="3" t="n">
        <v>0.23</v>
      </c>
      <c r="F445" s="3" t="n">
        <v>0</v>
      </c>
      <c r="G445" s="3">
        <f>F445-E445</f>
        <v/>
      </c>
      <c r="H445" s="4">
        <f>IF(E445=0,"",F445/E445-1)</f>
        <v/>
      </c>
      <c r="I445" t="inlineStr"/>
    </row>
    <row r="446">
      <c r="A446" t="inlineStr">
        <is>
          <t>Organic &amp; inorganic chemicals</t>
        </is>
      </c>
      <c r="B446" t="inlineStr">
        <is>
          <t>29</t>
        </is>
      </c>
      <c r="C446" t="inlineStr">
        <is>
          <t>29042010</t>
        </is>
      </c>
      <c r="D446" t="inlineStr">
        <is>
          <t>NITROBENZENE</t>
        </is>
      </c>
      <c r="E446" s="3" t="n">
        <v>0</v>
      </c>
      <c r="F446" s="3" t="n">
        <v>0</v>
      </c>
      <c r="G446" s="3">
        <f>F446-E446</f>
        <v/>
      </c>
      <c r="H446" s="4">
        <f>IF(E446=0,"",F446/E446-1)</f>
        <v/>
      </c>
      <c r="I446" t="inlineStr"/>
    </row>
    <row r="447">
      <c r="A447" t="inlineStr">
        <is>
          <t>Organic &amp; inorganic chemicals</t>
        </is>
      </c>
      <c r="B447" t="inlineStr">
        <is>
          <t>29</t>
        </is>
      </c>
      <c r="C447" t="inlineStr">
        <is>
          <t>29049970</t>
        </is>
      </c>
      <c r="D447" t="inlineStr">
        <is>
          <t>SODIUM META NITROCHLOROBENZENE SULPHONATE</t>
        </is>
      </c>
      <c r="E447" s="3" t="n">
        <v>0.01</v>
      </c>
      <c r="F447" s="3" t="n">
        <v>0</v>
      </c>
      <c r="G447" s="3">
        <f>F447-E447</f>
        <v/>
      </c>
      <c r="H447" s="4">
        <f>IF(E447=0,"",F447/E447-1)</f>
        <v/>
      </c>
      <c r="I447" t="inlineStr"/>
    </row>
    <row r="448">
      <c r="A448" t="inlineStr">
        <is>
          <t>Organic &amp; inorganic chemicals</t>
        </is>
      </c>
      <c r="B448" t="inlineStr">
        <is>
          <t>29</t>
        </is>
      </c>
      <c r="C448" t="inlineStr">
        <is>
          <t>29051610</t>
        </is>
      </c>
      <c r="D448" t="inlineStr">
        <is>
          <t>DIMETHYL OCTANOL</t>
        </is>
      </c>
      <c r="E448" s="3" t="n">
        <v>0</v>
      </c>
      <c r="F448" s="3" t="n">
        <v>0</v>
      </c>
      <c r="G448" s="3">
        <f>F448-E448</f>
        <v/>
      </c>
      <c r="H448" s="4">
        <f>IF(E448=0,"",F448/E448-1)</f>
        <v/>
      </c>
      <c r="I448" t="inlineStr"/>
    </row>
    <row r="449">
      <c r="A449" t="inlineStr">
        <is>
          <t>Organic &amp; inorganic chemicals</t>
        </is>
      </c>
      <c r="B449" t="inlineStr">
        <is>
          <t>29</t>
        </is>
      </c>
      <c r="C449" t="inlineStr">
        <is>
          <t>29051690</t>
        </is>
      </c>
      <c r="D449" t="inlineStr">
        <is>
          <t>OTHER SATURATED OCTANOL</t>
        </is>
      </c>
      <c r="E449" s="3" t="n">
        <v>0</v>
      </c>
      <c r="F449" s="3" t="n">
        <v>0</v>
      </c>
      <c r="G449" s="3">
        <f>F449-E449</f>
        <v/>
      </c>
      <c r="H449" s="4">
        <f>IF(E449=0,"",F449/E449-1)</f>
        <v/>
      </c>
      <c r="I449" t="inlineStr"/>
    </row>
    <row r="450">
      <c r="A450" t="inlineStr">
        <is>
          <t>Organic &amp; inorganic chemicals</t>
        </is>
      </c>
      <c r="B450" t="inlineStr">
        <is>
          <t>29</t>
        </is>
      </c>
      <c r="C450" t="inlineStr">
        <is>
          <t>29051700</t>
        </is>
      </c>
      <c r="D450" t="inlineStr">
        <is>
          <t>SATRTD DDCAN-1-OL(LRYL-ALCHL)HXADECAN-1- OL(CETYL ALCHL)ANDOCTDECN-1-OL(STRYL ALCHL)</t>
        </is>
      </c>
      <c r="E450" s="3" t="n">
        <v>0</v>
      </c>
      <c r="F450" s="3" t="n">
        <v>0</v>
      </c>
      <c r="G450" s="3">
        <f>F450-E450</f>
        <v/>
      </c>
      <c r="H450" s="4">
        <f>IF(E450=0,"",F450/E450-1)</f>
        <v/>
      </c>
      <c r="I450" t="inlineStr"/>
    </row>
    <row r="451">
      <c r="A451" t="inlineStr">
        <is>
          <t>Organic &amp; inorganic chemicals</t>
        </is>
      </c>
      <c r="B451" t="inlineStr">
        <is>
          <t>29</t>
        </is>
      </c>
      <c r="C451" t="inlineStr">
        <is>
          <t>29052220</t>
        </is>
      </c>
      <c r="D451" t="inlineStr">
        <is>
          <t>GERANIOL</t>
        </is>
      </c>
      <c r="E451" s="3" t="n">
        <v>0.05</v>
      </c>
      <c r="F451" s="3" t="n">
        <v>0</v>
      </c>
      <c r="G451" s="3">
        <f>F451-E451</f>
        <v/>
      </c>
      <c r="H451" s="4">
        <f>IF(E451=0,"",F451/E451-1)</f>
        <v/>
      </c>
      <c r="I451" t="inlineStr"/>
    </row>
    <row r="452">
      <c r="A452" t="inlineStr">
        <is>
          <t>Organic &amp; inorganic chemicals</t>
        </is>
      </c>
      <c r="B452" t="inlineStr">
        <is>
          <t>29</t>
        </is>
      </c>
      <c r="C452" t="inlineStr">
        <is>
          <t>29053100</t>
        </is>
      </c>
      <c r="D452" t="inlineStr">
        <is>
          <t>ETHYLENE GLYCOL (ETHANEDIOL)</t>
        </is>
      </c>
      <c r="E452" s="3" t="n">
        <v>0.11</v>
      </c>
      <c r="F452" s="3" t="n">
        <v>0</v>
      </c>
      <c r="G452" s="3">
        <f>F452-E452</f>
        <v/>
      </c>
      <c r="H452" s="4">
        <f>IF(E452=0,"",F452/E452-1)</f>
        <v/>
      </c>
      <c r="I452" t="inlineStr"/>
    </row>
    <row r="453">
      <c r="A453" t="inlineStr">
        <is>
          <t>Organic &amp; inorganic chemicals</t>
        </is>
      </c>
      <c r="B453" t="inlineStr">
        <is>
          <t>29</t>
        </is>
      </c>
      <c r="C453" t="inlineStr">
        <is>
          <t>29054900</t>
        </is>
      </c>
      <c r="D453" t="inlineStr">
        <is>
          <t>OTHER POLYHYDRIC ALCOHOLS</t>
        </is>
      </c>
      <c r="E453" s="3" t="n">
        <v>0.01</v>
      </c>
      <c r="F453" s="3" t="n">
        <v>0</v>
      </c>
      <c r="G453" s="3">
        <f>F453-E453</f>
        <v/>
      </c>
      <c r="H453" s="4">
        <f>IF(E453=0,"",F453/E453-1)</f>
        <v/>
      </c>
      <c r="I453" t="inlineStr"/>
    </row>
    <row r="454">
      <c r="A454" t="inlineStr">
        <is>
          <t>Organic &amp; inorganic chemicals</t>
        </is>
      </c>
      <c r="B454" t="inlineStr">
        <is>
          <t>29</t>
        </is>
      </c>
      <c r="C454" t="inlineStr">
        <is>
          <t>29061100</t>
        </is>
      </c>
      <c r="D454" t="inlineStr">
        <is>
          <t>*MENTHOL</t>
        </is>
      </c>
      <c r="E454" s="3" t="n">
        <v>0.01</v>
      </c>
      <c r="F454" s="3" t="n">
        <v>0</v>
      </c>
      <c r="G454" s="3">
        <f>F454-E454</f>
        <v/>
      </c>
      <c r="H454" s="4">
        <f>IF(E454=0,"",F454/E454-1)</f>
        <v/>
      </c>
      <c r="I454" t="inlineStr"/>
    </row>
    <row r="455">
      <c r="A455" t="inlineStr">
        <is>
          <t>Organic &amp; inorganic chemicals</t>
        </is>
      </c>
      <c r="B455" t="inlineStr">
        <is>
          <t>29</t>
        </is>
      </c>
      <c r="C455" t="inlineStr">
        <is>
          <t>29061390</t>
        </is>
      </c>
      <c r="D455" t="inlineStr">
        <is>
          <t>OTHER STEROLS AND INOSITOLS</t>
        </is>
      </c>
      <c r="E455" s="3" t="n">
        <v>0</v>
      </c>
      <c r="F455" s="3" t="n">
        <v>0</v>
      </c>
      <c r="G455" s="3">
        <f>F455-E455</f>
        <v/>
      </c>
      <c r="H455" s="4">
        <f>IF(E455=0,"",F455/E455-1)</f>
        <v/>
      </c>
      <c r="I455" t="inlineStr"/>
    </row>
    <row r="456">
      <c r="A456" t="inlineStr">
        <is>
          <t>Organic &amp; inorganic chemicals</t>
        </is>
      </c>
      <c r="B456" t="inlineStr">
        <is>
          <t>29</t>
        </is>
      </c>
      <c r="C456" t="inlineStr">
        <is>
          <t>29062990</t>
        </is>
      </c>
      <c r="D456" t="inlineStr">
        <is>
          <t>OTHER AROMATIC ALCOHOL</t>
        </is>
      </c>
      <c r="E456" s="3" t="n">
        <v>0</v>
      </c>
      <c r="F456" s="3" t="n">
        <v>0</v>
      </c>
      <c r="G456" s="3">
        <f>F456-E456</f>
        <v/>
      </c>
      <c r="H456" s="4">
        <f>IF(E456=0,"",F456/E456-1)</f>
        <v/>
      </c>
      <c r="I456" t="inlineStr"/>
    </row>
    <row r="457">
      <c r="A457" t="inlineStr">
        <is>
          <t>Organic &amp; inorganic chemicals</t>
        </is>
      </c>
      <c r="B457" t="inlineStr">
        <is>
          <t>29</t>
        </is>
      </c>
      <c r="C457" t="inlineStr">
        <is>
          <t>29071190</t>
        </is>
      </c>
      <c r="D457" t="inlineStr">
        <is>
          <t>OTHER PHENOL AND ITS SALTS</t>
        </is>
      </c>
      <c r="E457" s="3" t="n">
        <v>0</v>
      </c>
      <c r="F457" s="3" t="n">
        <v>0</v>
      </c>
      <c r="G457" s="3">
        <f>F457-E457</f>
        <v/>
      </c>
      <c r="H457" s="4">
        <f>IF(E457=0,"",F457/E457-1)</f>
        <v/>
      </c>
      <c r="I457" t="inlineStr"/>
    </row>
    <row r="458">
      <c r="A458" t="inlineStr">
        <is>
          <t>Organic &amp; inorganic chemicals</t>
        </is>
      </c>
      <c r="B458" t="inlineStr">
        <is>
          <t>29</t>
        </is>
      </c>
      <c r="C458" t="inlineStr">
        <is>
          <t>29071290</t>
        </is>
      </c>
      <c r="D458" t="inlineStr">
        <is>
          <t>OTHER CRESOLS AND THEIR SALTS</t>
        </is>
      </c>
      <c r="E458" s="3" t="n">
        <v>0.01</v>
      </c>
      <c r="F458" s="3" t="n">
        <v>0</v>
      </c>
      <c r="G458" s="3">
        <f>F458-E458</f>
        <v/>
      </c>
      <c r="H458" s="4">
        <f>IF(E458=0,"",F458/E458-1)</f>
        <v/>
      </c>
      <c r="I458" t="inlineStr"/>
    </row>
    <row r="459">
      <c r="A459" t="inlineStr">
        <is>
          <t>Organic &amp; inorganic chemicals</t>
        </is>
      </c>
      <c r="B459" t="inlineStr">
        <is>
          <t>29</t>
        </is>
      </c>
      <c r="C459" t="inlineStr">
        <is>
          <t>29071510</t>
        </is>
      </c>
      <c r="D459" t="inlineStr">
        <is>
          <t>ALPHA NAPHTHOL</t>
        </is>
      </c>
      <c r="E459" s="3" t="n">
        <v>0</v>
      </c>
      <c r="F459" s="3" t="n">
        <v>0</v>
      </c>
      <c r="G459" s="3">
        <f>F459-E459</f>
        <v/>
      </c>
      <c r="H459" s="4">
        <f>IF(E459=0,"",F459/E459-1)</f>
        <v/>
      </c>
      <c r="I459" t="inlineStr"/>
    </row>
    <row r="460">
      <c r="A460" t="inlineStr">
        <is>
          <t>Organic &amp; inorganic chemicals</t>
        </is>
      </c>
      <c r="B460" t="inlineStr">
        <is>
          <t>29</t>
        </is>
      </c>
      <c r="C460" t="inlineStr">
        <is>
          <t>29071520</t>
        </is>
      </c>
      <c r="D460" t="inlineStr">
        <is>
          <t>BETA NAPHTHOL</t>
        </is>
      </c>
      <c r="E460" s="3" t="n">
        <v>0</v>
      </c>
      <c r="F460" s="3" t="n">
        <v>0</v>
      </c>
      <c r="G460" s="3">
        <f>F460-E460</f>
        <v/>
      </c>
      <c r="H460" s="4">
        <f>IF(E460=0,"",F460/E460-1)</f>
        <v/>
      </c>
      <c r="I460" t="inlineStr"/>
    </row>
    <row r="461">
      <c r="A461" t="inlineStr">
        <is>
          <t>Organic &amp; inorganic chemicals</t>
        </is>
      </c>
      <c r="B461" t="inlineStr">
        <is>
          <t>29</t>
        </is>
      </c>
      <c r="C461" t="inlineStr">
        <is>
          <t>29071930</t>
        </is>
      </c>
      <c r="D461" t="inlineStr">
        <is>
          <t>THYMOL</t>
        </is>
      </c>
      <c r="E461" s="3" t="n">
        <v>0</v>
      </c>
      <c r="F461" s="3" t="n">
        <v>0</v>
      </c>
      <c r="G461" s="3">
        <f>F461-E461</f>
        <v/>
      </c>
      <c r="H461" s="4">
        <f>IF(E461=0,"",F461/E461-1)</f>
        <v/>
      </c>
      <c r="I461" t="inlineStr"/>
    </row>
    <row r="462">
      <c r="A462" t="inlineStr">
        <is>
          <t>Organic &amp; inorganic chemicals</t>
        </is>
      </c>
      <c r="B462" t="inlineStr">
        <is>
          <t>29</t>
        </is>
      </c>
      <c r="C462" t="inlineStr">
        <is>
          <t>29072100</t>
        </is>
      </c>
      <c r="D462" t="inlineStr">
        <is>
          <t>RESORCINOL AND ITS SALTS</t>
        </is>
      </c>
      <c r="E462" s="3" t="n">
        <v>0</v>
      </c>
      <c r="F462" s="3" t="n">
        <v>0</v>
      </c>
      <c r="G462" s="3">
        <f>F462-E462</f>
        <v/>
      </c>
      <c r="H462" s="4">
        <f>IF(E462=0,"",F462/E462-1)</f>
        <v/>
      </c>
      <c r="I462" t="inlineStr"/>
    </row>
    <row r="463">
      <c r="A463" t="inlineStr">
        <is>
          <t>Organic &amp; inorganic chemicals</t>
        </is>
      </c>
      <c r="B463" t="inlineStr">
        <is>
          <t>29</t>
        </is>
      </c>
      <c r="C463" t="inlineStr">
        <is>
          <t>29072200</t>
        </is>
      </c>
      <c r="D463" t="inlineStr">
        <is>
          <t>HYDROQUINONE (QUINOL) AND ITS SALTS</t>
        </is>
      </c>
      <c r="E463" s="3" t="n">
        <v>0.01</v>
      </c>
      <c r="F463" s="3" t="n">
        <v>0</v>
      </c>
      <c r="G463" s="3">
        <f>F463-E463</f>
        <v/>
      </c>
      <c r="H463" s="4">
        <f>IF(E463=0,"",F463/E463-1)</f>
        <v/>
      </c>
      <c r="I463" t="inlineStr"/>
    </row>
    <row r="464">
      <c r="A464" t="inlineStr">
        <is>
          <t>Organic &amp; inorganic chemicals</t>
        </is>
      </c>
      <c r="B464" t="inlineStr">
        <is>
          <t>29</t>
        </is>
      </c>
      <c r="C464" t="inlineStr">
        <is>
          <t>29072910</t>
        </is>
      </c>
      <c r="D464" t="inlineStr">
        <is>
          <t>1:5 DIHYDROXY NAPTHALENE</t>
        </is>
      </c>
      <c r="E464" s="3" t="n">
        <v>0</v>
      </c>
      <c r="F464" s="3" t="n">
        <v>0</v>
      </c>
      <c r="G464" s="3">
        <f>F464-E464</f>
        <v/>
      </c>
      <c r="H464" s="4">
        <f>IF(E464=0,"",F464/E464-1)</f>
        <v/>
      </c>
      <c r="I464" t="inlineStr"/>
    </row>
    <row r="465">
      <c r="A465" t="inlineStr">
        <is>
          <t>Organic &amp; inorganic chemicals</t>
        </is>
      </c>
      <c r="B465" t="inlineStr">
        <is>
          <t>29</t>
        </is>
      </c>
      <c r="C465" t="inlineStr">
        <is>
          <t>29089990</t>
        </is>
      </c>
      <c r="D465" t="inlineStr">
        <is>
          <t>OTHER HLGNTD SLPHNTD NITRATED/NITROSTD DRVTVS OF PHENOLS/PHENOL-ALCHOLS</t>
        </is>
      </c>
      <c r="E465" s="3" t="n">
        <v>0</v>
      </c>
      <c r="F465" s="3" t="n">
        <v>0</v>
      </c>
      <c r="G465" s="3">
        <f>F465-E465</f>
        <v/>
      </c>
      <c r="H465" s="4">
        <f>IF(E465=0,"",F465/E465-1)</f>
        <v/>
      </c>
      <c r="I465" t="inlineStr"/>
    </row>
    <row r="466">
      <c r="A466" t="inlineStr">
        <is>
          <t>Organic &amp; inorganic chemicals</t>
        </is>
      </c>
      <c r="B466" t="inlineStr">
        <is>
          <t>29</t>
        </is>
      </c>
      <c r="C466" t="inlineStr">
        <is>
          <t>29091100</t>
        </is>
      </c>
      <c r="D466" t="inlineStr">
        <is>
          <t>DIETHYL ETHER</t>
        </is>
      </c>
      <c r="E466" s="3" t="n">
        <v>0</v>
      </c>
      <c r="F466" s="3" t="n">
        <v>0</v>
      </c>
      <c r="G466" s="3">
        <f>F466-E466</f>
        <v/>
      </c>
      <c r="H466" s="4">
        <f>IF(E466=0,"",F466/E466-1)</f>
        <v/>
      </c>
      <c r="I466" t="inlineStr"/>
    </row>
    <row r="467">
      <c r="A467" t="inlineStr">
        <is>
          <t>Organic &amp; inorganic chemicals</t>
        </is>
      </c>
      <c r="B467" t="inlineStr">
        <is>
          <t>29</t>
        </is>
      </c>
      <c r="C467" t="inlineStr">
        <is>
          <t>29091920</t>
        </is>
      </c>
      <c r="D467" t="inlineStr">
        <is>
          <t>METHYL TERTIARY BUTYL ETHER (MTBE)</t>
        </is>
      </c>
      <c r="E467" s="3" t="n">
        <v>76.02</v>
      </c>
      <c r="F467" s="3" t="n">
        <v>0</v>
      </c>
      <c r="G467" s="3">
        <f>F467-E467</f>
        <v/>
      </c>
      <c r="H467" s="4">
        <f>IF(E467=0,"",F467/E467-1)</f>
        <v/>
      </c>
      <c r="I467" t="inlineStr"/>
    </row>
    <row r="468">
      <c r="A468" t="inlineStr">
        <is>
          <t>Organic &amp; inorganic chemicals</t>
        </is>
      </c>
      <c r="B468" t="inlineStr">
        <is>
          <t>29</t>
        </is>
      </c>
      <c r="C468" t="inlineStr">
        <is>
          <t>29091990</t>
        </is>
      </c>
      <c r="D468" t="inlineStr">
        <is>
          <t>OTHERS-OF-OTHR ACYCLIC ETHRS AND THR HALGNTD,SLPHNTDNITRATED OR NITROSATED DERIVATIVES</t>
        </is>
      </c>
      <c r="E468" s="3" t="n">
        <v>2.28</v>
      </c>
      <c r="F468" s="3" t="n">
        <v>0</v>
      </c>
      <c r="G468" s="3">
        <f>F468-E468</f>
        <v/>
      </c>
      <c r="H468" s="4">
        <f>IF(E468=0,"",F468/E468-1)</f>
        <v/>
      </c>
      <c r="I468" t="inlineStr"/>
    </row>
    <row r="469">
      <c r="A469" t="inlineStr">
        <is>
          <t>Organic &amp; inorganic chemicals</t>
        </is>
      </c>
      <c r="B469" t="inlineStr">
        <is>
          <t>29</t>
        </is>
      </c>
      <c r="C469" t="inlineStr">
        <is>
          <t>29093020</t>
        </is>
      </c>
      <c r="D469" t="inlineStr">
        <is>
          <t>DIPHENYL OXIDE</t>
        </is>
      </c>
      <c r="E469" s="3" t="n">
        <v>0</v>
      </c>
      <c r="F469" s="3" t="n">
        <v>0</v>
      </c>
      <c r="G469" s="3">
        <f>F469-E469</f>
        <v/>
      </c>
      <c r="H469" s="4">
        <f>IF(E469=0,"",F469/E469-1)</f>
        <v/>
      </c>
      <c r="I469" t="inlineStr"/>
    </row>
    <row r="470">
      <c r="A470" t="inlineStr">
        <is>
          <t>Organic &amp; inorganic chemicals</t>
        </is>
      </c>
      <c r="B470" t="inlineStr">
        <is>
          <t>29</t>
        </is>
      </c>
      <c r="C470" t="inlineStr">
        <is>
          <t>29093090</t>
        </is>
      </c>
      <c r="D470" t="inlineStr">
        <is>
          <t>OTHER ARMTC ETHRS AND THR HALGNTD ETC DRVTVS</t>
        </is>
      </c>
      <c r="E470" s="3" t="n">
        <v>0</v>
      </c>
      <c r="F470" s="3" t="n">
        <v>0</v>
      </c>
      <c r="G470" s="3">
        <f>F470-E470</f>
        <v/>
      </c>
      <c r="H470" s="4">
        <f>IF(E470=0,"",F470/E470-1)</f>
        <v/>
      </c>
      <c r="I470" t="inlineStr"/>
    </row>
    <row r="471">
      <c r="A471" t="inlineStr">
        <is>
          <t>Organic &amp; inorganic chemicals</t>
        </is>
      </c>
      <c r="B471" t="inlineStr">
        <is>
          <t>29</t>
        </is>
      </c>
      <c r="C471" t="inlineStr">
        <is>
          <t>29094100</t>
        </is>
      </c>
      <c r="D471" t="inlineStr">
        <is>
          <t>2,2-OXYDIETHANOL (DIETHYLENE GLYCOL,DIGOL)</t>
        </is>
      </c>
      <c r="E471" s="3" t="n">
        <v>0.14</v>
      </c>
      <c r="F471" s="3" t="n">
        <v>0</v>
      </c>
      <c r="G471" s="3">
        <f>F471-E471</f>
        <v/>
      </c>
      <c r="H471" s="4">
        <f>IF(E471=0,"",F471/E471-1)</f>
        <v/>
      </c>
      <c r="I471" t="inlineStr"/>
    </row>
    <row r="472">
      <c r="A472" t="inlineStr">
        <is>
          <t>Organic &amp; inorganic chemicals</t>
        </is>
      </c>
      <c r="B472" t="inlineStr">
        <is>
          <t>29</t>
        </is>
      </c>
      <c r="C472" t="inlineStr">
        <is>
          <t>29094400</t>
        </is>
      </c>
      <c r="D472" t="inlineStr">
        <is>
          <t>OTHER MONOALKYL ETHRS OF ETHYLENE GLYCOL OR OF DIETHYLENE GLYCOL</t>
        </is>
      </c>
      <c r="E472" s="3" t="n">
        <v>0</v>
      </c>
      <c r="F472" s="3" t="n">
        <v>0</v>
      </c>
      <c r="G472" s="3">
        <f>F472-E472</f>
        <v/>
      </c>
      <c r="H472" s="4">
        <f>IF(E472=0,"",F472/E472-1)</f>
        <v/>
      </c>
      <c r="I472" t="inlineStr"/>
    </row>
    <row r="473">
      <c r="A473" t="inlineStr">
        <is>
          <t>Organic &amp; inorganic chemicals</t>
        </is>
      </c>
      <c r="B473" t="inlineStr">
        <is>
          <t>29</t>
        </is>
      </c>
      <c r="C473" t="inlineStr">
        <is>
          <t>29095010</t>
        </is>
      </c>
      <c r="D473" t="inlineStr">
        <is>
          <t>GUAIACOL</t>
        </is>
      </c>
      <c r="E473" s="3" t="n">
        <v>0</v>
      </c>
      <c r="F473" s="3" t="n">
        <v>0</v>
      </c>
      <c r="G473" s="3">
        <f>F473-E473</f>
        <v/>
      </c>
      <c r="H473" s="4">
        <f>IF(E473=0,"",F473/E473-1)</f>
        <v/>
      </c>
      <c r="I473" t="inlineStr"/>
    </row>
    <row r="474">
      <c r="A474" t="inlineStr">
        <is>
          <t>Organic &amp; inorganic chemicals</t>
        </is>
      </c>
      <c r="B474" t="inlineStr">
        <is>
          <t>29</t>
        </is>
      </c>
      <c r="C474" t="inlineStr">
        <is>
          <t>29096000</t>
        </is>
      </c>
      <c r="D474" t="inlineStr">
        <is>
          <t>*ALCHL PEROXIDES,ETHR PEROXIDES,KETONE PEROXIDES AND THR HALGNTD SLPHNTD NITRATED OR NITROSATED DERIVATIVES</t>
        </is>
      </c>
      <c r="E474" s="3" t="n">
        <v>0</v>
      </c>
      <c r="F474" s="3" t="n">
        <v>0</v>
      </c>
      <c r="G474" s="3">
        <f>F474-E474</f>
        <v/>
      </c>
      <c r="H474" s="4">
        <f>IF(E474=0,"",F474/E474-1)</f>
        <v/>
      </c>
      <c r="I474" t="inlineStr"/>
    </row>
    <row r="475">
      <c r="A475" t="inlineStr">
        <is>
          <t>Organic &amp; inorganic chemicals</t>
        </is>
      </c>
      <c r="B475" t="inlineStr">
        <is>
          <t>29</t>
        </is>
      </c>
      <c r="C475" t="inlineStr">
        <is>
          <t>29122100</t>
        </is>
      </c>
      <c r="D475" t="inlineStr">
        <is>
          <t>BENZALDEHYDE</t>
        </is>
      </c>
      <c r="E475" s="3" t="n">
        <v>0</v>
      </c>
      <c r="F475" s="3" t="n">
        <v>0</v>
      </c>
      <c r="G475" s="3">
        <f>F475-E475</f>
        <v/>
      </c>
      <c r="H475" s="4">
        <f>IF(E475=0,"",F475/E475-1)</f>
        <v/>
      </c>
      <c r="I475" t="inlineStr"/>
    </row>
    <row r="476">
      <c r="A476" t="inlineStr">
        <is>
          <t>Organic &amp; inorganic chemicals</t>
        </is>
      </c>
      <c r="B476" t="inlineStr">
        <is>
          <t>29</t>
        </is>
      </c>
      <c r="C476" t="inlineStr">
        <is>
          <t>29122910</t>
        </is>
      </c>
      <c r="D476" t="inlineStr">
        <is>
          <t>CINNAMIC ALDEHYDE</t>
        </is>
      </c>
      <c r="E476" s="3" t="n">
        <v>0</v>
      </c>
      <c r="F476" s="3" t="n">
        <v>0</v>
      </c>
      <c r="G476" s="3">
        <f>F476-E476</f>
        <v/>
      </c>
      <c r="H476" s="4">
        <f>IF(E476=0,"",F476/E476-1)</f>
        <v/>
      </c>
      <c r="I476" t="inlineStr"/>
    </row>
    <row r="477">
      <c r="A477" t="inlineStr">
        <is>
          <t>Organic &amp; inorganic chemicals</t>
        </is>
      </c>
      <c r="B477" t="inlineStr">
        <is>
          <t>29</t>
        </is>
      </c>
      <c r="C477" t="inlineStr">
        <is>
          <t>29122990</t>
        </is>
      </c>
      <c r="D477" t="inlineStr">
        <is>
          <t>OTHER CYCLC ALDHYDS WITHOUT OTHR OXYGEN FN</t>
        </is>
      </c>
      <c r="E477" s="3" t="n">
        <v>0</v>
      </c>
      <c r="F477" s="3" t="n">
        <v>0</v>
      </c>
      <c r="G477" s="3">
        <f>F477-E477</f>
        <v/>
      </c>
      <c r="H477" s="4">
        <f>IF(E477=0,"",F477/E477-1)</f>
        <v/>
      </c>
      <c r="I477" t="inlineStr"/>
    </row>
    <row r="478">
      <c r="A478" t="inlineStr">
        <is>
          <t>Organic &amp; inorganic chemicals</t>
        </is>
      </c>
      <c r="B478" t="inlineStr">
        <is>
          <t>29</t>
        </is>
      </c>
      <c r="C478" t="inlineStr">
        <is>
          <t>29124100</t>
        </is>
      </c>
      <c r="D478" t="inlineStr">
        <is>
          <t>VANILLIN(4-HYDROXY-3METHOXY BENZALDEHYDE)</t>
        </is>
      </c>
      <c r="E478" s="3" t="n">
        <v>0.63</v>
      </c>
      <c r="F478" s="3" t="n">
        <v>0</v>
      </c>
      <c r="G478" s="3">
        <f>F478-E478</f>
        <v/>
      </c>
      <c r="H478" s="4">
        <f>IF(E478=0,"",F478/E478-1)</f>
        <v/>
      </c>
      <c r="I478" t="inlineStr"/>
    </row>
    <row r="479">
      <c r="A479" t="inlineStr">
        <is>
          <t>Organic &amp; inorganic chemicals</t>
        </is>
      </c>
      <c r="B479" t="inlineStr">
        <is>
          <t>29</t>
        </is>
      </c>
      <c r="C479" t="inlineStr">
        <is>
          <t>29124200</t>
        </is>
      </c>
      <c r="D479" t="inlineStr">
        <is>
          <t>ETHYLVANILIN (3-ETHOXY-4-HYDROXYBNZLDHYD)</t>
        </is>
      </c>
      <c r="E479" s="3" t="n">
        <v>0.33</v>
      </c>
      <c r="F479" s="3" t="n">
        <v>0</v>
      </c>
      <c r="G479" s="3">
        <f>F479-E479</f>
        <v/>
      </c>
      <c r="H479" s="4">
        <f>IF(E479=0,"",F479/E479-1)</f>
        <v/>
      </c>
      <c r="I479" t="inlineStr"/>
    </row>
    <row r="480">
      <c r="A480" t="inlineStr">
        <is>
          <t>Organic &amp; inorganic chemicals</t>
        </is>
      </c>
      <c r="B480" t="inlineStr">
        <is>
          <t>29</t>
        </is>
      </c>
      <c r="C480" t="inlineStr">
        <is>
          <t>29124999</t>
        </is>
      </c>
      <c r="D480" t="inlineStr">
        <is>
          <t>OTHERS-OF-OTHR ALDHYD-ETHR,ALDHYD-PHNLAND OTHR ALDHYD</t>
        </is>
      </c>
      <c r="E480" s="3" t="n">
        <v>0</v>
      </c>
      <c r="F480" s="3" t="n">
        <v>0</v>
      </c>
      <c r="G480" s="3">
        <f>F480-E480</f>
        <v/>
      </c>
      <c r="H480" s="4">
        <f>IF(E480=0,"",F480/E480-1)</f>
        <v/>
      </c>
      <c r="I480" t="inlineStr"/>
    </row>
    <row r="481">
      <c r="A481" t="inlineStr">
        <is>
          <t>Organic &amp; inorganic chemicals</t>
        </is>
      </c>
      <c r="B481" t="inlineStr">
        <is>
          <t>29</t>
        </is>
      </c>
      <c r="C481" t="inlineStr">
        <is>
          <t>29126000</t>
        </is>
      </c>
      <c r="D481" t="inlineStr">
        <is>
          <t>PARA FORMALDEHYDE</t>
        </is>
      </c>
      <c r="E481" s="3" t="n">
        <v>0.06</v>
      </c>
      <c r="F481" s="3" t="n">
        <v>0</v>
      </c>
      <c r="G481" s="3">
        <f>F481-E481</f>
        <v/>
      </c>
      <c r="H481" s="4">
        <f>IF(E481=0,"",F481/E481-1)</f>
        <v/>
      </c>
      <c r="I481" t="inlineStr"/>
    </row>
    <row r="482">
      <c r="A482" t="inlineStr">
        <is>
          <t>Organic &amp; inorganic chemicals</t>
        </is>
      </c>
      <c r="B482" t="inlineStr">
        <is>
          <t>29</t>
        </is>
      </c>
      <c r="C482" t="inlineStr">
        <is>
          <t>29130090</t>
        </is>
      </c>
      <c r="D482" t="inlineStr">
        <is>
          <t>OTHER HLGNTD SLPHNTD ETC DRVTVS</t>
        </is>
      </c>
      <c r="E482" s="3" t="n">
        <v>0</v>
      </c>
      <c r="F482" s="3" t="n">
        <v>0</v>
      </c>
      <c r="G482" s="3">
        <f>F482-E482</f>
        <v/>
      </c>
      <c r="H482" s="4">
        <f>IF(E482=0,"",F482/E482-1)</f>
        <v/>
      </c>
      <c r="I482" t="inlineStr"/>
    </row>
    <row r="483">
      <c r="A483" t="inlineStr">
        <is>
          <t>Organic &amp; inorganic chemicals</t>
        </is>
      </c>
      <c r="B483" t="inlineStr">
        <is>
          <t>29</t>
        </is>
      </c>
      <c r="C483" t="inlineStr">
        <is>
          <t>29141200</t>
        </is>
      </c>
      <c r="D483" t="inlineStr">
        <is>
          <t>BUTANONE (METHYL ETHYL KETONE)</t>
        </is>
      </c>
      <c r="E483" s="3" t="n">
        <v>0</v>
      </c>
      <c r="F483" s="3" t="n">
        <v>0</v>
      </c>
      <c r="G483" s="3">
        <f>F483-E483</f>
        <v/>
      </c>
      <c r="H483" s="4">
        <f>IF(E483=0,"",F483/E483-1)</f>
        <v/>
      </c>
      <c r="I483" t="inlineStr"/>
    </row>
    <row r="484">
      <c r="A484" t="inlineStr">
        <is>
          <t>Organic &amp; inorganic chemicals</t>
        </is>
      </c>
      <c r="B484" t="inlineStr">
        <is>
          <t>29</t>
        </is>
      </c>
      <c r="C484" t="inlineStr">
        <is>
          <t>29141300</t>
        </is>
      </c>
      <c r="D484" t="inlineStr">
        <is>
          <t>4-MTHYLPENTAN-2-ONE(MTHYL ISOBTYL KETONE)</t>
        </is>
      </c>
      <c r="E484" s="3" t="n">
        <v>0</v>
      </c>
      <c r="F484" s="3" t="n">
        <v>0</v>
      </c>
      <c r="G484" s="3">
        <f>F484-E484</f>
        <v/>
      </c>
      <c r="H484" s="4">
        <f>IF(E484=0,"",F484/E484-1)</f>
        <v/>
      </c>
      <c r="I484" t="inlineStr"/>
    </row>
    <row r="485">
      <c r="A485" t="inlineStr">
        <is>
          <t>Organic &amp; inorganic chemicals</t>
        </is>
      </c>
      <c r="B485" t="inlineStr">
        <is>
          <t>29</t>
        </is>
      </c>
      <c r="C485" t="inlineStr">
        <is>
          <t>29141990</t>
        </is>
      </c>
      <c r="D485" t="inlineStr">
        <is>
          <t>OTHER ACYLC KETONES WITHOUT OTHR OXYGN FN.</t>
        </is>
      </c>
      <c r="E485" s="3" t="n">
        <v>0</v>
      </c>
      <c r="F485" s="3" t="n">
        <v>0</v>
      </c>
      <c r="G485" s="3">
        <f>F485-E485</f>
        <v/>
      </c>
      <c r="H485" s="4">
        <f>IF(E485=0,"",F485/E485-1)</f>
        <v/>
      </c>
      <c r="I485" t="inlineStr"/>
    </row>
    <row r="486">
      <c r="A486" t="inlineStr">
        <is>
          <t>Organic &amp; inorganic chemicals</t>
        </is>
      </c>
      <c r="B486" t="inlineStr">
        <is>
          <t>29</t>
        </is>
      </c>
      <c r="C486" t="inlineStr">
        <is>
          <t>29142200</t>
        </is>
      </c>
      <c r="D486" t="inlineStr">
        <is>
          <t>CYCLOHEXANONE AND METHYL CYCLOHEXANONES</t>
        </is>
      </c>
      <c r="E486" s="3" t="n">
        <v>0</v>
      </c>
      <c r="F486" s="3" t="n">
        <v>0</v>
      </c>
      <c r="G486" s="3">
        <f>F486-E486</f>
        <v/>
      </c>
      <c r="H486" s="4">
        <f>IF(E486=0,"",F486/E486-1)</f>
        <v/>
      </c>
      <c r="I486" t="inlineStr"/>
    </row>
    <row r="487">
      <c r="A487" t="inlineStr">
        <is>
          <t>Organic &amp; inorganic chemicals</t>
        </is>
      </c>
      <c r="B487" t="inlineStr">
        <is>
          <t>29</t>
        </is>
      </c>
      <c r="C487" t="inlineStr">
        <is>
          <t>29142921</t>
        </is>
      </c>
      <c r="D487" t="inlineStr">
        <is>
          <t>NATURAL</t>
        </is>
      </c>
      <c r="E487" s="3" t="n">
        <v>0</v>
      </c>
      <c r="F487" s="3" t="n">
        <v>0</v>
      </c>
      <c r="G487" s="3">
        <f>F487-E487</f>
        <v/>
      </c>
      <c r="H487" s="4">
        <f>IF(E487=0,"",F487/E487-1)</f>
        <v/>
      </c>
      <c r="I487" t="inlineStr"/>
    </row>
    <row r="488">
      <c r="A488" t="inlineStr">
        <is>
          <t>Organic &amp; inorganic chemicals</t>
        </is>
      </c>
      <c r="B488" t="inlineStr">
        <is>
          <t>29</t>
        </is>
      </c>
      <c r="C488" t="inlineStr">
        <is>
          <t>29142990</t>
        </is>
      </c>
      <c r="D488" t="inlineStr">
        <is>
          <t>OTHER CYCLANIC ETC KETONES WITHOUT OTHER OXYGN FN.</t>
        </is>
      </c>
      <c r="E488" s="3" t="n">
        <v>0</v>
      </c>
      <c r="F488" s="3" t="n">
        <v>0</v>
      </c>
      <c r="G488" s="3">
        <f>F488-E488</f>
        <v/>
      </c>
      <c r="H488" s="4">
        <f>IF(E488=0,"",F488/E488-1)</f>
        <v/>
      </c>
      <c r="I488" t="inlineStr"/>
    </row>
    <row r="489">
      <c r="A489" t="inlineStr">
        <is>
          <t>Organic &amp; inorganic chemicals</t>
        </is>
      </c>
      <c r="B489" t="inlineStr">
        <is>
          <t>29</t>
        </is>
      </c>
      <c r="C489" t="inlineStr">
        <is>
          <t>29145000</t>
        </is>
      </c>
      <c r="D489" t="inlineStr">
        <is>
          <t>KETONE-PHNLS AND KETONS WTHOTHR OXYGN FNCTN</t>
        </is>
      </c>
      <c r="E489" s="3" t="n">
        <v>0.01</v>
      </c>
      <c r="F489" s="3" t="n">
        <v>0</v>
      </c>
      <c r="G489" s="3">
        <f>F489-E489</f>
        <v/>
      </c>
      <c r="H489" s="4">
        <f>IF(E489=0,"",F489/E489-1)</f>
        <v/>
      </c>
      <c r="I489" t="inlineStr"/>
    </row>
    <row r="490">
      <c r="A490" t="inlineStr">
        <is>
          <t>Organic &amp; inorganic chemicals</t>
        </is>
      </c>
      <c r="B490" t="inlineStr">
        <is>
          <t>29</t>
        </is>
      </c>
      <c r="C490" t="inlineStr">
        <is>
          <t>29152400</t>
        </is>
      </c>
      <c r="D490" t="inlineStr">
        <is>
          <t>ACETIC ANHYDRIDE</t>
        </is>
      </c>
      <c r="E490" s="3" t="n">
        <v>0</v>
      </c>
      <c r="F490" s="3" t="n">
        <v>0</v>
      </c>
      <c r="G490" s="3">
        <f>F490-E490</f>
        <v/>
      </c>
      <c r="H490" s="4">
        <f>IF(E490=0,"",F490/E490-1)</f>
        <v/>
      </c>
      <c r="I490" t="inlineStr"/>
    </row>
    <row r="491">
      <c r="A491" t="inlineStr">
        <is>
          <t>Organic &amp; inorganic chemicals</t>
        </is>
      </c>
      <c r="B491" t="inlineStr">
        <is>
          <t>29</t>
        </is>
      </c>
      <c r="C491" t="inlineStr">
        <is>
          <t>29152910</t>
        </is>
      </c>
      <c r="D491" t="inlineStr">
        <is>
          <t>CALCIUM ACETATE</t>
        </is>
      </c>
      <c r="E491" s="3" t="n">
        <v>0</v>
      </c>
      <c r="F491" s="3" t="n">
        <v>0</v>
      </c>
      <c r="G491" s="3">
        <f>F491-E491</f>
        <v/>
      </c>
      <c r="H491" s="4">
        <f>IF(E491=0,"",F491/E491-1)</f>
        <v/>
      </c>
      <c r="I491" t="inlineStr"/>
    </row>
    <row r="492">
      <c r="A492" t="inlineStr">
        <is>
          <t>Organic &amp; inorganic chemicals</t>
        </is>
      </c>
      <c r="B492" t="inlineStr">
        <is>
          <t>29</t>
        </is>
      </c>
      <c r="C492" t="inlineStr">
        <is>
          <t>29153300</t>
        </is>
      </c>
      <c r="D492" t="inlineStr">
        <is>
          <t>N-BUTYL ACETATE</t>
        </is>
      </c>
      <c r="E492" s="3" t="n">
        <v>0</v>
      </c>
      <c r="F492" s="3" t="n">
        <v>0</v>
      </c>
      <c r="G492" s="3">
        <f>F492-E492</f>
        <v/>
      </c>
      <c r="H492" s="4">
        <f>IF(E492=0,"",F492/E492-1)</f>
        <v/>
      </c>
      <c r="I492" t="inlineStr"/>
    </row>
    <row r="493">
      <c r="A493" t="inlineStr">
        <is>
          <t>Organic &amp; inorganic chemicals</t>
        </is>
      </c>
      <c r="B493" t="inlineStr">
        <is>
          <t>29</t>
        </is>
      </c>
      <c r="C493" t="inlineStr">
        <is>
          <t>29153999</t>
        </is>
      </c>
      <c r="D493" t="inlineStr">
        <is>
          <t>OTHERS-OF-OTHER ESTERS OF ACETIC ACID</t>
        </is>
      </c>
      <c r="E493" s="3" t="n">
        <v>0</v>
      </c>
      <c r="F493" s="3" t="n">
        <v>0</v>
      </c>
      <c r="G493" s="3">
        <f>F493-E493</f>
        <v/>
      </c>
      <c r="H493" s="4">
        <f>IF(E493=0,"",F493/E493-1)</f>
        <v/>
      </c>
      <c r="I493" t="inlineStr"/>
    </row>
    <row r="494">
      <c r="A494" t="inlineStr">
        <is>
          <t>Organic &amp; inorganic chemicals</t>
        </is>
      </c>
      <c r="B494" t="inlineStr">
        <is>
          <t>29</t>
        </is>
      </c>
      <c r="C494" t="inlineStr">
        <is>
          <t>29154010</t>
        </is>
      </c>
      <c r="D494" t="inlineStr">
        <is>
          <t>MONOCHLOROACETIC ACID,THR SALTS AND ESTERS</t>
        </is>
      </c>
      <c r="E494" s="3" t="n">
        <v>0</v>
      </c>
      <c r="F494" s="3" t="n">
        <v>0</v>
      </c>
      <c r="G494" s="3">
        <f>F494-E494</f>
        <v/>
      </c>
      <c r="H494" s="4">
        <f>IF(E494=0,"",F494/E494-1)</f>
        <v/>
      </c>
      <c r="I494" t="inlineStr"/>
    </row>
    <row r="495">
      <c r="A495" t="inlineStr">
        <is>
          <t>Organic &amp; inorganic chemicals</t>
        </is>
      </c>
      <c r="B495" t="inlineStr">
        <is>
          <t>29</t>
        </is>
      </c>
      <c r="C495" t="inlineStr">
        <is>
          <t>29154030</t>
        </is>
      </c>
      <c r="D495" t="inlineStr">
        <is>
          <t>TRICHLORO ACETIC ACID,THEIR SALTS AND ESTERS</t>
        </is>
      </c>
      <c r="E495" s="3" t="n">
        <v>0</v>
      </c>
      <c r="F495" s="3" t="n">
        <v>0</v>
      </c>
      <c r="G495" s="3">
        <f>F495-E495</f>
        <v/>
      </c>
      <c r="H495" s="4">
        <f>IF(E495=0,"",F495/E495-1)</f>
        <v/>
      </c>
      <c r="I495" t="inlineStr"/>
    </row>
    <row r="496">
      <c r="A496" t="inlineStr">
        <is>
          <t>Organic &amp; inorganic chemicals</t>
        </is>
      </c>
      <c r="B496" t="inlineStr">
        <is>
          <t>29</t>
        </is>
      </c>
      <c r="C496" t="inlineStr">
        <is>
          <t>29156020</t>
        </is>
      </c>
      <c r="D496" t="inlineStr">
        <is>
          <t>PENTANOIC ACIDS, THR SLTS AND ESTRS</t>
        </is>
      </c>
      <c r="E496" s="3" t="n">
        <v>0.02</v>
      </c>
      <c r="F496" s="3" t="n">
        <v>0</v>
      </c>
      <c r="G496" s="3">
        <f>F496-E496</f>
        <v/>
      </c>
      <c r="H496" s="4">
        <f>IF(E496=0,"",F496/E496-1)</f>
        <v/>
      </c>
      <c r="I496" t="inlineStr"/>
    </row>
    <row r="497">
      <c r="A497" t="inlineStr">
        <is>
          <t>Organic &amp; inorganic chemicals</t>
        </is>
      </c>
      <c r="B497" t="inlineStr">
        <is>
          <t>29</t>
        </is>
      </c>
      <c r="C497" t="inlineStr">
        <is>
          <t>29157010</t>
        </is>
      </c>
      <c r="D497" t="inlineStr">
        <is>
          <t>PALMITIC ACID</t>
        </is>
      </c>
      <c r="E497" s="3" t="n">
        <v>0</v>
      </c>
      <c r="F497" s="3" t="n">
        <v>0</v>
      </c>
      <c r="G497" s="3">
        <f>F497-E497</f>
        <v/>
      </c>
      <c r="H497" s="4">
        <f>IF(E497=0,"",F497/E497-1)</f>
        <v/>
      </c>
      <c r="I497" t="inlineStr"/>
    </row>
    <row r="498">
      <c r="A498" t="inlineStr">
        <is>
          <t>Organic &amp; inorganic chemicals</t>
        </is>
      </c>
      <c r="B498" t="inlineStr">
        <is>
          <t>29</t>
        </is>
      </c>
      <c r="C498" t="inlineStr">
        <is>
          <t>29157040</t>
        </is>
      </c>
      <c r="D498" t="inlineStr">
        <is>
          <t>HCO FATTY ACID(INCL 12-HYDROXY STEARC ACD)</t>
        </is>
      </c>
      <c r="E498" s="3" t="n">
        <v>0.16</v>
      </c>
      <c r="F498" s="3" t="n">
        <v>0</v>
      </c>
      <c r="G498" s="3">
        <f>F498-E498</f>
        <v/>
      </c>
      <c r="H498" s="4">
        <f>IF(E498=0,"",F498/E498-1)</f>
        <v/>
      </c>
      <c r="I498" t="inlineStr"/>
    </row>
    <row r="499">
      <c r="A499" t="inlineStr">
        <is>
          <t>Organic &amp; inorganic chemicals</t>
        </is>
      </c>
      <c r="B499" t="inlineStr">
        <is>
          <t>29</t>
        </is>
      </c>
      <c r="C499" t="inlineStr">
        <is>
          <t>29159091</t>
        </is>
      </c>
      <c r="D499" t="inlineStr">
        <is>
          <t>HEXOIC ACID (CAPROIC ACID)</t>
        </is>
      </c>
      <c r="E499" s="3" t="n">
        <v>0</v>
      </c>
      <c r="F499" s="3" t="n">
        <v>0</v>
      </c>
      <c r="G499" s="3">
        <f>F499-E499</f>
        <v/>
      </c>
      <c r="H499" s="4">
        <f>IF(E499=0,"",F499/E499-1)</f>
        <v/>
      </c>
      <c r="I499" t="inlineStr"/>
    </row>
    <row r="500">
      <c r="A500" t="inlineStr">
        <is>
          <t>Organic &amp; inorganic chemicals</t>
        </is>
      </c>
      <c r="B500" t="inlineStr">
        <is>
          <t>29</t>
        </is>
      </c>
      <c r="C500" t="inlineStr">
        <is>
          <t>29159093</t>
        </is>
      </c>
      <c r="D500" t="inlineStr">
        <is>
          <t>TRI FLUORO ACETIC ACID</t>
        </is>
      </c>
      <c r="E500" s="3" t="n">
        <v>0</v>
      </c>
      <c r="F500" s="3" t="n">
        <v>0</v>
      </c>
      <c r="G500" s="3">
        <f>F500-E500</f>
        <v/>
      </c>
      <c r="H500" s="4">
        <f>IF(E500=0,"",F500/E500-1)</f>
        <v/>
      </c>
      <c r="I500" t="inlineStr"/>
    </row>
    <row r="501">
      <c r="A501" t="inlineStr">
        <is>
          <t>Organic &amp; inorganic chemicals</t>
        </is>
      </c>
      <c r="B501" t="inlineStr">
        <is>
          <t>29</t>
        </is>
      </c>
      <c r="C501" t="inlineStr">
        <is>
          <t>29161290</t>
        </is>
      </c>
      <c r="D501" t="inlineStr">
        <is>
          <t>OTHER ESTERS OF ACRYLIC ACID</t>
        </is>
      </c>
      <c r="E501" s="3" t="n">
        <v>0</v>
      </c>
      <c r="F501" s="3" t="n">
        <v>0</v>
      </c>
      <c r="G501" s="3">
        <f>F501-E501</f>
        <v/>
      </c>
      <c r="H501" s="4">
        <f>IF(E501=0,"",F501/E501-1)</f>
        <v/>
      </c>
      <c r="I501" t="inlineStr"/>
    </row>
    <row r="502">
      <c r="A502" t="inlineStr">
        <is>
          <t>Organic &amp; inorganic chemicals</t>
        </is>
      </c>
      <c r="B502" t="inlineStr">
        <is>
          <t>29</t>
        </is>
      </c>
      <c r="C502" t="inlineStr">
        <is>
          <t>29161400</t>
        </is>
      </c>
      <c r="D502" t="inlineStr">
        <is>
          <t>ESTERS OF METHACRYLIC ACID</t>
        </is>
      </c>
      <c r="E502" s="3" t="n">
        <v>0</v>
      </c>
      <c r="F502" s="3" t="n">
        <v>0</v>
      </c>
      <c r="G502" s="3">
        <f>F502-E502</f>
        <v/>
      </c>
      <c r="H502" s="4">
        <f>IF(E502=0,"",F502/E502-1)</f>
        <v/>
      </c>
      <c r="I502" t="inlineStr"/>
    </row>
    <row r="503">
      <c r="A503" t="inlineStr">
        <is>
          <t>Organic &amp; inorganic chemicals</t>
        </is>
      </c>
      <c r="B503" t="inlineStr">
        <is>
          <t>29</t>
        </is>
      </c>
      <c r="C503" t="inlineStr">
        <is>
          <t>29161910</t>
        </is>
      </c>
      <c r="D503" t="inlineStr">
        <is>
          <t>UNDECYLANIC ACID</t>
        </is>
      </c>
      <c r="E503" s="3" t="n">
        <v>0</v>
      </c>
      <c r="F503" s="3" t="n">
        <v>0</v>
      </c>
      <c r="G503" s="3">
        <f>F503-E503</f>
        <v/>
      </c>
      <c r="H503" s="4">
        <f>IF(E503=0,"",F503/E503-1)</f>
        <v/>
      </c>
      <c r="I503" t="inlineStr"/>
    </row>
    <row r="504">
      <c r="A504" t="inlineStr">
        <is>
          <t>Organic &amp; inorganic chemicals</t>
        </is>
      </c>
      <c r="B504" t="inlineStr">
        <is>
          <t>29</t>
        </is>
      </c>
      <c r="C504" t="inlineStr">
        <is>
          <t>29161960</t>
        </is>
      </c>
      <c r="D504" t="inlineStr">
        <is>
          <t>SORBIC ACID</t>
        </is>
      </c>
      <c r="E504" s="3" t="n">
        <v>0</v>
      </c>
      <c r="F504" s="3" t="n">
        <v>0</v>
      </c>
      <c r="G504" s="3">
        <f>F504-E504</f>
        <v/>
      </c>
      <c r="H504" s="4">
        <f>IF(E504=0,"",F504/E504-1)</f>
        <v/>
      </c>
      <c r="I504" t="inlineStr"/>
    </row>
    <row r="505">
      <c r="A505" t="inlineStr">
        <is>
          <t>Organic &amp; inorganic chemicals</t>
        </is>
      </c>
      <c r="B505" t="inlineStr">
        <is>
          <t>29</t>
        </is>
      </c>
      <c r="C505" t="inlineStr">
        <is>
          <t>29161990</t>
        </is>
      </c>
      <c r="D505" t="inlineStr">
        <is>
          <t>OTHER UNSATRTD ACYCLC , MONOCRBOXYLC ACDS ETC THR DRVTVS</t>
        </is>
      </c>
      <c r="E505" s="3" t="n">
        <v>0.22</v>
      </c>
      <c r="F505" s="3" t="n">
        <v>0</v>
      </c>
      <c r="G505" s="3">
        <f>F505-E505</f>
        <v/>
      </c>
      <c r="H505" s="4">
        <f>IF(E505=0,"",F505/E505-1)</f>
        <v/>
      </c>
      <c r="I505" t="inlineStr"/>
    </row>
    <row r="506">
      <c r="A506" t="inlineStr">
        <is>
          <t>Organic &amp; inorganic chemicals</t>
        </is>
      </c>
      <c r="B506" t="inlineStr">
        <is>
          <t>29</t>
        </is>
      </c>
      <c r="C506" t="inlineStr">
        <is>
          <t>29163120</t>
        </is>
      </c>
      <c r="D506" t="inlineStr">
        <is>
          <t>BENZYL BENZOATE</t>
        </is>
      </c>
      <c r="E506" s="3" t="n">
        <v>0</v>
      </c>
      <c r="F506" s="3" t="n">
        <v>0</v>
      </c>
      <c r="G506" s="3">
        <f>F506-E506</f>
        <v/>
      </c>
      <c r="H506" s="4">
        <f>IF(E506=0,"",F506/E506-1)</f>
        <v/>
      </c>
      <c r="I506" t="inlineStr"/>
    </row>
    <row r="507">
      <c r="A507" t="inlineStr">
        <is>
          <t>Organic &amp; inorganic chemicals</t>
        </is>
      </c>
      <c r="B507" t="inlineStr">
        <is>
          <t>29</t>
        </is>
      </c>
      <c r="C507" t="inlineStr">
        <is>
          <t>29163150</t>
        </is>
      </c>
      <c r="D507" t="inlineStr">
        <is>
          <t>BENZOCAINE (ETHYLPARA-AMINO BENZOATE)</t>
        </is>
      </c>
      <c r="E507" s="3" t="n">
        <v>0</v>
      </c>
      <c r="F507" s="3" t="n">
        <v>0</v>
      </c>
      <c r="G507" s="3">
        <f>F507-E507</f>
        <v/>
      </c>
      <c r="H507" s="4">
        <f>IF(E507=0,"",F507/E507-1)</f>
        <v/>
      </c>
      <c r="I507" t="inlineStr"/>
    </row>
    <row r="508">
      <c r="A508" t="inlineStr">
        <is>
          <t>Organic &amp; inorganic chemicals</t>
        </is>
      </c>
      <c r="B508" t="inlineStr">
        <is>
          <t>29</t>
        </is>
      </c>
      <c r="C508" t="inlineStr">
        <is>
          <t>29171190</t>
        </is>
      </c>
      <c r="D508" t="inlineStr">
        <is>
          <t>OTHER SALTS AND ESTERS OF OXALIC ACID</t>
        </is>
      </c>
      <c r="E508" s="3" t="n">
        <v>0</v>
      </c>
      <c r="F508" s="3" t="n">
        <v>0</v>
      </c>
      <c r="G508" s="3">
        <f>F508-E508</f>
        <v/>
      </c>
      <c r="H508" s="4">
        <f>IF(E508=0,"",F508/E508-1)</f>
        <v/>
      </c>
      <c r="I508" t="inlineStr"/>
    </row>
    <row r="509">
      <c r="A509" t="inlineStr">
        <is>
          <t>Organic &amp; inorganic chemicals</t>
        </is>
      </c>
      <c r="B509" t="inlineStr">
        <is>
          <t>29</t>
        </is>
      </c>
      <c r="C509" t="inlineStr">
        <is>
          <t>29171200</t>
        </is>
      </c>
      <c r="D509" t="inlineStr">
        <is>
          <t>ADIPIC ACID ITS SALTS AND ESTERS</t>
        </is>
      </c>
      <c r="E509" s="3" t="n">
        <v>0</v>
      </c>
      <c r="F509" s="3" t="n">
        <v>0</v>
      </c>
      <c r="G509" s="3">
        <f>F509-E509</f>
        <v/>
      </c>
      <c r="H509" s="4">
        <f>IF(E509=0,"",F509/E509-1)</f>
        <v/>
      </c>
      <c r="I509" t="inlineStr"/>
    </row>
    <row r="510">
      <c r="A510" t="inlineStr">
        <is>
          <t>Organic &amp; inorganic chemicals</t>
        </is>
      </c>
      <c r="B510" t="inlineStr">
        <is>
          <t>29</t>
        </is>
      </c>
      <c r="C510" t="inlineStr">
        <is>
          <t>29171910</t>
        </is>
      </c>
      <c r="D510" t="inlineStr">
        <is>
          <t>MALEIC ACID</t>
        </is>
      </c>
      <c r="E510" s="3" t="n">
        <v>0.04</v>
      </c>
      <c r="F510" s="3" t="n">
        <v>0</v>
      </c>
      <c r="G510" s="3">
        <f>F510-E510</f>
        <v/>
      </c>
      <c r="H510" s="4">
        <f>IF(E510=0,"",F510/E510-1)</f>
        <v/>
      </c>
      <c r="I510" t="inlineStr"/>
    </row>
    <row r="511">
      <c r="A511" t="inlineStr">
        <is>
          <t>Organic &amp; inorganic chemicals</t>
        </is>
      </c>
      <c r="B511" t="inlineStr">
        <is>
          <t>29</t>
        </is>
      </c>
      <c r="C511" t="inlineStr">
        <is>
          <t>29171930</t>
        </is>
      </c>
      <c r="D511" t="inlineStr">
        <is>
          <t>SUCCINIC ACID</t>
        </is>
      </c>
      <c r="E511" s="3" t="n">
        <v>0</v>
      </c>
      <c r="F511" s="3" t="n">
        <v>0</v>
      </c>
      <c r="G511" s="3">
        <f>F511-E511</f>
        <v/>
      </c>
      <c r="H511" s="4">
        <f>IF(E511=0,"",F511/E511-1)</f>
        <v/>
      </c>
      <c r="I511" t="inlineStr"/>
    </row>
    <row r="512">
      <c r="A512" t="inlineStr">
        <is>
          <t>Organic &amp; inorganic chemicals</t>
        </is>
      </c>
      <c r="B512" t="inlineStr">
        <is>
          <t>29</t>
        </is>
      </c>
      <c r="C512" t="inlineStr">
        <is>
          <t>29171940</t>
        </is>
      </c>
      <c r="D512" t="inlineStr">
        <is>
          <t>FERROUS FUMERATE</t>
        </is>
      </c>
      <c r="E512" s="3" t="n">
        <v>0</v>
      </c>
      <c r="F512" s="3" t="n">
        <v>0</v>
      </c>
      <c r="G512" s="3">
        <f>F512-E512</f>
        <v/>
      </c>
      <c r="H512" s="4">
        <f>IF(E512=0,"",F512/E512-1)</f>
        <v/>
      </c>
      <c r="I512" t="inlineStr"/>
    </row>
    <row r="513">
      <c r="A513" t="inlineStr">
        <is>
          <t>Organic &amp; inorganic chemicals</t>
        </is>
      </c>
      <c r="B513" t="inlineStr">
        <is>
          <t>29</t>
        </is>
      </c>
      <c r="C513" t="inlineStr">
        <is>
          <t>29171950</t>
        </is>
      </c>
      <c r="D513" t="inlineStr">
        <is>
          <t>FUMBRIC ACID</t>
        </is>
      </c>
      <c r="E513" s="3" t="n">
        <v>0</v>
      </c>
      <c r="F513" s="3" t="n">
        <v>0</v>
      </c>
      <c r="G513" s="3">
        <f>F513-E513</f>
        <v/>
      </c>
      <c r="H513" s="4">
        <f>IF(E513=0,"",F513/E513-1)</f>
        <v/>
      </c>
      <c r="I513" t="inlineStr"/>
    </row>
    <row r="514">
      <c r="A514" t="inlineStr">
        <is>
          <t>Organic &amp; inorganic chemicals</t>
        </is>
      </c>
      <c r="B514" t="inlineStr">
        <is>
          <t>29</t>
        </is>
      </c>
      <c r="C514" t="inlineStr">
        <is>
          <t>29173500</t>
        </is>
      </c>
      <c r="D514" t="inlineStr">
        <is>
          <t>PHTHALIC ANHYDRIDE</t>
        </is>
      </c>
      <c r="E514" s="3" t="n">
        <v>0</v>
      </c>
      <c r="F514" s="3" t="n">
        <v>0</v>
      </c>
      <c r="G514" s="3">
        <f>F514-E514</f>
        <v/>
      </c>
      <c r="H514" s="4">
        <f>IF(E514=0,"",F514/E514-1)</f>
        <v/>
      </c>
      <c r="I514" t="inlineStr"/>
    </row>
    <row r="515">
      <c r="A515" t="inlineStr">
        <is>
          <t>Organic &amp; inorganic chemicals</t>
        </is>
      </c>
      <c r="B515" t="inlineStr">
        <is>
          <t>29</t>
        </is>
      </c>
      <c r="C515" t="inlineStr">
        <is>
          <t>29173910</t>
        </is>
      </c>
      <c r="D515" t="inlineStr">
        <is>
          <t>DIBUTYL PHTHALATE</t>
        </is>
      </c>
      <c r="E515" s="3" t="n">
        <v>0.8100000000000001</v>
      </c>
      <c r="F515" s="3" t="n">
        <v>0</v>
      </c>
      <c r="G515" s="3">
        <f>F515-E515</f>
        <v/>
      </c>
      <c r="H515" s="4">
        <f>IF(E515=0,"",F515/E515-1)</f>
        <v/>
      </c>
      <c r="I515" t="inlineStr"/>
    </row>
    <row r="516">
      <c r="A516" t="inlineStr">
        <is>
          <t>Organic &amp; inorganic chemicals</t>
        </is>
      </c>
      <c r="B516" t="inlineStr">
        <is>
          <t>29</t>
        </is>
      </c>
      <c r="C516" t="inlineStr">
        <is>
          <t>29181110</t>
        </is>
      </c>
      <c r="D516" t="inlineStr">
        <is>
          <t>LACTIC ACID</t>
        </is>
      </c>
      <c r="E516" s="3" t="n">
        <v>0.04</v>
      </c>
      <c r="F516" s="3" t="n">
        <v>0</v>
      </c>
      <c r="G516" s="3">
        <f>F516-E516</f>
        <v/>
      </c>
      <c r="H516" s="4">
        <f>IF(E516=0,"",F516/E516-1)</f>
        <v/>
      </c>
      <c r="I516" t="inlineStr"/>
    </row>
    <row r="517">
      <c r="A517" t="inlineStr">
        <is>
          <t>Organic &amp; inorganic chemicals</t>
        </is>
      </c>
      <c r="B517" t="inlineStr">
        <is>
          <t>29</t>
        </is>
      </c>
      <c r="C517" t="inlineStr">
        <is>
          <t>29181120</t>
        </is>
      </c>
      <c r="D517" t="inlineStr">
        <is>
          <t>CALCIUM LACTATE</t>
        </is>
      </c>
      <c r="E517" s="3" t="n">
        <v>0</v>
      </c>
      <c r="F517" s="3" t="n">
        <v>0</v>
      </c>
      <c r="G517" s="3">
        <f>F517-E517</f>
        <v/>
      </c>
      <c r="H517" s="4">
        <f>IF(E517=0,"",F517/E517-1)</f>
        <v/>
      </c>
      <c r="I517" t="inlineStr"/>
    </row>
    <row r="518">
      <c r="A518" t="inlineStr">
        <is>
          <t>Organic &amp; inorganic chemicals</t>
        </is>
      </c>
      <c r="B518" t="inlineStr">
        <is>
          <t>29</t>
        </is>
      </c>
      <c r="C518" t="inlineStr">
        <is>
          <t>29181390</t>
        </is>
      </c>
      <c r="D518" t="inlineStr">
        <is>
          <t>OTHER SALTS AND ESTERS OF TARTARIC ACID</t>
        </is>
      </c>
      <c r="E518" s="3" t="n">
        <v>0.05</v>
      </c>
      <c r="F518" s="3" t="n">
        <v>0</v>
      </c>
      <c r="G518" s="3">
        <f>F518-E518</f>
        <v/>
      </c>
      <c r="H518" s="4">
        <f>IF(E518=0,"",F518/E518-1)</f>
        <v/>
      </c>
      <c r="I518" t="inlineStr"/>
    </row>
    <row r="519">
      <c r="A519" t="inlineStr">
        <is>
          <t>Organic &amp; inorganic chemicals</t>
        </is>
      </c>
      <c r="B519" t="inlineStr">
        <is>
          <t>29</t>
        </is>
      </c>
      <c r="C519" t="inlineStr">
        <is>
          <t>29181550</t>
        </is>
      </c>
      <c r="D519" t="inlineStr">
        <is>
          <t>FERRIC AMMONIUM CITRATE</t>
        </is>
      </c>
      <c r="E519" s="3" t="n">
        <v>0</v>
      </c>
      <c r="F519" s="3" t="n">
        <v>0</v>
      </c>
      <c r="G519" s="3">
        <f>F519-E519</f>
        <v/>
      </c>
      <c r="H519" s="4">
        <f>IF(E519=0,"",F519/E519-1)</f>
        <v/>
      </c>
      <c r="I519" t="inlineStr"/>
    </row>
    <row r="520">
      <c r="A520" t="inlineStr">
        <is>
          <t>Organic &amp; inorganic chemicals</t>
        </is>
      </c>
      <c r="B520" t="inlineStr">
        <is>
          <t>29</t>
        </is>
      </c>
      <c r="C520" t="inlineStr">
        <is>
          <t>29181930</t>
        </is>
      </c>
      <c r="D520" t="inlineStr">
        <is>
          <t>RICINOLEIC ACID</t>
        </is>
      </c>
      <c r="E520" s="3" t="n">
        <v>0.04</v>
      </c>
      <c r="F520" s="3" t="n">
        <v>0</v>
      </c>
      <c r="G520" s="3">
        <f>F520-E520</f>
        <v/>
      </c>
      <c r="H520" s="4">
        <f>IF(E520=0,"",F520/E520-1)</f>
        <v/>
      </c>
      <c r="I520" t="inlineStr"/>
    </row>
    <row r="521">
      <c r="A521" t="inlineStr">
        <is>
          <t>Organic &amp; inorganic chemicals</t>
        </is>
      </c>
      <c r="B521" t="inlineStr">
        <is>
          <t>29</t>
        </is>
      </c>
      <c r="C521" t="inlineStr">
        <is>
          <t>29182390</t>
        </is>
      </c>
      <c r="D521" t="inlineStr">
        <is>
          <t>OTHER ESTERS OF SALICYLIC ACID AND THR SALTS</t>
        </is>
      </c>
      <c r="E521" s="3" t="n">
        <v>0</v>
      </c>
      <c r="F521" s="3" t="n">
        <v>0</v>
      </c>
      <c r="G521" s="3">
        <f>F521-E521</f>
        <v/>
      </c>
      <c r="H521" s="4">
        <f>IF(E521=0,"",F521/E521-1)</f>
        <v/>
      </c>
      <c r="I521" t="inlineStr"/>
    </row>
    <row r="522">
      <c r="A522" t="inlineStr">
        <is>
          <t>Organic &amp; inorganic chemicals</t>
        </is>
      </c>
      <c r="B522" t="inlineStr">
        <is>
          <t>29</t>
        </is>
      </c>
      <c r="C522" t="inlineStr">
        <is>
          <t>29182910</t>
        </is>
      </c>
      <c r="D522" t="inlineStr">
        <is>
          <t>GALIC ACID</t>
        </is>
      </c>
      <c r="E522" s="3" t="n">
        <v>0</v>
      </c>
      <c r="F522" s="3" t="n">
        <v>0</v>
      </c>
      <c r="G522" s="3">
        <f>F522-E522</f>
        <v/>
      </c>
      <c r="H522" s="4">
        <f>IF(E522=0,"",F522/E522-1)</f>
        <v/>
      </c>
      <c r="I522" t="inlineStr"/>
    </row>
    <row r="523">
      <c r="A523" t="inlineStr">
        <is>
          <t>Organic &amp; inorganic chemicals</t>
        </is>
      </c>
      <c r="B523" t="inlineStr">
        <is>
          <t>29</t>
        </is>
      </c>
      <c r="C523" t="inlineStr">
        <is>
          <t>29183020</t>
        </is>
      </c>
      <c r="D523" t="inlineStr">
        <is>
          <t>ETHYL ACETO ACETATE(ACETOACETIC ESTER)</t>
        </is>
      </c>
      <c r="E523" s="3" t="n">
        <v>0</v>
      </c>
      <c r="F523" s="3" t="n">
        <v>0</v>
      </c>
      <c r="G523" s="3">
        <f>F523-E523</f>
        <v/>
      </c>
      <c r="H523" s="4">
        <f>IF(E523=0,"",F523/E523-1)</f>
        <v/>
      </c>
      <c r="I523" t="inlineStr"/>
    </row>
    <row r="524">
      <c r="A524" t="inlineStr">
        <is>
          <t>Organic &amp; inorganic chemicals</t>
        </is>
      </c>
      <c r="B524" t="inlineStr">
        <is>
          <t>29</t>
        </is>
      </c>
      <c r="C524" t="inlineStr">
        <is>
          <t>29183090</t>
        </is>
      </c>
      <c r="D524" t="inlineStr">
        <is>
          <t>OTHER CRBXYLC ACIDS WITH A LDHYD/KETONE FN BUT WITHOUT OTHET OXYGEN FN. ETC.</t>
        </is>
      </c>
      <c r="E524" s="3" t="n">
        <v>0</v>
      </c>
      <c r="F524" s="3" t="n">
        <v>0</v>
      </c>
      <c r="G524" s="3">
        <f>F524-E524</f>
        <v/>
      </c>
      <c r="H524" s="4">
        <f>IF(E524=0,"",F524/E524-1)</f>
        <v/>
      </c>
      <c r="I524" t="inlineStr"/>
    </row>
    <row r="525">
      <c r="A525" t="inlineStr">
        <is>
          <t>Organic &amp; inorganic chemicals</t>
        </is>
      </c>
      <c r="B525" t="inlineStr">
        <is>
          <t>29</t>
        </is>
      </c>
      <c r="C525" t="inlineStr">
        <is>
          <t>29211110</t>
        </is>
      </c>
      <c r="D525" t="inlineStr">
        <is>
          <t>DIMETHYL FORMIDE</t>
        </is>
      </c>
      <c r="E525" s="3" t="n">
        <v>0</v>
      </c>
      <c r="F525" s="3" t="n">
        <v>0</v>
      </c>
      <c r="G525" s="3">
        <f>F525-E525</f>
        <v/>
      </c>
      <c r="H525" s="4">
        <f>IF(E525=0,"",F525/E525-1)</f>
        <v/>
      </c>
      <c r="I525" t="inlineStr"/>
    </row>
    <row r="526">
      <c r="A526" t="inlineStr">
        <is>
          <t>Organic &amp; inorganic chemicals</t>
        </is>
      </c>
      <c r="B526" t="inlineStr">
        <is>
          <t>29</t>
        </is>
      </c>
      <c r="C526" t="inlineStr">
        <is>
          <t>29211190</t>
        </is>
      </c>
      <c r="D526" t="inlineStr">
        <is>
          <t>FORMAMIDE,N.E.S.</t>
        </is>
      </c>
      <c r="E526" s="3" t="n">
        <v>0</v>
      </c>
      <c r="F526" s="3" t="n">
        <v>0</v>
      </c>
      <c r="G526" s="3">
        <f>F526-E526</f>
        <v/>
      </c>
      <c r="H526" s="4">
        <f>IF(E526=0,"",F526/E526-1)</f>
        <v/>
      </c>
      <c r="I526" t="inlineStr"/>
    </row>
    <row r="527">
      <c r="A527" t="inlineStr">
        <is>
          <t>Organic &amp; inorganic chemicals</t>
        </is>
      </c>
      <c r="B527" t="inlineStr">
        <is>
          <t>29</t>
        </is>
      </c>
      <c r="C527" t="inlineStr">
        <is>
          <t>29213010</t>
        </is>
      </c>
      <c r="D527" t="inlineStr">
        <is>
          <t>CYCLOHEXYLAMINE</t>
        </is>
      </c>
      <c r="E527" s="3" t="n">
        <v>0</v>
      </c>
      <c r="F527" s="3" t="n">
        <v>0</v>
      </c>
      <c r="G527" s="3">
        <f>F527-E527</f>
        <v/>
      </c>
      <c r="H527" s="4">
        <f>IF(E527=0,"",F527/E527-1)</f>
        <v/>
      </c>
      <c r="I527" t="inlineStr"/>
    </row>
    <row r="528">
      <c r="A528" t="inlineStr">
        <is>
          <t>Organic &amp; inorganic chemicals</t>
        </is>
      </c>
      <c r="B528" t="inlineStr">
        <is>
          <t>29</t>
        </is>
      </c>
      <c r="C528" t="inlineStr">
        <is>
          <t>29213090</t>
        </is>
      </c>
      <c r="D528" t="inlineStr">
        <is>
          <t>OTHER CYCLANIC CYCENIC/CYCLOTRPNC MONO OR POLYAMINS AND THR DRVTVS, SALTS</t>
        </is>
      </c>
      <c r="E528" s="3" t="n">
        <v>0</v>
      </c>
      <c r="F528" s="3" t="n">
        <v>0</v>
      </c>
      <c r="G528" s="3">
        <f>F528-E528</f>
        <v/>
      </c>
      <c r="H528" s="4">
        <f>IF(E528=0,"",F528/E528-1)</f>
        <v/>
      </c>
      <c r="I528" t="inlineStr"/>
    </row>
    <row r="529">
      <c r="A529" t="inlineStr">
        <is>
          <t>Organic &amp; inorganic chemicals</t>
        </is>
      </c>
      <c r="B529" t="inlineStr">
        <is>
          <t>29</t>
        </is>
      </c>
      <c r="C529" t="inlineStr">
        <is>
          <t>29214110</t>
        </is>
      </c>
      <c r="D529" t="inlineStr">
        <is>
          <t>ANILINE</t>
        </is>
      </c>
      <c r="E529" s="3" t="n">
        <v>0</v>
      </c>
      <c r="F529" s="3" t="n">
        <v>0</v>
      </c>
      <c r="G529" s="3">
        <f>F529-E529</f>
        <v/>
      </c>
      <c r="H529" s="4">
        <f>IF(E529=0,"",F529/E529-1)</f>
        <v/>
      </c>
      <c r="I529" t="inlineStr"/>
    </row>
    <row r="530">
      <c r="A530" t="inlineStr">
        <is>
          <t>Organic &amp; inorganic chemicals</t>
        </is>
      </c>
      <c r="B530" t="inlineStr">
        <is>
          <t>29</t>
        </is>
      </c>
      <c r="C530" t="inlineStr">
        <is>
          <t>29214190</t>
        </is>
      </c>
      <c r="D530" t="inlineStr">
        <is>
          <t>OTHR ANILINE SALTS</t>
        </is>
      </c>
      <c r="E530" s="3" t="n">
        <v>0.12</v>
      </c>
      <c r="F530" s="3" t="n">
        <v>0</v>
      </c>
      <c r="G530" s="3">
        <f>F530-E530</f>
        <v/>
      </c>
      <c r="H530" s="4">
        <f>IF(E530=0,"",F530/E530-1)</f>
        <v/>
      </c>
      <c r="I530" t="inlineStr"/>
    </row>
    <row r="531">
      <c r="A531" t="inlineStr">
        <is>
          <t>Organic &amp; inorganic chemicals</t>
        </is>
      </c>
      <c r="B531" t="inlineStr">
        <is>
          <t>29</t>
        </is>
      </c>
      <c r="C531" t="inlineStr">
        <is>
          <t>29214234</t>
        </is>
      </c>
      <c r="D531" t="inlineStr">
        <is>
          <t>SULPHANILIC ACID(PARA AMINOBNZN SLPHNC ACID PARA ANILINE SULPHONIC ACID)</t>
        </is>
      </c>
      <c r="E531" s="3" t="n">
        <v>0</v>
      </c>
      <c r="F531" s="3" t="n">
        <v>0</v>
      </c>
      <c r="G531" s="3">
        <f>F531-E531</f>
        <v/>
      </c>
      <c r="H531" s="4">
        <f>IF(E531=0,"",F531/E531-1)</f>
        <v/>
      </c>
      <c r="I531" t="inlineStr"/>
    </row>
    <row r="532">
      <c r="A532" t="inlineStr">
        <is>
          <t>Organic &amp; inorganic chemicals</t>
        </is>
      </c>
      <c r="B532" t="inlineStr">
        <is>
          <t>29</t>
        </is>
      </c>
      <c r="C532" t="inlineStr">
        <is>
          <t>29214390</t>
        </is>
      </c>
      <c r="D532" t="inlineStr">
        <is>
          <t>*OTHR TOLUIDINES AND THR DRVTVS SLTS THEREOF</t>
        </is>
      </c>
      <c r="E532" s="3" t="n">
        <v>0.02</v>
      </c>
      <c r="F532" s="3" t="n">
        <v>0</v>
      </c>
      <c r="G532" s="3">
        <f>F532-E532</f>
        <v/>
      </c>
      <c r="H532" s="4">
        <f>IF(E532=0,"",F532/E532-1)</f>
        <v/>
      </c>
      <c r="I532" t="inlineStr"/>
    </row>
    <row r="533">
      <c r="A533" t="inlineStr">
        <is>
          <t>Organic &amp; inorganic chemicals</t>
        </is>
      </c>
      <c r="B533" t="inlineStr">
        <is>
          <t>29</t>
        </is>
      </c>
      <c r="C533" t="inlineStr">
        <is>
          <t>29214410</t>
        </is>
      </c>
      <c r="D533" t="inlineStr">
        <is>
          <t>DIPHENYLAMINE</t>
        </is>
      </c>
      <c r="E533" s="3" t="n">
        <v>0</v>
      </c>
      <c r="F533" s="3" t="n">
        <v>0</v>
      </c>
      <c r="G533" s="3">
        <f>F533-E533</f>
        <v/>
      </c>
      <c r="H533" s="4">
        <f>IF(E533=0,"",F533/E533-1)</f>
        <v/>
      </c>
      <c r="I533" t="inlineStr"/>
    </row>
    <row r="534">
      <c r="A534" t="inlineStr">
        <is>
          <t>Organic &amp; inorganic chemicals</t>
        </is>
      </c>
      <c r="B534" t="inlineStr">
        <is>
          <t>29</t>
        </is>
      </c>
      <c r="C534" t="inlineStr">
        <is>
          <t>29214490</t>
        </is>
      </c>
      <c r="D534" t="inlineStr">
        <is>
          <t>OTHR DIPHNYLAMINE AND ITS DRVTVS;SLTS THROF</t>
        </is>
      </c>
      <c r="E534" s="3" t="n">
        <v>0.05</v>
      </c>
      <c r="F534" s="3" t="n">
        <v>0</v>
      </c>
      <c r="G534" s="3">
        <f>F534-E534</f>
        <v/>
      </c>
      <c r="H534" s="4">
        <f>IF(E534=0,"",F534/E534-1)</f>
        <v/>
      </c>
      <c r="I534" t="inlineStr"/>
    </row>
    <row r="535">
      <c r="A535" t="inlineStr">
        <is>
          <t>Organic &amp; inorganic chemicals</t>
        </is>
      </c>
      <c r="B535" t="inlineStr">
        <is>
          <t>29</t>
        </is>
      </c>
      <c r="C535" t="inlineStr">
        <is>
          <t>29215190</t>
        </is>
      </c>
      <c r="D535" t="inlineStr">
        <is>
          <t>OTHR O-M-P-PHNYLENEDIAMINE DIAMINOTOLUENE AND THEIR DRVTVS SALTS THEREOF</t>
        </is>
      </c>
      <c r="E535" s="3" t="n">
        <v>0</v>
      </c>
      <c r="F535" s="3" t="n">
        <v>0</v>
      </c>
      <c r="G535" s="3">
        <f>F535-E535</f>
        <v/>
      </c>
      <c r="H535" s="4">
        <f>IF(E535=0,"",F535/E535-1)</f>
        <v/>
      </c>
      <c r="I535" t="inlineStr"/>
    </row>
    <row r="536">
      <c r="A536" t="inlineStr">
        <is>
          <t>Organic &amp; inorganic chemicals</t>
        </is>
      </c>
      <c r="B536" t="inlineStr">
        <is>
          <t>29</t>
        </is>
      </c>
      <c r="C536" t="inlineStr">
        <is>
          <t>29221190</t>
        </is>
      </c>
      <c r="D536" t="inlineStr">
        <is>
          <t>OTHER SALTS OF MONOETHANOLAMINE</t>
        </is>
      </c>
      <c r="E536" s="3" t="n">
        <v>0</v>
      </c>
      <c r="F536" s="3" t="n">
        <v>0</v>
      </c>
      <c r="G536" s="3">
        <f>F536-E536</f>
        <v/>
      </c>
      <c r="H536" s="4">
        <f>IF(E536=0,"",F536/E536-1)</f>
        <v/>
      </c>
      <c r="I536" t="inlineStr"/>
    </row>
    <row r="537">
      <c r="A537" t="inlineStr">
        <is>
          <t>Organic &amp; inorganic chemicals</t>
        </is>
      </c>
      <c r="B537" t="inlineStr">
        <is>
          <t>29</t>
        </is>
      </c>
      <c r="C537" t="inlineStr">
        <is>
          <t>29222130</t>
        </is>
      </c>
      <c r="D537" t="inlineStr">
        <is>
          <t>1-AMINO-2-NAPHTHOL-4-SULPHONIC ACID</t>
        </is>
      </c>
      <c r="E537" s="3" t="n">
        <v>0</v>
      </c>
      <c r="F537" s="3" t="n">
        <v>0</v>
      </c>
      <c r="G537" s="3">
        <f>F537-E537</f>
        <v/>
      </c>
      <c r="H537" s="4">
        <f>IF(E537=0,"",F537/E537-1)</f>
        <v/>
      </c>
      <c r="I537" t="inlineStr"/>
    </row>
    <row r="538">
      <c r="A538" t="inlineStr">
        <is>
          <t>Organic &amp; inorganic chemicals</t>
        </is>
      </c>
      <c r="B538" t="inlineStr">
        <is>
          <t>29</t>
        </is>
      </c>
      <c r="C538" t="inlineStr">
        <is>
          <t>29222913</t>
        </is>
      </c>
      <c r="D538" t="inlineStr">
        <is>
          <t>PARA AMINOPHENOL</t>
        </is>
      </c>
      <c r="E538" s="3" t="n">
        <v>0</v>
      </c>
      <c r="F538" s="3" t="n">
        <v>0</v>
      </c>
      <c r="G538" s="3">
        <f>F538-E538</f>
        <v/>
      </c>
      <c r="H538" s="4">
        <f>IF(E538=0,"",F538/E538-1)</f>
        <v/>
      </c>
      <c r="I538" t="inlineStr"/>
    </row>
    <row r="539">
      <c r="A539" t="inlineStr">
        <is>
          <t>Organic &amp; inorganic chemicals</t>
        </is>
      </c>
      <c r="B539" t="inlineStr">
        <is>
          <t>29</t>
        </is>
      </c>
      <c r="C539" t="inlineStr">
        <is>
          <t>29222933</t>
        </is>
      </c>
      <c r="D539" t="inlineStr">
        <is>
          <t>*PARA ACETYL AMINOPHENOL(PARACETAMOL)</t>
        </is>
      </c>
      <c r="E539" s="3" t="n">
        <v>6.16</v>
      </c>
      <c r="F539" s="3" t="n">
        <v>0</v>
      </c>
      <c r="G539" s="3">
        <f>F539-E539</f>
        <v/>
      </c>
      <c r="H539" s="4">
        <f>IF(E539=0,"",F539/E539-1)</f>
        <v/>
      </c>
      <c r="I539" t="inlineStr"/>
    </row>
    <row r="540">
      <c r="A540" t="inlineStr">
        <is>
          <t>Organic &amp; inorganic chemicals</t>
        </is>
      </c>
      <c r="B540" t="inlineStr">
        <is>
          <t>29</t>
        </is>
      </c>
      <c r="C540" t="inlineStr">
        <is>
          <t>29223900</t>
        </is>
      </c>
      <c r="D540" t="inlineStr">
        <is>
          <t>OTHER AMINO-ALDEHYDES ETC CNTNG MORE THAN OXGN FN. SALTS</t>
        </is>
      </c>
      <c r="E540" s="3" t="n">
        <v>0</v>
      </c>
      <c r="F540" s="3" t="n">
        <v>0</v>
      </c>
      <c r="G540" s="3">
        <f>F540-E540</f>
        <v/>
      </c>
      <c r="H540" s="4">
        <f>IF(E540=0,"",F540/E540-1)</f>
        <v/>
      </c>
      <c r="I540" t="inlineStr"/>
    </row>
    <row r="541">
      <c r="A541" t="inlineStr">
        <is>
          <t>Organic &amp; inorganic chemicals</t>
        </is>
      </c>
      <c r="B541" t="inlineStr">
        <is>
          <t>29</t>
        </is>
      </c>
      <c r="C541" t="inlineStr">
        <is>
          <t>29224100</t>
        </is>
      </c>
      <c r="D541" t="inlineStr">
        <is>
          <t>LYSINE AND ITS ESTERS SALTS THEREOF</t>
        </is>
      </c>
      <c r="E541" s="3" t="n">
        <v>0</v>
      </c>
      <c r="F541" s="3" t="n">
        <v>0</v>
      </c>
      <c r="G541" s="3">
        <f>F541-E541</f>
        <v/>
      </c>
      <c r="H541" s="4">
        <f>IF(E541=0,"",F541/E541-1)</f>
        <v/>
      </c>
      <c r="I541" t="inlineStr"/>
    </row>
    <row r="542">
      <c r="A542" t="inlineStr">
        <is>
          <t>Organic &amp; inorganic chemicals</t>
        </is>
      </c>
      <c r="B542" t="inlineStr">
        <is>
          <t>29</t>
        </is>
      </c>
      <c r="C542" t="inlineStr">
        <is>
          <t>29224220</t>
        </is>
      </c>
      <c r="D542" t="inlineStr">
        <is>
          <t>MONOSODIUM GLUTAMATE (AZINAMOTO)</t>
        </is>
      </c>
      <c r="E542" s="3" t="n">
        <v>0.01</v>
      </c>
      <c r="F542" s="3" t="n">
        <v>0</v>
      </c>
      <c r="G542" s="3">
        <f>F542-E542</f>
        <v/>
      </c>
      <c r="H542" s="4">
        <f>IF(E542=0,"",F542/E542-1)</f>
        <v/>
      </c>
      <c r="I542" t="inlineStr"/>
    </row>
    <row r="543">
      <c r="A543" t="inlineStr">
        <is>
          <t>Organic &amp; inorganic chemicals</t>
        </is>
      </c>
      <c r="B543" t="inlineStr">
        <is>
          <t>29</t>
        </is>
      </c>
      <c r="C543" t="inlineStr">
        <is>
          <t>29225011</t>
        </is>
      </c>
      <c r="D543" t="inlineStr">
        <is>
          <t>PARA-AMINO-SALICYLIC ACID</t>
        </is>
      </c>
      <c r="E543" s="3" t="n">
        <v>0</v>
      </c>
      <c r="F543" s="3" t="n">
        <v>0</v>
      </c>
      <c r="G543" s="3">
        <f>F543-E543</f>
        <v/>
      </c>
      <c r="H543" s="4">
        <f>IF(E543=0,"",F543/E543-1)</f>
        <v/>
      </c>
      <c r="I543" t="inlineStr"/>
    </row>
    <row r="544">
      <c r="A544" t="inlineStr">
        <is>
          <t>Organic &amp; inorganic chemicals</t>
        </is>
      </c>
      <c r="B544" t="inlineStr">
        <is>
          <t>29</t>
        </is>
      </c>
      <c r="C544" t="inlineStr">
        <is>
          <t>29225015</t>
        </is>
      </c>
      <c r="D544" t="inlineStr">
        <is>
          <t>L-TYROSINE(P-HYDROXYPHENYLAMINE)</t>
        </is>
      </c>
      <c r="E544" s="3" t="n">
        <v>0</v>
      </c>
      <c r="F544" s="3" t="n">
        <v>0</v>
      </c>
      <c r="G544" s="3">
        <f>F544-E544</f>
        <v/>
      </c>
      <c r="H544" s="4">
        <f>IF(E544=0,"",F544/E544-1)</f>
        <v/>
      </c>
      <c r="I544" t="inlineStr"/>
    </row>
    <row r="545">
      <c r="A545" t="inlineStr">
        <is>
          <t>Organic &amp; inorganic chemicals</t>
        </is>
      </c>
      <c r="B545" t="inlineStr">
        <is>
          <t>29</t>
        </is>
      </c>
      <c r="C545" t="inlineStr">
        <is>
          <t>29242910</t>
        </is>
      </c>
      <c r="D545" t="inlineStr">
        <is>
          <t>ACETANILIDE</t>
        </is>
      </c>
      <c r="E545" s="3" t="n">
        <v>0</v>
      </c>
      <c r="F545" s="3" t="n">
        <v>0</v>
      </c>
      <c r="G545" s="3">
        <f>F545-E545</f>
        <v/>
      </c>
      <c r="H545" s="4">
        <f>IF(E545=0,"",F545/E545-1)</f>
        <v/>
      </c>
      <c r="I545" t="inlineStr"/>
    </row>
    <row r="546">
      <c r="A546" t="inlineStr">
        <is>
          <t>Organic &amp; inorganic chemicals</t>
        </is>
      </c>
      <c r="B546" t="inlineStr">
        <is>
          <t>29</t>
        </is>
      </c>
      <c r="C546" t="inlineStr">
        <is>
          <t>29261000</t>
        </is>
      </c>
      <c r="D546" t="inlineStr">
        <is>
          <t>ACRYLONITRILE</t>
        </is>
      </c>
      <c r="E546" s="3" t="n">
        <v>17.92</v>
      </c>
      <c r="F546" s="3" t="n">
        <v>0</v>
      </c>
      <c r="G546" s="3">
        <f>F546-E546</f>
        <v/>
      </c>
      <c r="H546" s="4">
        <f>IF(E546=0,"",F546/E546-1)</f>
        <v/>
      </c>
      <c r="I546" t="inlineStr"/>
    </row>
    <row r="547">
      <c r="A547" t="inlineStr">
        <is>
          <t>Organic &amp; inorganic chemicals</t>
        </is>
      </c>
      <c r="B547" t="inlineStr">
        <is>
          <t>29</t>
        </is>
      </c>
      <c r="C547" t="inlineStr">
        <is>
          <t>29262000</t>
        </is>
      </c>
      <c r="D547" t="inlineStr">
        <is>
          <t>1-CYANOGUANIDINE(DICYANDIAMIDE)</t>
        </is>
      </c>
      <c r="E547" s="3" t="n">
        <v>0</v>
      </c>
      <c r="F547" s="3" t="n">
        <v>0</v>
      </c>
      <c r="G547" s="3">
        <f>F547-E547</f>
        <v/>
      </c>
      <c r="H547" s="4">
        <f>IF(E547=0,"",F547/E547-1)</f>
        <v/>
      </c>
      <c r="I547" t="inlineStr"/>
    </row>
    <row r="548">
      <c r="A548" t="inlineStr">
        <is>
          <t>Organic &amp; inorganic chemicals</t>
        </is>
      </c>
      <c r="B548" t="inlineStr">
        <is>
          <t>29</t>
        </is>
      </c>
      <c r="C548" t="inlineStr">
        <is>
          <t>29280090</t>
        </is>
      </c>
      <c r="D548" t="inlineStr">
        <is>
          <t>OTHR ORGNC DRVTS OF HYDRAZINE/HYDRXYLMINE</t>
        </is>
      </c>
      <c r="E548" s="3" t="n">
        <v>0.01</v>
      </c>
      <c r="F548" s="3" t="n">
        <v>0</v>
      </c>
      <c r="G548" s="3">
        <f>F548-E548</f>
        <v/>
      </c>
      <c r="H548" s="4">
        <f>IF(E548=0,"",F548/E548-1)</f>
        <v/>
      </c>
      <c r="I548" t="inlineStr"/>
    </row>
    <row r="549">
      <c r="A549" t="inlineStr">
        <is>
          <t>Organic &amp; inorganic chemicals</t>
        </is>
      </c>
      <c r="B549" t="inlineStr">
        <is>
          <t>29</t>
        </is>
      </c>
      <c r="C549" t="inlineStr">
        <is>
          <t>29302090</t>
        </is>
      </c>
      <c r="D549" t="inlineStr">
        <is>
          <t>OTHERS-OF-THIOCARBAMATES AND DITHIOCARBAMATES</t>
        </is>
      </c>
      <c r="E549" s="3" t="n">
        <v>0.64</v>
      </c>
      <c r="F549" s="3" t="n">
        <v>0</v>
      </c>
      <c r="G549" s="3">
        <f>F549-E549</f>
        <v/>
      </c>
      <c r="H549" s="4">
        <f>IF(E549=0,"",F549/E549-1)</f>
        <v/>
      </c>
      <c r="I549" t="inlineStr"/>
    </row>
    <row r="550">
      <c r="A550" t="inlineStr">
        <is>
          <t>Organic &amp; inorganic chemicals</t>
        </is>
      </c>
      <c r="B550" t="inlineStr">
        <is>
          <t>29</t>
        </is>
      </c>
      <c r="C550" t="inlineStr">
        <is>
          <t>29309010</t>
        </is>
      </c>
      <c r="D550" t="inlineStr">
        <is>
          <t>*THIOUREA(SULPHOUREA)</t>
        </is>
      </c>
      <c r="E550" s="3" t="n">
        <v>0</v>
      </c>
      <c r="F550" s="3" t="n">
        <v>0</v>
      </c>
      <c r="G550" s="3">
        <f>F550-E550</f>
        <v/>
      </c>
      <c r="H550" s="4">
        <f>IF(E550=0,"",F550/E550-1)</f>
        <v/>
      </c>
      <c r="I550" t="inlineStr"/>
    </row>
    <row r="551">
      <c r="A551" t="inlineStr">
        <is>
          <t>Organic &amp; inorganic chemicals</t>
        </is>
      </c>
      <c r="B551" t="inlineStr">
        <is>
          <t>29</t>
        </is>
      </c>
      <c r="C551" t="inlineStr">
        <is>
          <t>29309040</t>
        </is>
      </c>
      <c r="D551" t="inlineStr">
        <is>
          <t>*L-CYSTINE (ALPHA-AMINO BETA-THIO PROPIONICACID)-SULPHUR CONTAINING AMINO ACID</t>
        </is>
      </c>
      <c r="E551" s="3" t="n">
        <v>0</v>
      </c>
      <c r="F551" s="3" t="n">
        <v>0</v>
      </c>
      <c r="G551" s="3">
        <f>F551-E551</f>
        <v/>
      </c>
      <c r="H551" s="4">
        <f>IF(E551=0,"",F551/E551-1)</f>
        <v/>
      </c>
      <c r="I551" t="inlineStr"/>
    </row>
    <row r="552">
      <c r="A552" t="inlineStr">
        <is>
          <t>Organic &amp; inorganic chemicals</t>
        </is>
      </c>
      <c r="B552" t="inlineStr">
        <is>
          <t>29</t>
        </is>
      </c>
      <c r="C552" t="inlineStr">
        <is>
          <t>29311010</t>
        </is>
      </c>
      <c r="D552" t="inlineStr">
        <is>
          <t>TETRAMETHYL LEAD</t>
        </is>
      </c>
      <c r="E552" s="3" t="n">
        <v>0</v>
      </c>
      <c r="F552" s="3" t="n">
        <v>0</v>
      </c>
      <c r="G552" s="3">
        <f>F552-E552</f>
        <v/>
      </c>
      <c r="H552" s="4">
        <f>IF(E552=0,"",F552/E552-1)</f>
        <v/>
      </c>
      <c r="I552" t="inlineStr"/>
    </row>
    <row r="553">
      <c r="A553" t="inlineStr">
        <is>
          <t>Organic &amp; inorganic chemicals</t>
        </is>
      </c>
      <c r="B553" t="inlineStr">
        <is>
          <t>29</t>
        </is>
      </c>
      <c r="C553" t="inlineStr">
        <is>
          <t>29321100</t>
        </is>
      </c>
      <c r="D553" t="inlineStr">
        <is>
          <t>TETRAHYDROFURAN</t>
        </is>
      </c>
      <c r="E553" s="3" t="n">
        <v>0.02</v>
      </c>
      <c r="F553" s="3" t="n">
        <v>0</v>
      </c>
      <c r="G553" s="3">
        <f>F553-E553</f>
        <v/>
      </c>
      <c r="H553" s="4">
        <f>IF(E553=0,"",F553/E553-1)</f>
        <v/>
      </c>
      <c r="I553" t="inlineStr"/>
    </row>
    <row r="554">
      <c r="A554" t="inlineStr">
        <is>
          <t>Organic &amp; inorganic chemicals</t>
        </is>
      </c>
      <c r="B554" t="inlineStr">
        <is>
          <t>29</t>
        </is>
      </c>
      <c r="C554" t="inlineStr">
        <is>
          <t>29322020</t>
        </is>
      </c>
      <c r="D554" t="inlineStr">
        <is>
          <t>PHENOLPHTHALEIN</t>
        </is>
      </c>
      <c r="E554" s="3" t="n">
        <v>0</v>
      </c>
      <c r="F554" s="3" t="n">
        <v>0</v>
      </c>
      <c r="G554" s="3">
        <f>F554-E554</f>
        <v/>
      </c>
      <c r="H554" s="4">
        <f>IF(E554=0,"",F554/E554-1)</f>
        <v/>
      </c>
      <c r="I554" t="inlineStr"/>
    </row>
    <row r="555">
      <c r="A555" t="inlineStr">
        <is>
          <t>Organic &amp; inorganic chemicals</t>
        </is>
      </c>
      <c r="B555" t="inlineStr">
        <is>
          <t>29</t>
        </is>
      </c>
      <c r="C555" t="inlineStr">
        <is>
          <t>29331100</t>
        </is>
      </c>
      <c r="D555" t="inlineStr">
        <is>
          <t>PHENAZONE (ANTIPYRIN) AND ITS DERIVATIVES</t>
        </is>
      </c>
      <c r="E555" s="3" t="n">
        <v>0</v>
      </c>
      <c r="F555" s="3" t="n">
        <v>0</v>
      </c>
      <c r="G555" s="3">
        <f>F555-E555</f>
        <v/>
      </c>
      <c r="H555" s="4">
        <f>IF(E555=0,"",F555/E555-1)</f>
        <v/>
      </c>
      <c r="I555" t="inlineStr"/>
    </row>
    <row r="556">
      <c r="A556" t="inlineStr">
        <is>
          <t>Organic &amp; inorganic chemicals</t>
        </is>
      </c>
      <c r="B556" t="inlineStr">
        <is>
          <t>29</t>
        </is>
      </c>
      <c r="C556" t="inlineStr">
        <is>
          <t>29332930</t>
        </is>
      </c>
      <c r="D556" t="inlineStr">
        <is>
          <t>MEBENDAZOLE</t>
        </is>
      </c>
      <c r="E556" s="3" t="n">
        <v>0.01</v>
      </c>
      <c r="F556" s="3" t="n">
        <v>0</v>
      </c>
      <c r="G556" s="3">
        <f>F556-E556</f>
        <v/>
      </c>
      <c r="H556" s="4">
        <f>IF(E556=0,"",F556/E556-1)</f>
        <v/>
      </c>
      <c r="I556" t="inlineStr"/>
    </row>
    <row r="557">
      <c r="A557" t="inlineStr">
        <is>
          <t>Organic &amp; inorganic chemicals</t>
        </is>
      </c>
      <c r="B557" t="inlineStr">
        <is>
          <t>29</t>
        </is>
      </c>
      <c r="C557" t="inlineStr">
        <is>
          <t>29333100</t>
        </is>
      </c>
      <c r="D557" t="inlineStr">
        <is>
          <t>*PYRIDINE AND ITS SALTS</t>
        </is>
      </c>
      <c r="E557" s="3" t="n">
        <v>0</v>
      </c>
      <c r="F557" s="3" t="n">
        <v>0</v>
      </c>
      <c r="G557" s="3">
        <f>F557-E557</f>
        <v/>
      </c>
      <c r="H557" s="4">
        <f>IF(E557=0,"",F557/E557-1)</f>
        <v/>
      </c>
      <c r="I557" t="inlineStr"/>
    </row>
    <row r="558">
      <c r="A558" t="inlineStr">
        <is>
          <t>Organic &amp; inorganic chemicals</t>
        </is>
      </c>
      <c r="B558" t="inlineStr">
        <is>
          <t>29</t>
        </is>
      </c>
      <c r="C558" t="inlineStr">
        <is>
          <t>29337920</t>
        </is>
      </c>
      <c r="D558" t="inlineStr">
        <is>
          <t>N-ETHYL-2-PYRROLIDONE</t>
        </is>
      </c>
      <c r="E558" s="3" t="n">
        <v>0</v>
      </c>
      <c r="F558" s="3" t="n">
        <v>0</v>
      </c>
      <c r="G558" s="3">
        <f>F558-E558</f>
        <v/>
      </c>
      <c r="H558" s="4">
        <f>IF(E558=0,"",F558/E558-1)</f>
        <v/>
      </c>
      <c r="I558" t="inlineStr"/>
    </row>
    <row r="559">
      <c r="A559" t="inlineStr">
        <is>
          <t>Organic &amp; inorganic chemicals</t>
        </is>
      </c>
      <c r="B559" t="inlineStr">
        <is>
          <t>29</t>
        </is>
      </c>
      <c r="C559" t="inlineStr">
        <is>
          <t>29349910</t>
        </is>
      </c>
      <c r="D559" t="inlineStr">
        <is>
          <t>CHIARO THIOPHENE-2-CARBOXYL IC ACID</t>
        </is>
      </c>
      <c r="E559" s="3" t="n">
        <v>0</v>
      </c>
      <c r="F559" s="3" t="n">
        <v>0</v>
      </c>
      <c r="G559" s="3">
        <f>F559-E559</f>
        <v/>
      </c>
      <c r="H559" s="4">
        <f>IF(E559=0,"",F559/E559-1)</f>
        <v/>
      </c>
      <c r="I559" t="inlineStr"/>
    </row>
    <row r="560">
      <c r="A560" t="inlineStr">
        <is>
          <t>Organic &amp; inorganic chemicals</t>
        </is>
      </c>
      <c r="B560" t="inlineStr">
        <is>
          <t>29</t>
        </is>
      </c>
      <c r="C560" t="inlineStr">
        <is>
          <t>29349920</t>
        </is>
      </c>
      <c r="D560" t="inlineStr">
        <is>
          <t>MORPHOLINE</t>
        </is>
      </c>
      <c r="E560" s="3" t="n">
        <v>0</v>
      </c>
      <c r="F560" s="3" t="n">
        <v>0</v>
      </c>
      <c r="G560" s="3">
        <f>F560-E560</f>
        <v/>
      </c>
      <c r="H560" s="4">
        <f>IF(E560=0,"",F560/E560-1)</f>
        <v/>
      </c>
      <c r="I560" t="inlineStr"/>
    </row>
    <row r="561">
      <c r="A561" t="inlineStr">
        <is>
          <t>Organic &amp; inorganic chemicals</t>
        </is>
      </c>
      <c r="B561" t="inlineStr">
        <is>
          <t>29</t>
        </is>
      </c>
      <c r="C561" t="inlineStr">
        <is>
          <t>29352000</t>
        </is>
      </c>
      <c r="D561" t="inlineStr">
        <is>
          <t>N-ETHYLPERFLUOROOCTANE SULPHONAMIDE</t>
        </is>
      </c>
      <c r="E561" s="3" t="n">
        <v>0.28</v>
      </c>
      <c r="F561" s="3" t="n">
        <v>0</v>
      </c>
      <c r="G561" s="3">
        <f>F561-E561</f>
        <v/>
      </c>
      <c r="H561" s="4">
        <f>IF(E561=0,"",F561/E561-1)</f>
        <v/>
      </c>
      <c r="I561" t="inlineStr"/>
    </row>
    <row r="562">
      <c r="A562" t="inlineStr">
        <is>
          <t>Organic &amp; inorganic chemicals</t>
        </is>
      </c>
      <c r="B562" t="inlineStr">
        <is>
          <t>29</t>
        </is>
      </c>
      <c r="C562" t="inlineStr">
        <is>
          <t>29355090</t>
        </is>
      </c>
      <c r="D562" t="inlineStr">
        <is>
          <t>OTHERS-OF-OTHER PERFLUOROOCTANESULPHONAMIDES</t>
        </is>
      </c>
      <c r="E562" s="3" t="n">
        <v>0</v>
      </c>
      <c r="F562" s="3" t="n">
        <v>0</v>
      </c>
      <c r="G562" s="3">
        <f>F562-E562</f>
        <v/>
      </c>
      <c r="H562" s="4">
        <f>IF(E562=0,"",F562/E562-1)</f>
        <v/>
      </c>
      <c r="I562" t="inlineStr"/>
    </row>
    <row r="563">
      <c r="A563" t="inlineStr">
        <is>
          <t>Organic &amp; inorganic chemicals</t>
        </is>
      </c>
      <c r="B563" t="inlineStr">
        <is>
          <t>29</t>
        </is>
      </c>
      <c r="C563" t="inlineStr">
        <is>
          <t>29362100</t>
        </is>
      </c>
      <c r="D563" t="inlineStr">
        <is>
          <t>VITAMINS A AND THEIR DERIVATIVES</t>
        </is>
      </c>
      <c r="E563" s="3" t="n">
        <v>0.42</v>
      </c>
      <c r="F563" s="3" t="n">
        <v>0</v>
      </c>
      <c r="G563" s="3">
        <f>F563-E563</f>
        <v/>
      </c>
      <c r="H563" s="4">
        <f>IF(E563=0,"",F563/E563-1)</f>
        <v/>
      </c>
      <c r="I563" t="inlineStr"/>
    </row>
    <row r="564">
      <c r="A564" t="inlineStr">
        <is>
          <t>Organic &amp; inorganic chemicals</t>
        </is>
      </c>
      <c r="B564" t="inlineStr">
        <is>
          <t>29</t>
        </is>
      </c>
      <c r="C564" t="inlineStr">
        <is>
          <t>29362610</t>
        </is>
      </c>
      <c r="D564" t="inlineStr">
        <is>
          <t>VITAMIN B12 (CYNOCOBALAMIN)</t>
        </is>
      </c>
      <c r="E564" s="3" t="n">
        <v>0</v>
      </c>
      <c r="F564" s="3" t="n">
        <v>0</v>
      </c>
      <c r="G564" s="3">
        <f>F564-E564</f>
        <v/>
      </c>
      <c r="H564" s="4">
        <f>IF(E564=0,"",F564/E564-1)</f>
        <v/>
      </c>
      <c r="I564" t="inlineStr"/>
    </row>
    <row r="565">
      <c r="A565" t="inlineStr">
        <is>
          <t>Organic &amp; inorganic chemicals</t>
        </is>
      </c>
      <c r="B565" t="inlineStr">
        <is>
          <t>29</t>
        </is>
      </c>
      <c r="C565" t="inlineStr">
        <is>
          <t>29362690</t>
        </is>
      </c>
      <c r="D565" t="inlineStr">
        <is>
          <t>OTHER VITAMIN B12 AND ITS DERIVATIVES</t>
        </is>
      </c>
      <c r="E565" s="3" t="n">
        <v>0.01</v>
      </c>
      <c r="F565" s="3" t="n">
        <v>0</v>
      </c>
      <c r="G565" s="3">
        <f>F565-E565</f>
        <v/>
      </c>
      <c r="H565" s="4">
        <f>IF(E565=0,"",F565/E565-1)</f>
        <v/>
      </c>
      <c r="I565" t="inlineStr"/>
    </row>
    <row r="566">
      <c r="A566" t="inlineStr">
        <is>
          <t>Organic &amp; inorganic chemicals</t>
        </is>
      </c>
      <c r="B566" t="inlineStr">
        <is>
          <t>29</t>
        </is>
      </c>
      <c r="C566" t="inlineStr">
        <is>
          <t>29362910</t>
        </is>
      </c>
      <c r="D566" t="inlineStr">
        <is>
          <t>FOLIC ACID (VITAMIN B9)</t>
        </is>
      </c>
      <c r="E566" s="3" t="n">
        <v>0.04</v>
      </c>
      <c r="F566" s="3" t="n">
        <v>0</v>
      </c>
      <c r="G566" s="3">
        <f>F566-E566</f>
        <v/>
      </c>
      <c r="H566" s="4">
        <f>IF(E566=0,"",F566/E566-1)</f>
        <v/>
      </c>
      <c r="I566" t="inlineStr"/>
    </row>
    <row r="567">
      <c r="A567" t="inlineStr">
        <is>
          <t>Organic &amp; inorganic chemicals</t>
        </is>
      </c>
      <c r="B567" t="inlineStr">
        <is>
          <t>29</t>
        </is>
      </c>
      <c r="C567" t="inlineStr">
        <is>
          <t>29362920</t>
        </is>
      </c>
      <c r="D567" t="inlineStr">
        <is>
          <t>NCTNC ACID AND NCTNMD(NIACINAMIDE/NIACINE</t>
        </is>
      </c>
      <c r="E567" s="3" t="n">
        <v>0</v>
      </c>
      <c r="F567" s="3" t="n">
        <v>0</v>
      </c>
      <c r="G567" s="3">
        <f>F567-E567</f>
        <v/>
      </c>
      <c r="H567" s="4">
        <f>IF(E567=0,"",F567/E567-1)</f>
        <v/>
      </c>
      <c r="I567" t="inlineStr"/>
    </row>
    <row r="568">
      <c r="A568" t="inlineStr">
        <is>
          <t>Organic &amp; inorganic chemicals</t>
        </is>
      </c>
      <c r="B568" t="inlineStr">
        <is>
          <t>29</t>
        </is>
      </c>
      <c r="C568" t="inlineStr">
        <is>
          <t>29362940</t>
        </is>
      </c>
      <c r="D568" t="inlineStr">
        <is>
          <t>VITAMIN D</t>
        </is>
      </c>
      <c r="E568" s="3" t="n">
        <v>0</v>
      </c>
      <c r="F568" s="3" t="n">
        <v>0</v>
      </c>
      <c r="G568" s="3">
        <f>F568-E568</f>
        <v/>
      </c>
      <c r="H568" s="4">
        <f>IF(E568=0,"",F568/E568-1)</f>
        <v/>
      </c>
      <c r="I568" t="inlineStr"/>
    </row>
    <row r="569">
      <c r="A569" t="inlineStr">
        <is>
          <t>Organic &amp; inorganic chemicals</t>
        </is>
      </c>
      <c r="B569" t="inlineStr">
        <is>
          <t>29</t>
        </is>
      </c>
      <c r="C569" t="inlineStr">
        <is>
          <t>29362950</t>
        </is>
      </c>
      <c r="D569" t="inlineStr">
        <is>
          <t>VITAMIN H (BI0LIN)</t>
        </is>
      </c>
      <c r="E569" s="3" t="n">
        <v>0</v>
      </c>
      <c r="F569" s="3" t="n">
        <v>0</v>
      </c>
      <c r="G569" s="3">
        <f>F569-E569</f>
        <v/>
      </c>
      <c r="H569" s="4">
        <f>IF(E569=0,"",F569/E569-1)</f>
        <v/>
      </c>
      <c r="I569" t="inlineStr"/>
    </row>
    <row r="570">
      <c r="A570" t="inlineStr">
        <is>
          <t>Organic &amp; inorganic chemicals</t>
        </is>
      </c>
      <c r="B570" t="inlineStr">
        <is>
          <t>29</t>
        </is>
      </c>
      <c r="C570" t="inlineStr">
        <is>
          <t>29392010</t>
        </is>
      </c>
      <c r="D570" t="inlineStr">
        <is>
          <t>QUININE ALKALOIDS</t>
        </is>
      </c>
      <c r="E570" s="3" t="n">
        <v>0</v>
      </c>
      <c r="F570" s="3" t="n">
        <v>0</v>
      </c>
      <c r="G570" s="3">
        <f>F570-E570</f>
        <v/>
      </c>
      <c r="H570" s="4">
        <f>IF(E570=0,"",F570/E570-1)</f>
        <v/>
      </c>
      <c r="I570" t="inlineStr"/>
    </row>
    <row r="571">
      <c r="A571" t="inlineStr">
        <is>
          <t>Organic &amp; inorganic chemicals</t>
        </is>
      </c>
      <c r="B571" t="inlineStr">
        <is>
          <t>29</t>
        </is>
      </c>
      <c r="C571" t="inlineStr">
        <is>
          <t>29392030</t>
        </is>
      </c>
      <c r="D571" t="inlineStr">
        <is>
          <t>QUININE SULPHATE</t>
        </is>
      </c>
      <c r="E571" s="3" t="n">
        <v>0</v>
      </c>
      <c r="F571" s="3" t="n">
        <v>0</v>
      </c>
      <c r="G571" s="3">
        <f>F571-E571</f>
        <v/>
      </c>
      <c r="H571" s="4">
        <f>IF(E571=0,"",F571/E571-1)</f>
        <v/>
      </c>
      <c r="I571" t="inlineStr"/>
    </row>
    <row r="572">
      <c r="A572" t="inlineStr">
        <is>
          <t>Organic &amp; inorganic chemicals</t>
        </is>
      </c>
      <c r="B572" t="inlineStr">
        <is>
          <t>29</t>
        </is>
      </c>
      <c r="C572" t="inlineStr">
        <is>
          <t>29395900</t>
        </is>
      </c>
      <c r="D572" t="inlineStr">
        <is>
          <t>OTHER THEOPHYLLINE AND AMINOPHYLLINE THR DRVTVS, SALTS</t>
        </is>
      </c>
      <c r="E572" s="3" t="n">
        <v>0</v>
      </c>
      <c r="F572" s="3" t="n">
        <v>0</v>
      </c>
      <c r="G572" s="3">
        <f>F572-E572</f>
        <v/>
      </c>
      <c r="H572" s="4">
        <f>IF(E572=0,"",F572/E572-1)</f>
        <v/>
      </c>
      <c r="I572" t="inlineStr"/>
    </row>
    <row r="573">
      <c r="A573" t="inlineStr">
        <is>
          <t>Organic &amp; inorganic chemicals</t>
        </is>
      </c>
      <c r="B573" t="inlineStr">
        <is>
          <t>29</t>
        </is>
      </c>
      <c r="C573" t="inlineStr">
        <is>
          <t>29400000</t>
        </is>
      </c>
      <c r="D573" t="inlineStr">
        <is>
          <t>SUGRS CHMCLY PURE OTHR THN SUCROSE LACTOSEMALTOSE ETC SUGR ETHRS AND SUGRESTRS AND THR SLTS BESIDES HDG NO. 2937</t>
        </is>
      </c>
      <c r="E573" s="3" t="n">
        <v>0.03</v>
      </c>
      <c r="F573" s="3" t="n">
        <v>0</v>
      </c>
      <c r="G573" s="3">
        <f>F573-E573</f>
        <v/>
      </c>
      <c r="H573" s="4">
        <f>IF(E573=0,"",F573/E573-1)</f>
        <v/>
      </c>
      <c r="I573" t="inlineStr"/>
    </row>
    <row r="574">
      <c r="A574" t="inlineStr">
        <is>
          <t>Organic &amp; inorganic chemicals</t>
        </is>
      </c>
      <c r="B574" t="inlineStr">
        <is>
          <t>29</t>
        </is>
      </c>
      <c r="C574" t="inlineStr">
        <is>
          <t>29411020</t>
        </is>
      </c>
      <c r="D574" t="inlineStr">
        <is>
          <t>AMPICILLINE AND ITS SALTS</t>
        </is>
      </c>
      <c r="E574" s="3" t="n">
        <v>0</v>
      </c>
      <c r="F574" s="3" t="n">
        <v>0</v>
      </c>
      <c r="G574" s="3">
        <f>F574-E574</f>
        <v/>
      </c>
      <c r="H574" s="4">
        <f>IF(E574=0,"",F574/E574-1)</f>
        <v/>
      </c>
      <c r="I574" t="inlineStr"/>
    </row>
    <row r="575">
      <c r="A575" t="inlineStr">
        <is>
          <t>Organic &amp; inorganic chemicals</t>
        </is>
      </c>
      <c r="B575" t="inlineStr">
        <is>
          <t>29</t>
        </is>
      </c>
      <c r="C575" t="inlineStr">
        <is>
          <t>29412010</t>
        </is>
      </c>
      <c r="D575" t="inlineStr">
        <is>
          <t>STREPTOMYCINS</t>
        </is>
      </c>
      <c r="E575" s="3" t="n">
        <v>0</v>
      </c>
      <c r="F575" s="3" t="n">
        <v>0</v>
      </c>
      <c r="G575" s="3">
        <f>F575-E575</f>
        <v/>
      </c>
      <c r="H575" s="4">
        <f>IF(E575=0,"",F575/E575-1)</f>
        <v/>
      </c>
      <c r="I575" t="inlineStr"/>
    </row>
    <row r="576">
      <c r="A576" t="inlineStr">
        <is>
          <t>Organic &amp; inorganic chemicals</t>
        </is>
      </c>
      <c r="B576" t="inlineStr">
        <is>
          <t>29</t>
        </is>
      </c>
      <c r="C576" t="inlineStr">
        <is>
          <t>29413010</t>
        </is>
      </c>
      <c r="D576" t="inlineStr">
        <is>
          <t>DOXYCYLIME AND ITS SALTS</t>
        </is>
      </c>
      <c r="E576" s="3" t="n">
        <v>0.02</v>
      </c>
      <c r="F576" s="3" t="n">
        <v>0</v>
      </c>
      <c r="G576" s="3">
        <f>F576-E576</f>
        <v/>
      </c>
      <c r="H576" s="4">
        <f>IF(E576=0,"",F576/E576-1)</f>
        <v/>
      </c>
      <c r="I576" t="inlineStr"/>
    </row>
    <row r="577">
      <c r="A577" t="inlineStr">
        <is>
          <t>Organic &amp; inorganic chemicals</t>
        </is>
      </c>
      <c r="B577" t="inlineStr">
        <is>
          <t>29</t>
        </is>
      </c>
      <c r="C577" t="inlineStr">
        <is>
          <t>29414000</t>
        </is>
      </c>
      <c r="D577" t="inlineStr">
        <is>
          <t>CHLORAMPHENICOL AND ITS DRVTVS SLTS THEREOF</t>
        </is>
      </c>
      <c r="E577" s="3" t="n">
        <v>0</v>
      </c>
      <c r="F577" s="3" t="n">
        <v>0</v>
      </c>
      <c r="G577" s="3">
        <f>F577-E577</f>
        <v/>
      </c>
      <c r="H577" s="4">
        <f>IF(E577=0,"",F577/E577-1)</f>
        <v/>
      </c>
      <c r="I577" t="inlineStr"/>
    </row>
    <row r="578">
      <c r="A578" t="inlineStr">
        <is>
          <t>Organic &amp; inorganic chemicals</t>
        </is>
      </c>
      <c r="B578" t="inlineStr">
        <is>
          <t>29</t>
        </is>
      </c>
      <c r="C578" t="inlineStr">
        <is>
          <t>29419011</t>
        </is>
      </c>
      <c r="D578" t="inlineStr">
        <is>
          <t>RIFAMPICIN</t>
        </is>
      </c>
      <c r="E578" s="3" t="n">
        <v>0</v>
      </c>
      <c r="F578" s="3" t="n">
        <v>0</v>
      </c>
      <c r="G578" s="3">
        <f>F578-E578</f>
        <v/>
      </c>
      <c r="H578" s="4">
        <f>IF(E578=0,"",F578/E578-1)</f>
        <v/>
      </c>
      <c r="I578" t="inlineStr"/>
    </row>
    <row r="579">
      <c r="A579" t="inlineStr">
        <is>
          <t>Organic &amp; inorganic chemicals</t>
        </is>
      </c>
      <c r="B579" t="inlineStr">
        <is>
          <t>29</t>
        </is>
      </c>
      <c r="C579" t="inlineStr">
        <is>
          <t>29419019</t>
        </is>
      </c>
      <c r="D579" t="inlineStr">
        <is>
          <t>OTHER RIFAMPICIN AND ITS SALTS</t>
        </is>
      </c>
      <c r="E579" s="3" t="n">
        <v>0</v>
      </c>
      <c r="F579" s="3" t="n">
        <v>0</v>
      </c>
      <c r="G579" s="3">
        <f>F579-E579</f>
        <v/>
      </c>
      <c r="H579" s="4">
        <f>IF(E579=0,"",F579/E579-1)</f>
        <v/>
      </c>
      <c r="I579" t="inlineStr"/>
    </row>
    <row r="580">
      <c r="A580" t="inlineStr">
        <is>
          <t>Organic &amp; inorganic chemicals</t>
        </is>
      </c>
      <c r="B580" t="inlineStr">
        <is>
          <t>29</t>
        </is>
      </c>
      <c r="C580" t="inlineStr">
        <is>
          <t>29419060</t>
        </is>
      </c>
      <c r="D580" t="inlineStr">
        <is>
          <t>NORFLOXACIN AND ITS SALTS</t>
        </is>
      </c>
      <c r="E580" s="3" t="n">
        <v>0.01</v>
      </c>
      <c r="F580" s="3" t="n">
        <v>0</v>
      </c>
      <c r="G580" s="3">
        <f>F580-E580</f>
        <v/>
      </c>
      <c r="H580" s="4">
        <f>IF(E580=0,"",F580/E580-1)</f>
        <v/>
      </c>
      <c r="I580" t="inlineStr"/>
    </row>
    <row r="581">
      <c r="A581" t="inlineStr">
        <is>
          <t>Organic &amp; inorganic chemicals</t>
        </is>
      </c>
      <c r="B581" t="inlineStr">
        <is>
          <t>29</t>
        </is>
      </c>
      <c r="C581" t="inlineStr">
        <is>
          <t>29420025</t>
        </is>
      </c>
      <c r="D581" t="inlineStr">
        <is>
          <t>AMITRYPTYLINE HCL</t>
        </is>
      </c>
      <c r="E581" s="3" t="n">
        <v>0.01</v>
      </c>
      <c r="F581" s="3" t="n">
        <v>0</v>
      </c>
      <c r="G581" s="3">
        <f>F581-E581</f>
        <v/>
      </c>
      <c r="H581" s="4">
        <f>IF(E581=0,"",F581/E581-1)</f>
        <v/>
      </c>
      <c r="I581" t="inlineStr"/>
    </row>
    <row r="582">
      <c r="A582" s="6" t="inlineStr">
        <is>
          <t>Machinery &amp; electronics  —  1085 lines</t>
        </is>
      </c>
      <c r="B582" s="6" t="inlineStr"/>
      <c r="C582" s="6" t="inlineStr"/>
      <c r="D582" s="6" t="inlineStr"/>
      <c r="E582" s="7" t="n">
        <v>2259.01</v>
      </c>
      <c r="F582" s="7" t="n">
        <v>3228.71</v>
      </c>
      <c r="G582" s="7" t="n">
        <v>969.7</v>
      </c>
      <c r="H582" s="8" t="n">
        <v>0.4292588346222499</v>
      </c>
      <c r="I582" s="6" t="inlineStr"/>
    </row>
    <row r="583">
      <c r="A583" t="inlineStr">
        <is>
          <t>Machinery &amp; electronics</t>
        </is>
      </c>
      <c r="B583" t="inlineStr">
        <is>
          <t>84</t>
        </is>
      </c>
      <c r="C583" t="inlineStr">
        <is>
          <t>84818030</t>
        </is>
      </c>
      <c r="D583" t="inlineStr">
        <is>
          <t>INDUSTRIAL VALVES(EXCL PRESSURE-REDUCING VALVES,AND THRMSTCLY CONTRLLD VALVES)</t>
        </is>
      </c>
      <c r="E583" s="3" t="n">
        <v>172.38</v>
      </c>
      <c r="F583" s="3" t="n">
        <v>273.15</v>
      </c>
      <c r="G583" s="3">
        <f>F583-E583</f>
        <v/>
      </c>
      <c r="H583" s="4">
        <f>IF(E583=0,"",F583/E583-1)</f>
        <v/>
      </c>
      <c r="I583" t="inlineStr"/>
    </row>
    <row r="584">
      <c r="A584" t="inlineStr">
        <is>
          <t>Machinery &amp; electronics</t>
        </is>
      </c>
      <c r="B584" t="inlineStr">
        <is>
          <t>85</t>
        </is>
      </c>
      <c r="C584" t="inlineStr">
        <is>
          <t>85049010</t>
        </is>
      </c>
      <c r="D584" t="inlineStr">
        <is>
          <t>PARTS OF TRANSFORMERS</t>
        </is>
      </c>
      <c r="E584" s="3" t="n">
        <v>148.69</v>
      </c>
      <c r="F584" s="3" t="n">
        <v>226.89</v>
      </c>
      <c r="G584" s="3">
        <f>F584-E584</f>
        <v/>
      </c>
      <c r="H584" s="4">
        <f>IF(E584=0,"",F584/E584-1)</f>
        <v/>
      </c>
      <c r="I584" t="inlineStr"/>
    </row>
    <row r="585">
      <c r="A585" t="inlineStr">
        <is>
          <t>Machinery &amp; electronics</t>
        </is>
      </c>
      <c r="B585" t="inlineStr">
        <is>
          <t>85</t>
        </is>
      </c>
      <c r="C585" t="inlineStr">
        <is>
          <t>85441190</t>
        </is>
      </c>
      <c r="D585" t="inlineStr">
        <is>
          <t>OTHER WINDING WIRE OF COPPER EXCL ENAMELLED COPPER</t>
        </is>
      </c>
      <c r="E585" s="3" t="n">
        <v>121.07</v>
      </c>
      <c r="F585" s="3" t="n">
        <v>133.76</v>
      </c>
      <c r="G585" s="3">
        <f>F585-E585</f>
        <v/>
      </c>
      <c r="H585" s="4">
        <f>IF(E585=0,"",F585/E585-1)</f>
        <v/>
      </c>
      <c r="I585" t="inlineStr"/>
    </row>
    <row r="586">
      <c r="A586" t="inlineStr">
        <is>
          <t>Machinery &amp; electronics</t>
        </is>
      </c>
      <c r="B586" t="inlineStr">
        <is>
          <t>84</t>
        </is>
      </c>
      <c r="C586" t="inlineStr">
        <is>
          <t>84749000</t>
        </is>
      </c>
      <c r="D586" t="inlineStr">
        <is>
          <t>PARTS OF MACHNS OF HDG 8474</t>
        </is>
      </c>
      <c r="E586" s="3" t="n">
        <v>88.95</v>
      </c>
      <c r="F586" s="3" t="n">
        <v>95.25</v>
      </c>
      <c r="G586" s="3">
        <f>F586-E586</f>
        <v/>
      </c>
      <c r="H586" s="4">
        <f>IF(E586=0,"",F586/E586-1)</f>
        <v/>
      </c>
      <c r="I586" t="inlineStr"/>
    </row>
    <row r="587">
      <c r="A587" t="inlineStr">
        <is>
          <t>Machinery &amp; electronics</t>
        </is>
      </c>
      <c r="B587" t="inlineStr">
        <is>
          <t>85</t>
        </is>
      </c>
      <c r="C587" t="inlineStr">
        <is>
          <t>85149000</t>
        </is>
      </c>
      <c r="D587" t="inlineStr">
        <is>
          <t>PARTS OF ARTCLS IN HDNG 8514</t>
        </is>
      </c>
      <c r="E587" s="3" t="n">
        <v>30.44</v>
      </c>
      <c r="F587" s="3" t="n">
        <v>75.36</v>
      </c>
      <c r="G587" s="3">
        <f>F587-E587</f>
        <v/>
      </c>
      <c r="H587" s="4">
        <f>IF(E587=0,"",F587/E587-1)</f>
        <v/>
      </c>
      <c r="I587" t="inlineStr"/>
    </row>
    <row r="588">
      <c r="A588" t="inlineStr">
        <is>
          <t>Machinery &amp; electronics</t>
        </is>
      </c>
      <c r="B588" t="inlineStr">
        <is>
          <t>85</t>
        </is>
      </c>
      <c r="C588" t="inlineStr">
        <is>
          <t>85071000</t>
        </is>
      </c>
      <c r="D588" t="inlineStr">
        <is>
          <t>LEAD ACID ACCUMULATORS OF A KIND USED FOR STARTING PISTON ENGINES</t>
        </is>
      </c>
      <c r="E588" s="3" t="n">
        <v>70.73999999999999</v>
      </c>
      <c r="F588" s="3" t="n">
        <v>65.45</v>
      </c>
      <c r="G588" s="3">
        <f>F588-E588</f>
        <v/>
      </c>
      <c r="H588" s="4">
        <f>IF(E588=0,"",F588/E588-1)</f>
        <v/>
      </c>
      <c r="I588" t="inlineStr"/>
    </row>
    <row r="589">
      <c r="A589" t="inlineStr">
        <is>
          <t>Machinery &amp; electronics</t>
        </is>
      </c>
      <c r="B589" t="inlineStr">
        <is>
          <t>85</t>
        </is>
      </c>
      <c r="C589" t="inlineStr">
        <is>
          <t>85372000</t>
        </is>
      </c>
      <c r="D589" t="inlineStr">
        <is>
          <t>BORDS ETC FOR A VOLTAGE&gt;1000 VLTS</t>
        </is>
      </c>
      <c r="E589" s="3" t="n">
        <v>40.56</v>
      </c>
      <c r="F589" s="3" t="n">
        <v>56.99</v>
      </c>
      <c r="G589" s="3">
        <f>F589-E589</f>
        <v/>
      </c>
      <c r="H589" s="4">
        <f>IF(E589=0,"",F589/E589-1)</f>
        <v/>
      </c>
      <c r="I589" t="inlineStr"/>
    </row>
    <row r="590">
      <c r="A590" t="inlineStr">
        <is>
          <t>Machinery &amp; electronics</t>
        </is>
      </c>
      <c r="B590" t="inlineStr">
        <is>
          <t>85</t>
        </is>
      </c>
      <c r="C590" t="inlineStr">
        <is>
          <t>85072000</t>
        </is>
      </c>
      <c r="D590" t="inlineStr">
        <is>
          <t>OTHER LEAD-ACID ACCUMULATORS</t>
        </is>
      </c>
      <c r="E590" s="3" t="n">
        <v>50.4</v>
      </c>
      <c r="F590" s="3" t="n">
        <v>56.82</v>
      </c>
      <c r="G590" s="3">
        <f>F590-E590</f>
        <v/>
      </c>
      <c r="H590" s="4">
        <f>IF(E590=0,"",F590/E590-1)</f>
        <v/>
      </c>
      <c r="I590" t="inlineStr"/>
    </row>
    <row r="591">
      <c r="A591" t="inlineStr">
        <is>
          <t>Machinery &amp; electronics</t>
        </is>
      </c>
      <c r="B591" t="inlineStr">
        <is>
          <t>84</t>
        </is>
      </c>
      <c r="C591" t="inlineStr">
        <is>
          <t>84213920</t>
        </is>
      </c>
      <c r="D591" t="inlineStr">
        <is>
          <t>AIR PURIFIERS OR CLEANERS</t>
        </is>
      </c>
      <c r="E591" s="3" t="n">
        <v>29.49</v>
      </c>
      <c r="F591" s="3" t="n">
        <v>56.1</v>
      </c>
      <c r="G591" s="3">
        <f>F591-E591</f>
        <v/>
      </c>
      <c r="H591" s="4">
        <f>IF(E591=0,"",F591/E591-1)</f>
        <v/>
      </c>
      <c r="I591" t="inlineStr"/>
    </row>
    <row r="592">
      <c r="A592" t="inlineStr">
        <is>
          <t>Machinery &amp; electronics</t>
        </is>
      </c>
      <c r="B592" t="inlineStr">
        <is>
          <t>85</t>
        </is>
      </c>
      <c r="C592" t="inlineStr">
        <is>
          <t>85371090</t>
        </is>
      </c>
      <c r="D592" t="inlineStr">
        <is>
          <t>OTHERS-OF-FOR A VOLTAGE NOT EXCEEDING 1000V</t>
        </is>
      </c>
      <c r="E592" s="3" t="n">
        <v>0</v>
      </c>
      <c r="F592" s="3" t="n">
        <v>55.71</v>
      </c>
      <c r="G592" s="3">
        <f>F592-E592</f>
        <v/>
      </c>
      <c r="H592" s="4">
        <f>IF(E592=0,"",F592/E592-1)</f>
        <v/>
      </c>
      <c r="I592" t="inlineStr"/>
    </row>
    <row r="593">
      <c r="A593" t="inlineStr">
        <is>
          <t>Machinery &amp; electronics</t>
        </is>
      </c>
      <c r="B593" t="inlineStr">
        <is>
          <t>85</t>
        </is>
      </c>
      <c r="C593" t="inlineStr">
        <is>
          <t>85441110</t>
        </is>
      </c>
      <c r="D593" t="inlineStr">
        <is>
          <t>WINDING WIRE OF ENAMELLED COPPER</t>
        </is>
      </c>
      <c r="E593" s="3" t="n">
        <v>33.06</v>
      </c>
      <c r="F593" s="3" t="n">
        <v>51.4</v>
      </c>
      <c r="G593" s="3">
        <f>F593-E593</f>
        <v/>
      </c>
      <c r="H593" s="4">
        <f>IF(E593=0,"",F593/E593-1)</f>
        <v/>
      </c>
      <c r="I593" t="inlineStr"/>
    </row>
    <row r="594">
      <c r="A594" t="inlineStr">
        <is>
          <t>Machinery &amp; electronics</t>
        </is>
      </c>
      <c r="B594" t="inlineStr">
        <is>
          <t>84</t>
        </is>
      </c>
      <c r="C594" t="inlineStr">
        <is>
          <t>84137099</t>
        </is>
      </c>
      <c r="D594" t="inlineStr">
        <is>
          <t>OTHERS-OF-OTHER CENTRIFUGAL PUMPS:</t>
        </is>
      </c>
      <c r="E594" s="3" t="n">
        <v>5.56</v>
      </c>
      <c r="F594" s="3" t="n">
        <v>44.29</v>
      </c>
      <c r="G594" s="3">
        <f>F594-E594</f>
        <v/>
      </c>
      <c r="H594" s="4">
        <f>IF(E594=0,"",F594/E594-1)</f>
        <v/>
      </c>
      <c r="I594" t="inlineStr"/>
    </row>
    <row r="595">
      <c r="A595" t="inlineStr">
        <is>
          <t>Machinery &amp; electronics</t>
        </is>
      </c>
      <c r="B595" t="inlineStr">
        <is>
          <t>84</t>
        </is>
      </c>
      <c r="C595" t="inlineStr">
        <is>
          <t>84283300</t>
        </is>
      </c>
      <c r="D595" t="inlineStr">
        <is>
          <t>OTHR CONTINUOUS ACTION ELEVATRS AND CONVEYRSFOR GOODS/MATERIALS,BELT TYPE</t>
        </is>
      </c>
      <c r="E595" s="3" t="n">
        <v>3.76</v>
      </c>
      <c r="F595" s="3" t="n">
        <v>42.55</v>
      </c>
      <c r="G595" s="3">
        <f>F595-E595</f>
        <v/>
      </c>
      <c r="H595" s="4">
        <f>IF(E595=0,"",F595/E595-1)</f>
        <v/>
      </c>
      <c r="I595" t="inlineStr"/>
    </row>
    <row r="596">
      <c r="A596" t="inlineStr">
        <is>
          <t>Machinery &amp; electronics</t>
        </is>
      </c>
      <c r="B596" t="inlineStr">
        <is>
          <t>84</t>
        </is>
      </c>
      <c r="C596" t="inlineStr">
        <is>
          <t>84282011</t>
        </is>
      </c>
      <c r="D596" t="inlineStr">
        <is>
          <t>CONVEYORS,BELT</t>
        </is>
      </c>
      <c r="E596" s="3" t="n">
        <v>0.48</v>
      </c>
      <c r="F596" s="3" t="n">
        <v>41.76</v>
      </c>
      <c r="G596" s="3">
        <f>F596-E596</f>
        <v/>
      </c>
      <c r="H596" s="4">
        <f>IF(E596=0,"",F596/E596-1)</f>
        <v/>
      </c>
      <c r="I596" t="inlineStr"/>
    </row>
    <row r="597">
      <c r="A597" t="inlineStr">
        <is>
          <t>Machinery &amp; electronics</t>
        </is>
      </c>
      <c r="B597" t="inlineStr">
        <is>
          <t>85</t>
        </is>
      </c>
      <c r="C597" t="inlineStr">
        <is>
          <t>85042200</t>
        </is>
      </c>
      <c r="D597" t="inlineStr">
        <is>
          <t>LQD DIELECTRC TRNSFRMRS HVNG A PWR HNDLNG CAPACITY&gt;650 KVA BUT&lt;=10000 KVA</t>
        </is>
      </c>
      <c r="E597" s="3" t="n">
        <v>5.83</v>
      </c>
      <c r="F597" s="3" t="n">
        <v>36.4</v>
      </c>
      <c r="G597" s="3">
        <f>F597-E597</f>
        <v/>
      </c>
      <c r="H597" s="4">
        <f>IF(E597=0,"",F597/E597-1)</f>
        <v/>
      </c>
      <c r="I597" t="inlineStr"/>
    </row>
    <row r="598">
      <c r="A598" t="inlineStr">
        <is>
          <t>Machinery &amp; electronics</t>
        </is>
      </c>
      <c r="B598" t="inlineStr">
        <is>
          <t>84</t>
        </is>
      </c>
      <c r="C598" t="inlineStr">
        <is>
          <t>84198911</t>
        </is>
      </c>
      <c r="D598" t="inlineStr">
        <is>
          <t>Pressure vessels</t>
        </is>
      </c>
      <c r="E598" s="3" t="n">
        <v>0.31</v>
      </c>
      <c r="F598" s="3" t="n">
        <v>35.71</v>
      </c>
      <c r="G598" s="3">
        <f>F598-E598</f>
        <v/>
      </c>
      <c r="H598" s="4">
        <f>IF(E598=0,"",F598/E598-1)</f>
        <v/>
      </c>
      <c r="I598" t="inlineStr"/>
    </row>
    <row r="599">
      <c r="A599" t="inlineStr">
        <is>
          <t>Machinery &amp; electronics</t>
        </is>
      </c>
      <c r="B599" t="inlineStr">
        <is>
          <t>85</t>
        </is>
      </c>
      <c r="C599" t="inlineStr">
        <is>
          <t>85389000</t>
        </is>
      </c>
      <c r="D599" t="inlineStr">
        <is>
          <t>OTHER PARTS OF HDG 8538</t>
        </is>
      </c>
      <c r="E599" s="3" t="n">
        <v>27.27</v>
      </c>
      <c r="F599" s="3" t="n">
        <v>35.51</v>
      </c>
      <c r="G599" s="3">
        <f>F599-E599</f>
        <v/>
      </c>
      <c r="H599" s="4">
        <f>IF(E599=0,"",F599/E599-1)</f>
        <v/>
      </c>
      <c r="I599" t="inlineStr"/>
    </row>
    <row r="600">
      <c r="A600" t="inlineStr">
        <is>
          <t>Machinery &amp; electronics</t>
        </is>
      </c>
      <c r="B600" t="inlineStr">
        <is>
          <t>84</t>
        </is>
      </c>
      <c r="C600" t="inlineStr">
        <is>
          <t>84314390</t>
        </is>
      </c>
      <c r="D600" t="inlineStr">
        <is>
          <t>PRTS OF BORNG/SNKNG MCHNRY,NOT SLF-PRPLD</t>
        </is>
      </c>
      <c r="E600" s="3" t="n">
        <v>38.67</v>
      </c>
      <c r="F600" s="3" t="n">
        <v>34.71</v>
      </c>
      <c r="G600" s="3">
        <f>F600-E600</f>
        <v/>
      </c>
      <c r="H600" s="4">
        <f>IF(E600=0,"",F600/E600-1)</f>
        <v/>
      </c>
      <c r="I600" t="inlineStr"/>
    </row>
    <row r="601">
      <c r="A601" t="inlineStr">
        <is>
          <t>Machinery &amp; electronics</t>
        </is>
      </c>
      <c r="B601" t="inlineStr">
        <is>
          <t>84</t>
        </is>
      </c>
      <c r="C601" t="inlineStr">
        <is>
          <t>84831099</t>
        </is>
      </c>
      <c r="D601" t="inlineStr">
        <is>
          <t>OTHER TRNSMSN SHFT(INCL CAM AND CRNK SHFT)</t>
        </is>
      </c>
      <c r="E601" s="3" t="n">
        <v>0.96</v>
      </c>
      <c r="F601" s="3" t="n">
        <v>31.16</v>
      </c>
      <c r="G601" s="3">
        <f>F601-E601</f>
        <v/>
      </c>
      <c r="H601" s="4">
        <f>IF(E601=0,"",F601/E601-1)</f>
        <v/>
      </c>
      <c r="I601" t="inlineStr"/>
    </row>
    <row r="602">
      <c r="A602" t="inlineStr">
        <is>
          <t>Machinery &amp; electronics</t>
        </is>
      </c>
      <c r="B602" t="inlineStr">
        <is>
          <t>84</t>
        </is>
      </c>
      <c r="C602" t="inlineStr">
        <is>
          <t>84199090</t>
        </is>
      </c>
      <c r="D602" t="inlineStr">
        <is>
          <t>PRTS OF MCHNRY PLNT AND SMLR LBRTRY EQPMNT ANDOF INSTNTNS/STORG WTR HEATRS (EXCL DOMSTC TYPE)FALLING WTHN HDG NO.8419</t>
        </is>
      </c>
      <c r="E602" s="3" t="n">
        <v>20.37</v>
      </c>
      <c r="F602" s="3" t="n">
        <v>29.16</v>
      </c>
      <c r="G602" s="3">
        <f>F602-E602</f>
        <v/>
      </c>
      <c r="H602" s="4">
        <f>IF(E602=0,"",F602/E602-1)</f>
        <v/>
      </c>
      <c r="I602" t="inlineStr"/>
    </row>
    <row r="603">
      <c r="A603" t="inlineStr">
        <is>
          <t>Machinery &amp; electronics</t>
        </is>
      </c>
      <c r="B603" t="inlineStr">
        <is>
          <t>85</t>
        </is>
      </c>
      <c r="C603" t="inlineStr">
        <is>
          <t>85044090</t>
        </is>
      </c>
      <c r="D603" t="inlineStr">
        <is>
          <t>OTHERS-OF-STATIC CONVERTERS</t>
        </is>
      </c>
      <c r="E603" s="3" t="n">
        <v>13.3</v>
      </c>
      <c r="F603" s="3" t="n">
        <v>27.25</v>
      </c>
      <c r="G603" s="3">
        <f>F603-E603</f>
        <v/>
      </c>
      <c r="H603" s="4">
        <f>IF(E603=0,"",F603/E603-1)</f>
        <v/>
      </c>
      <c r="I603" t="inlineStr"/>
    </row>
    <row r="604">
      <c r="A604" t="inlineStr">
        <is>
          <t>Machinery &amp; electronics</t>
        </is>
      </c>
      <c r="B604" t="inlineStr">
        <is>
          <t>84</t>
        </is>
      </c>
      <c r="C604" t="inlineStr">
        <is>
          <t>84219900</t>
        </is>
      </c>
      <c r="D604" t="inlineStr">
        <is>
          <t>*OTHR PARTS OF FLTRNG/PURFYNG MCHNRY</t>
        </is>
      </c>
      <c r="E604" s="3" t="n">
        <v>21.95</v>
      </c>
      <c r="F604" s="3" t="n">
        <v>27</v>
      </c>
      <c r="G604" s="3">
        <f>F604-E604</f>
        <v/>
      </c>
      <c r="H604" s="4">
        <f>IF(E604=0,"",F604/E604-1)</f>
        <v/>
      </c>
      <c r="I604" t="inlineStr"/>
    </row>
    <row r="605">
      <c r="A605" t="inlineStr">
        <is>
          <t>Machinery &amp; electronics</t>
        </is>
      </c>
      <c r="B605" t="inlineStr">
        <is>
          <t>84</t>
        </is>
      </c>
      <c r="C605" t="inlineStr">
        <is>
          <t>84194020</t>
        </is>
      </c>
      <c r="D605" t="inlineStr">
        <is>
          <t>DISTILLING APPARATUS</t>
        </is>
      </c>
      <c r="E605" s="3" t="n">
        <v>9.01</v>
      </c>
      <c r="F605" s="3" t="n">
        <v>26.64</v>
      </c>
      <c r="G605" s="3">
        <f>F605-E605</f>
        <v/>
      </c>
      <c r="H605" s="4">
        <f>IF(E605=0,"",F605/E605-1)</f>
        <v/>
      </c>
      <c r="I605" t="inlineStr"/>
    </row>
    <row r="606">
      <c r="A606" t="inlineStr">
        <is>
          <t>Machinery &amp; electronics</t>
        </is>
      </c>
      <c r="B606" t="inlineStr">
        <is>
          <t>84</t>
        </is>
      </c>
      <c r="C606" t="inlineStr">
        <is>
          <t>84137091</t>
        </is>
      </c>
      <c r="D606" t="inlineStr">
        <is>
          <t>SINGL AND MULTISTAGE CHMCL AND PROCESS PUMPS</t>
        </is>
      </c>
      <c r="E606" s="3" t="n">
        <v>13.54</v>
      </c>
      <c r="F606" s="3" t="n">
        <v>26.33</v>
      </c>
      <c r="G606" s="3">
        <f>F606-E606</f>
        <v/>
      </c>
      <c r="H606" s="4">
        <f>IF(E606=0,"",F606/E606-1)</f>
        <v/>
      </c>
      <c r="I606" t="inlineStr"/>
    </row>
    <row r="607">
      <c r="A607" t="inlineStr">
        <is>
          <t>Machinery &amp; electronics</t>
        </is>
      </c>
      <c r="B607" t="inlineStr">
        <is>
          <t>84</t>
        </is>
      </c>
      <c r="C607" t="inlineStr">
        <is>
          <t>84818090</t>
        </is>
      </c>
      <c r="D607" t="inlineStr">
        <is>
          <t>OTHERS-OF-OTHER APPLIANCES :</t>
        </is>
      </c>
      <c r="E607" s="3" t="n">
        <v>15.49</v>
      </c>
      <c r="F607" s="3" t="n">
        <v>25.83</v>
      </c>
      <c r="G607" s="3">
        <f>F607-E607</f>
        <v/>
      </c>
      <c r="H607" s="4">
        <f>IF(E607=0,"",F607/E607-1)</f>
        <v/>
      </c>
      <c r="I607" t="inlineStr"/>
    </row>
    <row r="608">
      <c r="A608" t="inlineStr">
        <is>
          <t>Machinery &amp; electronics</t>
        </is>
      </c>
      <c r="B608" t="inlineStr">
        <is>
          <t>85</t>
        </is>
      </c>
      <c r="C608" t="inlineStr">
        <is>
          <t>85073000</t>
        </is>
      </c>
      <c r="D608" t="inlineStr">
        <is>
          <t>NICKEL-CADMIUM ACCUMULATORS</t>
        </is>
      </c>
      <c r="E608" s="3" t="n">
        <v>15.59</v>
      </c>
      <c r="F608" s="3" t="n">
        <v>25.56</v>
      </c>
      <c r="G608" s="3">
        <f>F608-E608</f>
        <v/>
      </c>
      <c r="H608" s="4">
        <f>IF(E608=0,"",F608/E608-1)</f>
        <v/>
      </c>
      <c r="I608" t="inlineStr"/>
    </row>
    <row r="609">
      <c r="A609" t="inlineStr">
        <is>
          <t>Machinery &amp; electronics</t>
        </is>
      </c>
      <c r="B609" t="inlineStr">
        <is>
          <t>84</t>
        </is>
      </c>
      <c r="C609" t="inlineStr">
        <is>
          <t>84212190</t>
        </is>
      </c>
      <c r="D609" t="inlineStr">
        <is>
          <t>OTHERS-OF-FLTRNG AND PURIFYING MCHNRY AND APPRTS FR WTR</t>
        </is>
      </c>
      <c r="E609" s="3" t="n">
        <v>17.1</v>
      </c>
      <c r="F609" s="3" t="n">
        <v>25.43</v>
      </c>
      <c r="G609" s="3">
        <f>F609-E609</f>
        <v/>
      </c>
      <c r="H609" s="4">
        <f>IF(E609=0,"",F609/E609-1)</f>
        <v/>
      </c>
      <c r="I609" t="inlineStr"/>
    </row>
    <row r="610">
      <c r="A610" t="inlineStr">
        <is>
          <t>Machinery &amp; electronics</t>
        </is>
      </c>
      <c r="B610" t="inlineStr">
        <is>
          <t>84</t>
        </is>
      </c>
      <c r="C610" t="inlineStr">
        <is>
          <t>84224000</t>
        </is>
      </c>
      <c r="D610" t="inlineStr">
        <is>
          <t>OTHR PACKNG/WRAPNG MACNRY INCL HEAT-SHRINK WRAPNG MACHNRY</t>
        </is>
      </c>
      <c r="E610" s="3" t="n">
        <v>4.02</v>
      </c>
      <c r="F610" s="3" t="n">
        <v>24.67</v>
      </c>
      <c r="G610" s="3">
        <f>F610-E610</f>
        <v/>
      </c>
      <c r="H610" s="4">
        <f>IF(E610=0,"",F610/E610-1)</f>
        <v/>
      </c>
      <c r="I610" t="inlineStr"/>
    </row>
    <row r="611">
      <c r="A611" t="inlineStr">
        <is>
          <t>Machinery &amp; electronics</t>
        </is>
      </c>
      <c r="B611" t="inlineStr">
        <is>
          <t>84</t>
        </is>
      </c>
      <c r="C611" t="inlineStr">
        <is>
          <t>84145930</t>
        </is>
      </c>
      <c r="D611" t="inlineStr">
        <is>
          <t>INDUSTRIAL FANS BLOWERS AND THE LIKE</t>
        </is>
      </c>
      <c r="E611" s="3" t="n">
        <v>4.36</v>
      </c>
      <c r="F611" s="3" t="n">
        <v>24.49</v>
      </c>
      <c r="G611" s="3">
        <f>F611-E611</f>
        <v/>
      </c>
      <c r="H611" s="4">
        <f>IF(E611=0,"",F611/E611-1)</f>
        <v/>
      </c>
      <c r="I611" t="inlineStr"/>
    </row>
    <row r="612">
      <c r="A612" t="inlineStr">
        <is>
          <t>Machinery &amp; electronics</t>
        </is>
      </c>
      <c r="B612" t="inlineStr">
        <is>
          <t>84</t>
        </is>
      </c>
      <c r="C612" t="inlineStr">
        <is>
          <t>84798999</t>
        </is>
      </c>
      <c r="D612" t="inlineStr">
        <is>
          <t>OTHERS-OF-OTHR MCHN ANDMCHNCL APPLNCS OF HDG 8479</t>
        </is>
      </c>
      <c r="E612" s="3" t="n">
        <v>30.72</v>
      </c>
      <c r="F612" s="3" t="n">
        <v>24.37</v>
      </c>
      <c r="G612" s="3">
        <f>F612-E612</f>
        <v/>
      </c>
      <c r="H612" s="4">
        <f>IF(E612=0,"",F612/E612-1)</f>
        <v/>
      </c>
      <c r="I612" t="inlineStr"/>
    </row>
    <row r="613">
      <c r="A613" t="inlineStr">
        <is>
          <t>Machinery &amp; electronics</t>
        </is>
      </c>
      <c r="B613" t="inlineStr">
        <is>
          <t>84</t>
        </is>
      </c>
      <c r="C613" t="inlineStr">
        <is>
          <t>84559000</t>
        </is>
      </c>
      <c r="D613" t="inlineStr">
        <is>
          <t>OTHER PARTS OF MTL ROLLING MILLS</t>
        </is>
      </c>
      <c r="E613" s="3" t="n">
        <v>27.37</v>
      </c>
      <c r="F613" s="3" t="n">
        <v>24.32</v>
      </c>
      <c r="G613" s="3">
        <f>F613-E613</f>
        <v/>
      </c>
      <c r="H613" s="4">
        <f>IF(E613=0,"",F613/E613-1)</f>
        <v/>
      </c>
      <c r="I613" t="inlineStr"/>
    </row>
    <row r="614">
      <c r="A614" t="inlineStr">
        <is>
          <t>Machinery &amp; electronics</t>
        </is>
      </c>
      <c r="B614" t="inlineStr">
        <is>
          <t>84</t>
        </is>
      </c>
      <c r="C614" t="inlineStr">
        <is>
          <t>84148090</t>
        </is>
      </c>
      <c r="D614" t="inlineStr">
        <is>
          <t>OTHERS-OF-OTHER PUMPS,COMPRESSORS ETC</t>
        </is>
      </c>
      <c r="E614" s="3" t="n">
        <v>9.25</v>
      </c>
      <c r="F614" s="3" t="n">
        <v>24.04</v>
      </c>
      <c r="G614" s="3">
        <f>F614-E614</f>
        <v/>
      </c>
      <c r="H614" s="4">
        <f>IF(E614=0,"",F614/E614-1)</f>
        <v/>
      </c>
      <c r="I614" t="inlineStr"/>
    </row>
    <row r="615">
      <c r="A615" t="inlineStr">
        <is>
          <t>Machinery &amp; electronics</t>
        </is>
      </c>
      <c r="B615" t="inlineStr">
        <is>
          <t>84</t>
        </is>
      </c>
      <c r="C615" t="inlineStr">
        <is>
          <t>84819090</t>
        </is>
      </c>
      <c r="D615" t="inlineStr">
        <is>
          <t>OTHER PARTS OF THE ITEMS UNDR HDG 8481</t>
        </is>
      </c>
      <c r="E615" s="3" t="n">
        <v>17.96</v>
      </c>
      <c r="F615" s="3" t="n">
        <v>22.77</v>
      </c>
      <c r="G615" s="3">
        <f>F615-E615</f>
        <v/>
      </c>
      <c r="H615" s="4">
        <f>IF(E615=0,"",F615/E615-1)</f>
        <v/>
      </c>
      <c r="I615" t="inlineStr"/>
    </row>
    <row r="616">
      <c r="A616" t="inlineStr">
        <is>
          <t>Machinery &amp; electronics</t>
        </is>
      </c>
      <c r="B616" t="inlineStr">
        <is>
          <t>84</t>
        </is>
      </c>
      <c r="C616" t="inlineStr">
        <is>
          <t>84295900</t>
        </is>
      </c>
      <c r="D616" t="inlineStr">
        <is>
          <t>OTHER MCHNCL SHOVLS,EXCVTRS AND SHOVL LOADRS</t>
        </is>
      </c>
      <c r="E616" s="3" t="n">
        <v>15.65</v>
      </c>
      <c r="F616" s="3" t="n">
        <v>22.19</v>
      </c>
      <c r="G616" s="3">
        <f>F616-E616</f>
        <v/>
      </c>
      <c r="H616" s="4">
        <f>IF(E616=0,"",F616/E616-1)</f>
        <v/>
      </c>
      <c r="I616" t="inlineStr"/>
    </row>
    <row r="617">
      <c r="A617" t="inlineStr">
        <is>
          <t>Machinery &amp; electronics</t>
        </is>
      </c>
      <c r="B617" t="inlineStr">
        <is>
          <t>84</t>
        </is>
      </c>
      <c r="C617" t="inlineStr">
        <is>
          <t>84811000</t>
        </is>
      </c>
      <c r="D617" t="inlineStr">
        <is>
          <t>PRESSURE-REDUCING VALVES</t>
        </is>
      </c>
      <c r="E617" s="3" t="n">
        <v>17.5</v>
      </c>
      <c r="F617" s="3" t="n">
        <v>21.94</v>
      </c>
      <c r="G617" s="3">
        <f>F617-E617</f>
        <v/>
      </c>
      <c r="H617" s="4">
        <f>IF(E617=0,"",F617/E617-1)</f>
        <v/>
      </c>
      <c r="I617" t="inlineStr"/>
    </row>
    <row r="618">
      <c r="A618" t="inlineStr">
        <is>
          <t>Machinery &amp; electronics</t>
        </is>
      </c>
      <c r="B618" t="inlineStr">
        <is>
          <t>84</t>
        </is>
      </c>
      <c r="C618" t="inlineStr">
        <is>
          <t>84137010</t>
        </is>
      </c>
      <c r="D618" t="inlineStr">
        <is>
          <t>OTHERS CENTRIFUGAL PUMPS PRIMARILY DESIGNED TO HANDLE WATER</t>
        </is>
      </c>
      <c r="E618" s="3" t="n">
        <v>27.78</v>
      </c>
      <c r="F618" s="3" t="n">
        <v>21.89</v>
      </c>
      <c r="G618" s="3">
        <f>F618-E618</f>
        <v/>
      </c>
      <c r="H618" s="4">
        <f>IF(E618=0,"",F618/E618-1)</f>
        <v/>
      </c>
      <c r="I618" t="inlineStr"/>
    </row>
    <row r="619">
      <c r="A619" t="inlineStr">
        <is>
          <t>Machinery &amp; electronics</t>
        </is>
      </c>
      <c r="B619" t="inlineStr">
        <is>
          <t>85</t>
        </is>
      </c>
      <c r="C619" t="inlineStr">
        <is>
          <t>85042310</t>
        </is>
      </c>
      <c r="D619" t="inlineStr">
        <is>
          <t>LQD DIELECTRC TRNSFRMRS HVNG A PWR HNDLNG CAPACITY&gt;10000 KVA AND UPTO 50000 KVA</t>
        </is>
      </c>
      <c r="E619" s="3" t="n">
        <v>2.85</v>
      </c>
      <c r="F619" s="3" t="n">
        <v>21.82</v>
      </c>
      <c r="G619" s="3">
        <f>F619-E619</f>
        <v/>
      </c>
      <c r="H619" s="4">
        <f>IF(E619=0,"",F619/E619-1)</f>
        <v/>
      </c>
      <c r="I619" t="inlineStr"/>
    </row>
    <row r="620">
      <c r="A620" t="inlineStr">
        <is>
          <t>Machinery &amp; electronics</t>
        </is>
      </c>
      <c r="B620" t="inlineStr">
        <is>
          <t>84</t>
        </is>
      </c>
      <c r="C620" t="inlineStr">
        <is>
          <t>84295200</t>
        </is>
      </c>
      <c r="D620" t="inlineStr">
        <is>
          <t>MCHNRY WTH A 360 DGR. RVLVNG SUPR-STRCTR</t>
        </is>
      </c>
      <c r="E620" s="3" t="n">
        <v>18.47</v>
      </c>
      <c r="F620" s="3" t="n">
        <v>21.52</v>
      </c>
      <c r="G620" s="3">
        <f>F620-E620</f>
        <v/>
      </c>
      <c r="H620" s="4">
        <f>IF(E620=0,"",F620/E620-1)</f>
        <v/>
      </c>
      <c r="I620" t="inlineStr"/>
    </row>
    <row r="621">
      <c r="A621" t="inlineStr">
        <is>
          <t>Machinery &amp; electronics</t>
        </is>
      </c>
      <c r="B621" t="inlineStr">
        <is>
          <t>84</t>
        </is>
      </c>
      <c r="C621" t="inlineStr">
        <is>
          <t>84198917</t>
        </is>
      </c>
      <c r="D621" t="inlineStr">
        <is>
          <t>Other chemical storage tanks</t>
        </is>
      </c>
      <c r="E621" s="3" t="n">
        <v>0.02</v>
      </c>
      <c r="F621" s="3" t="n">
        <v>20.69</v>
      </c>
      <c r="G621" s="3">
        <f>F621-E621</f>
        <v/>
      </c>
      <c r="H621" s="4">
        <f>IF(E621=0,"",F621/E621-1)</f>
        <v/>
      </c>
      <c r="I621" t="inlineStr"/>
    </row>
    <row r="622">
      <c r="A622" t="inlineStr">
        <is>
          <t>Machinery &amp; electronics</t>
        </is>
      </c>
      <c r="B622" t="inlineStr">
        <is>
          <t>85</t>
        </is>
      </c>
      <c r="C622" t="inlineStr">
        <is>
          <t>85441990</t>
        </is>
      </c>
      <c r="D622" t="inlineStr">
        <is>
          <t>OTHER WINDING WIRES OF OTHR METLS/SUBSTNCE EXCL COPPER OTH THN PLASTIC, RUBBER INSULATED AND ASBESTOS COVERED</t>
        </is>
      </c>
      <c r="E622" s="3" t="n">
        <v>10.72</v>
      </c>
      <c r="F622" s="3" t="n">
        <v>20.48</v>
      </c>
      <c r="G622" s="3">
        <f>F622-E622</f>
        <v/>
      </c>
      <c r="H622" s="4">
        <f>IF(E622=0,"",F622/E622-1)</f>
        <v/>
      </c>
      <c r="I622" t="inlineStr"/>
    </row>
    <row r="623">
      <c r="A623" t="inlineStr">
        <is>
          <t>Machinery &amp; electronics</t>
        </is>
      </c>
      <c r="B623" t="inlineStr">
        <is>
          <t>84</t>
        </is>
      </c>
      <c r="C623" t="inlineStr">
        <is>
          <t>84799090</t>
        </is>
      </c>
      <c r="D623" t="inlineStr">
        <is>
          <t>PRTS OF OTHR MCHNRY AND MCHNCL APPLNCS,HVNG INDVDL FUNCTNS</t>
        </is>
      </c>
      <c r="E623" s="3" t="n">
        <v>10.68</v>
      </c>
      <c r="F623" s="3" t="n">
        <v>19.78</v>
      </c>
      <c r="G623" s="3">
        <f>F623-E623</f>
        <v/>
      </c>
      <c r="H623" s="4">
        <f>IF(E623=0,"",F623/E623-1)</f>
        <v/>
      </c>
      <c r="I623" t="inlineStr"/>
    </row>
    <row r="624">
      <c r="A624" t="inlineStr">
        <is>
          <t>Machinery &amp; electronics</t>
        </is>
      </c>
      <c r="B624" t="inlineStr">
        <is>
          <t>84</t>
        </is>
      </c>
      <c r="C624" t="inlineStr">
        <is>
          <t>84304110</t>
        </is>
      </c>
      <c r="D624" t="inlineStr">
        <is>
          <t>TUBE WELL DRLLNG AND CORE DRLLNG MCHNRY</t>
        </is>
      </c>
      <c r="E624" s="3" t="n">
        <v>11.48</v>
      </c>
      <c r="F624" s="3" t="n">
        <v>19.72</v>
      </c>
      <c r="G624" s="3">
        <f>F624-E624</f>
        <v/>
      </c>
      <c r="H624" s="4">
        <f>IF(E624=0,"",F624/E624-1)</f>
        <v/>
      </c>
      <c r="I624" t="inlineStr"/>
    </row>
    <row r="625">
      <c r="A625" t="inlineStr">
        <is>
          <t>Machinery &amp; electronics</t>
        </is>
      </c>
      <c r="B625" t="inlineStr">
        <is>
          <t>84</t>
        </is>
      </c>
      <c r="C625" t="inlineStr">
        <is>
          <t>84198919</t>
        </is>
      </c>
      <c r="D625" t="inlineStr">
        <is>
          <t>OTHERS-OF-OTHR MACHINERY,PLANT AND EQUIPMNT OF HDG8419</t>
        </is>
      </c>
      <c r="E625" s="3" t="n">
        <v>0.92</v>
      </c>
      <c r="F625" s="3" t="n">
        <v>19.39</v>
      </c>
      <c r="G625" s="3">
        <f>F625-E625</f>
        <v/>
      </c>
      <c r="H625" s="4">
        <f>IF(E625=0,"",F625/E625-1)</f>
        <v/>
      </c>
      <c r="I625" t="inlineStr"/>
    </row>
    <row r="626">
      <c r="A626" t="inlineStr">
        <is>
          <t>Machinery &amp; electronics</t>
        </is>
      </c>
      <c r="B626" t="inlineStr">
        <is>
          <t>84</t>
        </is>
      </c>
      <c r="C626" t="inlineStr">
        <is>
          <t>84294020</t>
        </is>
      </c>
      <c r="D626" t="inlineStr">
        <is>
          <t>ROAD ROLLERS ABOVE 5 TONNE CAPACITY</t>
        </is>
      </c>
      <c r="E626" s="3" t="n">
        <v>6.71</v>
      </c>
      <c r="F626" s="3" t="n">
        <v>19.09</v>
      </c>
      <c r="G626" s="3">
        <f>F626-E626</f>
        <v/>
      </c>
      <c r="H626" s="4">
        <f>IF(E626=0,"",F626/E626-1)</f>
        <v/>
      </c>
      <c r="I626" t="inlineStr"/>
    </row>
    <row r="627">
      <c r="A627" t="inlineStr">
        <is>
          <t>Machinery &amp; electronics</t>
        </is>
      </c>
      <c r="B627" t="inlineStr">
        <is>
          <t>84</t>
        </is>
      </c>
      <c r="C627" t="inlineStr">
        <is>
          <t>84261100</t>
        </is>
      </c>
      <c r="D627" t="inlineStr">
        <is>
          <t>OVERHEAD TRAVELLING CRANES ON FXD SUPPORT</t>
        </is>
      </c>
      <c r="E627" s="3" t="n">
        <v>1.94</v>
      </c>
      <c r="F627" s="3" t="n">
        <v>18.8</v>
      </c>
      <c r="G627" s="3">
        <f>F627-E627</f>
        <v/>
      </c>
      <c r="H627" s="4">
        <f>IF(E627=0,"",F627/E627-1)</f>
        <v/>
      </c>
      <c r="I627" t="inlineStr"/>
    </row>
    <row r="628">
      <c r="A628" t="inlineStr">
        <is>
          <t>Machinery &amp; electronics</t>
        </is>
      </c>
      <c r="B628" t="inlineStr">
        <is>
          <t>84</t>
        </is>
      </c>
      <c r="C628" t="inlineStr">
        <is>
          <t>84139190</t>
        </is>
      </c>
      <c r="D628" t="inlineStr">
        <is>
          <t>OTHERS-OF-PARTS OF PUMPS</t>
        </is>
      </c>
      <c r="E628" s="3" t="n">
        <v>6.92</v>
      </c>
      <c r="F628" s="3" t="n">
        <v>18.14</v>
      </c>
      <c r="G628" s="3">
        <f>F628-E628</f>
        <v/>
      </c>
      <c r="H628" s="4">
        <f>IF(E628=0,"",F628/E628-1)</f>
        <v/>
      </c>
      <c r="I628" t="inlineStr"/>
    </row>
    <row r="629">
      <c r="A629" t="inlineStr">
        <is>
          <t>Machinery &amp; electronics</t>
        </is>
      </c>
      <c r="B629" t="inlineStr">
        <is>
          <t>84</t>
        </is>
      </c>
      <c r="C629" t="inlineStr">
        <is>
          <t>84314990</t>
        </is>
      </c>
      <c r="D629" t="inlineStr">
        <is>
          <t>PRTS OF OTHR MACNRY OF HD 8426,8429,8430</t>
        </is>
      </c>
      <c r="E629" s="3" t="n">
        <v>8.94</v>
      </c>
      <c r="F629" s="3" t="n">
        <v>17.9</v>
      </c>
      <c r="G629" s="3">
        <f>F629-E629</f>
        <v/>
      </c>
      <c r="H629" s="4">
        <f>IF(E629=0,"",F629/E629-1)</f>
        <v/>
      </c>
      <c r="I629" t="inlineStr"/>
    </row>
    <row r="630">
      <c r="A630" t="inlineStr">
        <is>
          <t>Machinery &amp; electronics</t>
        </is>
      </c>
      <c r="B630" t="inlineStr">
        <is>
          <t>84</t>
        </is>
      </c>
      <c r="C630" t="inlineStr">
        <is>
          <t>84295100</t>
        </is>
      </c>
      <c r="D630" t="inlineStr">
        <is>
          <t>FRONT-END SHOVEL LOADERS</t>
        </is>
      </c>
      <c r="E630" s="3" t="n">
        <v>7.25</v>
      </c>
      <c r="F630" s="3" t="n">
        <v>17.78</v>
      </c>
      <c r="G630" s="3">
        <f>F630-E630</f>
        <v/>
      </c>
      <c r="H630" s="4">
        <f>IF(E630=0,"",F630/E630-1)</f>
        <v/>
      </c>
      <c r="I630" t="inlineStr"/>
    </row>
    <row r="631">
      <c r="A631" t="inlineStr">
        <is>
          <t>Machinery &amp; electronics</t>
        </is>
      </c>
      <c r="B631" t="inlineStr">
        <is>
          <t>85</t>
        </is>
      </c>
      <c r="C631" t="inlineStr">
        <is>
          <t>85015310</t>
        </is>
      </c>
      <c r="D631" t="inlineStr">
        <is>
          <t>A.C. SQUIRREL CAGE INDUCTION MOTORS, 3 PHASE TYPE</t>
        </is>
      </c>
      <c r="E631" s="3" t="n">
        <v>7.79</v>
      </c>
      <c r="F631" s="3" t="n">
        <v>16.86</v>
      </c>
      <c r="G631" s="3">
        <f>F631-E631</f>
        <v/>
      </c>
      <c r="H631" s="4">
        <f>IF(E631=0,"",F631/E631-1)</f>
        <v/>
      </c>
      <c r="I631" t="inlineStr"/>
    </row>
    <row r="632">
      <c r="A632" t="inlineStr">
        <is>
          <t>Machinery &amp; electronics</t>
        </is>
      </c>
      <c r="B632" t="inlineStr">
        <is>
          <t>85</t>
        </is>
      </c>
      <c r="C632" t="inlineStr">
        <is>
          <t>85451100</t>
        </is>
      </c>
      <c r="D632" t="inlineStr">
        <is>
          <t>ELECTRODES OF A KIND USED FOR FURNACES</t>
        </is>
      </c>
      <c r="E632" s="3" t="n">
        <v>25.79</v>
      </c>
      <c r="F632" s="3" t="n">
        <v>16.67</v>
      </c>
      <c r="G632" s="3">
        <f>F632-E632</f>
        <v/>
      </c>
      <c r="H632" s="4">
        <f>IF(E632=0,"",F632/E632-1)</f>
        <v/>
      </c>
      <c r="I632" t="inlineStr"/>
    </row>
    <row r="633">
      <c r="A633" t="inlineStr">
        <is>
          <t>Machinery &amp; electronics</t>
        </is>
      </c>
      <c r="B633" t="inlineStr">
        <is>
          <t>84</t>
        </is>
      </c>
      <c r="C633" t="inlineStr">
        <is>
          <t>84149090</t>
        </is>
      </c>
      <c r="D633" t="inlineStr">
        <is>
          <t>OTHERS-OF-PRTS OF AIR/VACUM PUMPS,CMPRSSRS AND FANS</t>
        </is>
      </c>
      <c r="E633" s="3" t="n">
        <v>2.4</v>
      </c>
      <c r="F633" s="3" t="n">
        <v>16.3</v>
      </c>
      <c r="G633" s="3">
        <f>F633-E633</f>
        <v/>
      </c>
      <c r="H633" s="4">
        <f>IF(E633=0,"",F633/E633-1)</f>
        <v/>
      </c>
      <c r="I633" t="inlineStr"/>
    </row>
    <row r="634">
      <c r="A634" t="inlineStr">
        <is>
          <t>Machinery &amp; electronics</t>
        </is>
      </c>
      <c r="B634" t="inlineStr">
        <is>
          <t>85</t>
        </is>
      </c>
      <c r="C634" t="inlineStr">
        <is>
          <t>85444920</t>
        </is>
      </c>
      <c r="D634" t="inlineStr">
        <is>
          <t>PLSTIC INSLTD CNDCTRS FR &lt;= 1000V NOT FITTED WITH CONNECTORS</t>
        </is>
      </c>
      <c r="E634" s="3" t="n">
        <v>6.95</v>
      </c>
      <c r="F634" s="3" t="n">
        <v>16.04</v>
      </c>
      <c r="G634" s="3">
        <f>F634-E634</f>
        <v/>
      </c>
      <c r="H634" s="4">
        <f>IF(E634=0,"",F634/E634-1)</f>
        <v/>
      </c>
      <c r="I634" t="inlineStr"/>
    </row>
    <row r="635">
      <c r="A635" t="inlineStr">
        <is>
          <t>Machinery &amp; electronics</t>
        </is>
      </c>
      <c r="B635" t="inlineStr">
        <is>
          <t>85</t>
        </is>
      </c>
      <c r="C635" t="inlineStr">
        <is>
          <t>85381010</t>
        </is>
      </c>
      <c r="D635" t="inlineStr">
        <is>
          <t>BORDS,PANELS,CONSOLES ETC.FR INDSTRL USE</t>
        </is>
      </c>
      <c r="E635" s="3" t="n">
        <v>22.07</v>
      </c>
      <c r="F635" s="3" t="n">
        <v>15.93</v>
      </c>
      <c r="G635" s="3">
        <f>F635-E635</f>
        <v/>
      </c>
      <c r="H635" s="4">
        <f>IF(E635=0,"",F635/E635-1)</f>
        <v/>
      </c>
      <c r="I635" t="inlineStr"/>
    </row>
    <row r="636">
      <c r="A636" t="inlineStr">
        <is>
          <t>Machinery &amp; electronics</t>
        </is>
      </c>
      <c r="B636" t="inlineStr">
        <is>
          <t>84</t>
        </is>
      </c>
      <c r="C636" t="inlineStr">
        <is>
          <t>84223000</t>
        </is>
      </c>
      <c r="D636" t="inlineStr">
        <is>
          <t>MCHNRY FR FILLNG,CLOSNG,SEALNG,CAPSULNG OR LABELLING BOTTLES,CANS,BOXES,BAGS/OTHR CONTAINERS;MCHNRY FOR AERATING BEVER</t>
        </is>
      </c>
      <c r="E636" s="3" t="n">
        <v>10.05</v>
      </c>
      <c r="F636" s="3" t="n">
        <v>15.52</v>
      </c>
      <c r="G636" s="3">
        <f>F636-E636</f>
        <v/>
      </c>
      <c r="H636" s="4">
        <f>IF(E636=0,"",F636/E636-1)</f>
        <v/>
      </c>
      <c r="I636" t="inlineStr"/>
    </row>
    <row r="637">
      <c r="A637" t="inlineStr">
        <is>
          <t>Machinery &amp; electronics</t>
        </is>
      </c>
      <c r="B637" t="inlineStr">
        <is>
          <t>85</t>
        </is>
      </c>
      <c r="C637" t="inlineStr">
        <is>
          <t>85371010</t>
        </is>
      </c>
      <c r="D637" t="inlineStr">
        <is>
          <t>FOR USE IN GOODS OF CHAPTER 88 OR 89 OR 93</t>
        </is>
      </c>
      <c r="E637" s="3" t="n">
        <v>0</v>
      </c>
      <c r="F637" s="3" t="n">
        <v>14.22</v>
      </c>
      <c r="G637" s="3">
        <f>F637-E637</f>
        <v/>
      </c>
      <c r="H637" s="4">
        <f>IF(E637=0,"",F637/E637-1)</f>
        <v/>
      </c>
      <c r="I637" t="inlineStr"/>
    </row>
    <row r="638">
      <c r="A638" t="inlineStr">
        <is>
          <t>Machinery &amp; electronics</t>
        </is>
      </c>
      <c r="B638" t="inlineStr">
        <is>
          <t>85</t>
        </is>
      </c>
      <c r="C638" t="inlineStr">
        <is>
          <t>85462019</t>
        </is>
      </c>
      <c r="D638" t="inlineStr">
        <is>
          <t>PORCELAIN DISCS AND STRINGS &gt;= 6.6 KV</t>
        </is>
      </c>
      <c r="E638" s="3" t="n">
        <v>0.01</v>
      </c>
      <c r="F638" s="3" t="n">
        <v>13.42</v>
      </c>
      <c r="G638" s="3">
        <f>F638-E638</f>
        <v/>
      </c>
      <c r="H638" s="4">
        <f>IF(E638=0,"",F638/E638-1)</f>
        <v/>
      </c>
      <c r="I638" t="inlineStr"/>
    </row>
    <row r="639">
      <c r="A639" t="inlineStr">
        <is>
          <t>Machinery &amp; electronics</t>
        </is>
      </c>
      <c r="B639" t="inlineStr">
        <is>
          <t>84</t>
        </is>
      </c>
      <c r="C639" t="inlineStr">
        <is>
          <t>84195099</t>
        </is>
      </c>
      <c r="D639" t="inlineStr">
        <is>
          <t>Other Heat Exchange Units, Other</t>
        </is>
      </c>
      <c r="E639" s="3" t="n">
        <v>6.41</v>
      </c>
      <c r="F639" s="3" t="n">
        <v>13.17</v>
      </c>
      <c r="G639" s="3">
        <f>F639-E639</f>
        <v/>
      </c>
      <c r="H639" s="4">
        <f>IF(E639=0,"",F639/E639-1)</f>
        <v/>
      </c>
      <c r="I639" t="inlineStr"/>
    </row>
    <row r="640">
      <c r="A640" t="inlineStr">
        <is>
          <t>Machinery &amp; electronics</t>
        </is>
      </c>
      <c r="B640" t="inlineStr">
        <is>
          <t>85</t>
        </is>
      </c>
      <c r="C640" t="inlineStr">
        <is>
          <t>85321000</t>
        </is>
      </c>
      <c r="D640" t="inlineStr">
        <is>
          <t>FXD CPCTRS DSGND FR USE IN 50/60 HZ CRCTS HVNG A REACTIVE PWR HNDLNG CAPACITY OF NT LESS THN 0.5 KVAR(PWR CAPACITORS)</t>
        </is>
      </c>
      <c r="E640" s="3" t="n">
        <v>2.83</v>
      </c>
      <c r="F640" s="3" t="n">
        <v>13</v>
      </c>
      <c r="G640" s="3">
        <f>F640-E640</f>
        <v/>
      </c>
      <c r="H640" s="4">
        <f>IF(E640=0,"",F640/E640-1)</f>
        <v/>
      </c>
      <c r="I640" t="inlineStr"/>
    </row>
    <row r="641">
      <c r="A641" t="inlineStr">
        <is>
          <t>Machinery &amp; electronics</t>
        </is>
      </c>
      <c r="B641" t="inlineStr">
        <is>
          <t>84</t>
        </is>
      </c>
      <c r="C641" t="inlineStr">
        <is>
          <t>84834000</t>
        </is>
      </c>
      <c r="D641" t="inlineStr">
        <is>
          <t>GEARS AND GEARNG,EXCL TOOTHD WHEELS,TRNSMSN ELMNTS PRSNTD SEPRTLY;BALL SCRWS;GEAR BOXSAND SPEED CHNGRS,INCL TORQUE C</t>
        </is>
      </c>
      <c r="E641" s="3" t="n">
        <v>4.44</v>
      </c>
      <c r="F641" s="3" t="n">
        <v>12.92</v>
      </c>
      <c r="G641" s="3">
        <f>F641-E641</f>
        <v/>
      </c>
      <c r="H641" s="4">
        <f>IF(E641=0,"",F641/E641-1)</f>
        <v/>
      </c>
      <c r="I641" t="inlineStr"/>
    </row>
    <row r="642">
      <c r="A642" t="inlineStr">
        <is>
          <t>Machinery &amp; electronics</t>
        </is>
      </c>
      <c r="B642" t="inlineStr">
        <is>
          <t>84</t>
        </is>
      </c>
      <c r="C642" t="inlineStr">
        <is>
          <t>84213990</t>
        </is>
      </c>
      <c r="D642" t="inlineStr">
        <is>
          <t>OTHERS-OF-OTHR FLTRNG/PURFYNG MCHNRY AND APRTS FR GAS</t>
        </is>
      </c>
      <c r="E642" s="3" t="n">
        <v>20.57</v>
      </c>
      <c r="F642" s="3" t="n">
        <v>12.55</v>
      </c>
      <c r="G642" s="3">
        <f>F642-E642</f>
        <v/>
      </c>
      <c r="H642" s="4">
        <f>IF(E642=0,"",F642/E642-1)</f>
        <v/>
      </c>
      <c r="I642" t="inlineStr"/>
    </row>
    <row r="643">
      <c r="A643" t="inlineStr">
        <is>
          <t>Machinery &amp; electronics</t>
        </is>
      </c>
      <c r="B643" t="inlineStr">
        <is>
          <t>84</t>
        </is>
      </c>
      <c r="C643" t="inlineStr">
        <is>
          <t>84261900</t>
        </is>
      </c>
      <c r="D643" t="inlineStr">
        <is>
          <t>OTHR(TRNSPRTR CRNS,GANTRY CRNS,BRDG CRNS)</t>
        </is>
      </c>
      <c r="E643" s="3" t="n">
        <v>1.62</v>
      </c>
      <c r="F643" s="3" t="n">
        <v>12.13</v>
      </c>
      <c r="G643" s="3">
        <f>F643-E643</f>
        <v/>
      </c>
      <c r="H643" s="4">
        <f>IF(E643=0,"",F643/E643-1)</f>
        <v/>
      </c>
      <c r="I643" t="inlineStr"/>
    </row>
    <row r="644">
      <c r="A644" t="inlineStr">
        <is>
          <t>Machinery &amp; electronics</t>
        </is>
      </c>
      <c r="B644" t="inlineStr">
        <is>
          <t>84</t>
        </is>
      </c>
      <c r="C644" t="inlineStr">
        <is>
          <t>84313910</t>
        </is>
      </c>
      <c r="D644" t="inlineStr">
        <is>
          <t>PRTS OF ELVTRS,CNVEYRS AND MVNG PVMNTS</t>
        </is>
      </c>
      <c r="E644" s="3" t="n">
        <v>4.04</v>
      </c>
      <c r="F644" s="3" t="n">
        <v>11.7</v>
      </c>
      <c r="G644" s="3">
        <f>F644-E644</f>
        <v/>
      </c>
      <c r="H644" s="4">
        <f>IF(E644=0,"",F644/E644-1)</f>
        <v/>
      </c>
      <c r="I644" t="inlineStr"/>
    </row>
    <row r="645">
      <c r="A645" t="inlineStr">
        <is>
          <t>Machinery &amp; electronics</t>
        </is>
      </c>
      <c r="B645" t="inlineStr">
        <is>
          <t>84</t>
        </is>
      </c>
      <c r="C645" t="inlineStr">
        <is>
          <t>84304190</t>
        </is>
      </c>
      <c r="D645" t="inlineStr">
        <is>
          <t>OTHR SELF PROPLD BORING/SINKING MACHNERY</t>
        </is>
      </c>
      <c r="E645" s="3" t="n">
        <v>11.8</v>
      </c>
      <c r="F645" s="3" t="n">
        <v>11.48</v>
      </c>
      <c r="G645" s="3">
        <f>F645-E645</f>
        <v/>
      </c>
      <c r="H645" s="4">
        <f>IF(E645=0,"",F645/E645-1)</f>
        <v/>
      </c>
      <c r="I645" t="inlineStr"/>
    </row>
    <row r="646">
      <c r="A646" t="inlineStr">
        <is>
          <t>Machinery &amp; electronics</t>
        </is>
      </c>
      <c r="B646" t="inlineStr">
        <is>
          <t>84</t>
        </is>
      </c>
      <c r="C646" t="inlineStr">
        <is>
          <t>84742010</t>
        </is>
      </c>
      <c r="D646" t="inlineStr">
        <is>
          <t>CRSHNG/GRNDNG MACHNS FOR STONE AND MNRL MINERAL</t>
        </is>
      </c>
      <c r="E646" s="3" t="n">
        <v>10.97</v>
      </c>
      <c r="F646" s="3" t="n">
        <v>11.19</v>
      </c>
      <c r="G646" s="3">
        <f>F646-E646</f>
        <v/>
      </c>
      <c r="H646" s="4">
        <f>IF(E646=0,"",F646/E646-1)</f>
        <v/>
      </c>
      <c r="I646" t="inlineStr"/>
    </row>
    <row r="647">
      <c r="A647" t="inlineStr">
        <is>
          <t>Machinery &amp; electronics</t>
        </is>
      </c>
      <c r="B647" t="inlineStr">
        <is>
          <t>84</t>
        </is>
      </c>
      <c r="C647" t="inlineStr">
        <is>
          <t>84386000</t>
        </is>
      </c>
      <c r="D647" t="inlineStr">
        <is>
          <t>MCHNRY FR PRPRTN OF FRUITS,NUTS/VGTBLS</t>
        </is>
      </c>
      <c r="E647" s="3" t="n">
        <v>0.02</v>
      </c>
      <c r="F647" s="3" t="n">
        <v>11.11</v>
      </c>
      <c r="G647" s="3">
        <f>F647-E647</f>
        <v/>
      </c>
      <c r="H647" s="4">
        <f>IF(E647=0,"",F647/E647-1)</f>
        <v/>
      </c>
      <c r="I647" t="inlineStr"/>
    </row>
    <row r="648">
      <c r="A648" t="inlineStr">
        <is>
          <t>Machinery &amp; electronics</t>
        </is>
      </c>
      <c r="B648" t="inlineStr">
        <is>
          <t>84</t>
        </is>
      </c>
      <c r="C648" t="inlineStr">
        <is>
          <t>84798200</t>
        </is>
      </c>
      <c r="D648" t="inlineStr">
        <is>
          <t>MXNG,KNEADNG,CRUSHNG,GRNDNG,SCRENG, SIFTNG,HOMOGENSNG,EMULSIFYNG/STIRRNG MCHNS</t>
        </is>
      </c>
      <c r="E648" s="3" t="n">
        <v>8.789999999999999</v>
      </c>
      <c r="F648" s="3" t="n">
        <v>11.01</v>
      </c>
      <c r="G648" s="3">
        <f>F648-E648</f>
        <v/>
      </c>
      <c r="H648" s="4">
        <f>IF(E648=0,"",F648/E648-1)</f>
        <v/>
      </c>
      <c r="I648" t="inlineStr"/>
    </row>
    <row r="649">
      <c r="A649" t="inlineStr">
        <is>
          <t>Machinery &amp; electronics</t>
        </is>
      </c>
      <c r="B649" t="inlineStr">
        <is>
          <t>84</t>
        </is>
      </c>
      <c r="C649" t="inlineStr">
        <is>
          <t>84195011</t>
        </is>
      </c>
      <c r="D649" t="inlineStr">
        <is>
          <t>Heat Exhange Units with a heat transfer surface area of greater than 0.15 m², and less than 20 m² Shell and tube type</t>
        </is>
      </c>
      <c r="E649" s="3" t="n">
        <v>0</v>
      </c>
      <c r="F649" s="3" t="n">
        <v>10.93</v>
      </c>
      <c r="G649" s="3">
        <f>F649-E649</f>
        <v/>
      </c>
      <c r="H649" s="4">
        <f>IF(E649=0,"",F649/E649-1)</f>
        <v/>
      </c>
      <c r="I649" t="inlineStr"/>
    </row>
    <row r="650">
      <c r="A650" t="inlineStr">
        <is>
          <t>Machinery &amp; electronics</t>
        </is>
      </c>
      <c r="B650" t="inlineStr">
        <is>
          <t>84</t>
        </is>
      </c>
      <c r="C650" t="inlineStr">
        <is>
          <t>84212110</t>
        </is>
      </c>
      <c r="D650" t="inlineStr">
        <is>
          <t>ION EXCHANGER PLANT/APPARATUS</t>
        </is>
      </c>
      <c r="E650" s="3" t="n">
        <v>3.43</v>
      </c>
      <c r="F650" s="3" t="n">
        <v>10.8</v>
      </c>
      <c r="G650" s="3">
        <f>F650-E650</f>
        <v/>
      </c>
      <c r="H650" s="4">
        <f>IF(E650=0,"",F650/E650-1)</f>
        <v/>
      </c>
      <c r="I650" t="inlineStr"/>
    </row>
    <row r="651">
      <c r="A651" t="inlineStr">
        <is>
          <t>Machinery &amp; electronics</t>
        </is>
      </c>
      <c r="B651" t="inlineStr">
        <is>
          <t>84</t>
        </is>
      </c>
      <c r="C651" t="inlineStr">
        <is>
          <t>84549000</t>
        </is>
      </c>
      <c r="D651" t="inlineStr">
        <is>
          <t>PARTS OF ARTICES UNDER HDG 8454</t>
        </is>
      </c>
      <c r="E651" s="3" t="n">
        <v>10.48</v>
      </c>
      <c r="F651" s="3" t="n">
        <v>10.57</v>
      </c>
      <c r="G651" s="3">
        <f>F651-E651</f>
        <v/>
      </c>
      <c r="H651" s="4">
        <f>IF(E651=0,"",F651/E651-1)</f>
        <v/>
      </c>
      <c r="I651" t="inlineStr"/>
    </row>
    <row r="652">
      <c r="A652" t="inlineStr">
        <is>
          <t>Machinery &amp; electronics</t>
        </is>
      </c>
      <c r="B652" t="inlineStr">
        <is>
          <t>85</t>
        </is>
      </c>
      <c r="C652" t="inlineStr">
        <is>
          <t>85446020</t>
        </is>
      </c>
      <c r="D652" t="inlineStr">
        <is>
          <t>PLASTIC INSLTD CNDCTRS FR VLTGE &gt;1000 V</t>
        </is>
      </c>
      <c r="E652" s="3" t="n">
        <v>12.44</v>
      </c>
      <c r="F652" s="3" t="n">
        <v>10.23</v>
      </c>
      <c r="G652" s="3">
        <f>F652-E652</f>
        <v/>
      </c>
      <c r="H652" s="4">
        <f>IF(E652=0,"",F652/E652-1)</f>
        <v/>
      </c>
      <c r="I652" t="inlineStr"/>
    </row>
    <row r="653">
      <c r="A653" t="inlineStr">
        <is>
          <t>Machinery &amp; electronics</t>
        </is>
      </c>
      <c r="B653" t="inlineStr">
        <is>
          <t>84</t>
        </is>
      </c>
      <c r="C653" t="inlineStr">
        <is>
          <t>84186990</t>
        </is>
      </c>
      <c r="D653" t="inlineStr">
        <is>
          <t>OTHERS-OF-OTHR RFRGRTNG/FRZNG EQPMNT;HEAT PUMPS</t>
        </is>
      </c>
      <c r="E653" s="3" t="n">
        <v>1.77</v>
      </c>
      <c r="F653" s="3" t="n">
        <v>10.16</v>
      </c>
      <c r="G653" s="3">
        <f>F653-E653</f>
        <v/>
      </c>
      <c r="H653" s="4">
        <f>IF(E653=0,"",F653/E653-1)</f>
        <v/>
      </c>
      <c r="I653" t="inlineStr"/>
    </row>
    <row r="654">
      <c r="A654" t="inlineStr">
        <is>
          <t>Machinery &amp; electronics</t>
        </is>
      </c>
      <c r="B654" t="inlineStr">
        <is>
          <t>84</t>
        </is>
      </c>
      <c r="C654" t="inlineStr">
        <is>
          <t>84388090</t>
        </is>
      </c>
      <c r="D654" t="inlineStr">
        <is>
          <t>OTHERS-OF-OTHER MACHINERY :</t>
        </is>
      </c>
      <c r="E654" s="3" t="n">
        <v>2.15</v>
      </c>
      <c r="F654" s="3" t="n">
        <v>10</v>
      </c>
      <c r="G654" s="3">
        <f>F654-E654</f>
        <v/>
      </c>
      <c r="H654" s="4">
        <f>IF(E654=0,"",F654/E654-1)</f>
        <v/>
      </c>
      <c r="I654" t="inlineStr"/>
    </row>
    <row r="655">
      <c r="A655" t="inlineStr">
        <is>
          <t>Machinery &amp; electronics</t>
        </is>
      </c>
      <c r="B655" t="inlineStr">
        <is>
          <t>85</t>
        </is>
      </c>
      <c r="C655" t="inlineStr">
        <is>
          <t>85369090</t>
        </is>
      </c>
      <c r="D655" t="inlineStr">
        <is>
          <t>OTHERS-OF-OTHER APPRATUS OF HEADING 8536</t>
        </is>
      </c>
      <c r="E655" s="3" t="n">
        <v>11.45</v>
      </c>
      <c r="F655" s="3" t="n">
        <v>9.880000000000001</v>
      </c>
      <c r="G655" s="3">
        <f>F655-E655</f>
        <v/>
      </c>
      <c r="H655" s="4">
        <f>IF(E655=0,"",F655/E655-1)</f>
        <v/>
      </c>
      <c r="I655" t="inlineStr"/>
    </row>
    <row r="656">
      <c r="A656" t="inlineStr">
        <is>
          <t>Machinery &amp; electronics</t>
        </is>
      </c>
      <c r="B656" t="inlineStr">
        <is>
          <t>85</t>
        </is>
      </c>
      <c r="C656" t="inlineStr">
        <is>
          <t>85446090</t>
        </is>
      </c>
      <c r="D656" t="inlineStr">
        <is>
          <t>OTHR ELCTRC CNDCTRS FR A VLTG EXCDG 1000 V EXCL PAPR PLSCTIC AND RUBBER INSULATED</t>
        </is>
      </c>
      <c r="E656" s="3" t="n">
        <v>5.51</v>
      </c>
      <c r="F656" s="3" t="n">
        <v>9.789999999999999</v>
      </c>
      <c r="G656" s="3">
        <f>F656-E656</f>
        <v/>
      </c>
      <c r="H656" s="4">
        <f>IF(E656=0,"",F656/E656-1)</f>
        <v/>
      </c>
      <c r="I656" t="inlineStr"/>
    </row>
    <row r="657">
      <c r="A657" t="inlineStr">
        <is>
          <t>Machinery &amp; electronics</t>
        </is>
      </c>
      <c r="B657" t="inlineStr">
        <is>
          <t>85</t>
        </is>
      </c>
      <c r="C657" t="inlineStr">
        <is>
          <t>85446010</t>
        </is>
      </c>
      <c r="D657" t="inlineStr">
        <is>
          <t>PAPR INSLTD CNDCTRS FR VLTGE &gt;1000 V</t>
        </is>
      </c>
      <c r="E657" s="3" t="n">
        <v>1.83</v>
      </c>
      <c r="F657" s="3" t="n">
        <v>9.710000000000001</v>
      </c>
      <c r="G657" s="3">
        <f>F657-E657</f>
        <v/>
      </c>
      <c r="H657" s="4">
        <f>IF(E657=0,"",F657/E657-1)</f>
        <v/>
      </c>
      <c r="I657" t="inlineStr"/>
    </row>
    <row r="658">
      <c r="A658" t="inlineStr">
        <is>
          <t>Machinery &amp; electronics</t>
        </is>
      </c>
      <c r="B658" t="inlineStr">
        <is>
          <t>84</t>
        </is>
      </c>
      <c r="C658" t="inlineStr">
        <is>
          <t>84149011</t>
        </is>
      </c>
      <c r="D658" t="inlineStr">
        <is>
          <t>PARTS OF GAS COMPRESSORS OF A KIND USED INREFRIGERATING AND AIR CONDITIONING</t>
        </is>
      </c>
      <c r="E658" s="3" t="n">
        <v>6.94</v>
      </c>
      <c r="F658" s="3" t="n">
        <v>9.6</v>
      </c>
      <c r="G658" s="3">
        <f>F658-E658</f>
        <v/>
      </c>
      <c r="H658" s="4">
        <f>IF(E658=0,"",F658/E658-1)</f>
        <v/>
      </c>
      <c r="I658" t="inlineStr"/>
    </row>
    <row r="659">
      <c r="A659" t="inlineStr">
        <is>
          <t>Machinery &amp; electronics</t>
        </is>
      </c>
      <c r="B659" t="inlineStr">
        <is>
          <t>85</t>
        </is>
      </c>
      <c r="C659" t="inlineStr">
        <is>
          <t>85094010</t>
        </is>
      </c>
      <c r="D659" t="inlineStr">
        <is>
          <t>ELECTRIC COFFEE MILLS AND FOOD GRINDERS</t>
        </is>
      </c>
      <c r="E659" s="3" t="n">
        <v>11.39</v>
      </c>
      <c r="F659" s="3" t="n">
        <v>9.58</v>
      </c>
      <c r="G659" s="3">
        <f>F659-E659</f>
        <v/>
      </c>
      <c r="H659" s="4">
        <f>IF(E659=0,"",F659/E659-1)</f>
        <v/>
      </c>
      <c r="I659" t="inlineStr"/>
    </row>
    <row r="660">
      <c r="A660" t="inlineStr">
        <is>
          <t>Machinery &amp; electronics</t>
        </is>
      </c>
      <c r="B660" t="inlineStr">
        <is>
          <t>84</t>
        </is>
      </c>
      <c r="C660" t="inlineStr">
        <is>
          <t>84879000</t>
        </is>
      </c>
      <c r="D660" t="inlineStr">
        <is>
          <t>OTHR MCANRY PARTS OF HEADING 8485</t>
        </is>
      </c>
      <c r="E660" s="3" t="n">
        <v>12.27</v>
      </c>
      <c r="F660" s="3" t="n">
        <v>9.49</v>
      </c>
      <c r="G660" s="3">
        <f>F660-E660</f>
        <v/>
      </c>
      <c r="H660" s="4">
        <f>IF(E660=0,"",F660/E660-1)</f>
        <v/>
      </c>
      <c r="I660" t="inlineStr"/>
    </row>
    <row r="661">
      <c r="A661" t="inlineStr">
        <is>
          <t>Machinery &amp; electronics</t>
        </is>
      </c>
      <c r="B661" t="inlineStr">
        <is>
          <t>84</t>
        </is>
      </c>
      <c r="C661" t="inlineStr">
        <is>
          <t>84144030</t>
        </is>
      </c>
      <c r="D661" t="inlineStr">
        <is>
          <t>SCREW AIR COMPRESSORS</t>
        </is>
      </c>
      <c r="E661" s="3" t="n">
        <v>6.91</v>
      </c>
      <c r="F661" s="3" t="n">
        <v>9.44</v>
      </c>
      <c r="G661" s="3">
        <f>F661-E661</f>
        <v/>
      </c>
      <c r="H661" s="4">
        <f>IF(E661=0,"",F661/E661-1)</f>
        <v/>
      </c>
      <c r="I661" t="inlineStr"/>
    </row>
    <row r="662">
      <c r="A662" t="inlineStr">
        <is>
          <t>Machinery &amp; electronics</t>
        </is>
      </c>
      <c r="B662" t="inlineStr">
        <is>
          <t>84</t>
        </is>
      </c>
      <c r="C662" t="inlineStr">
        <is>
          <t>84798970</t>
        </is>
      </c>
      <c r="D662" t="inlineStr">
        <is>
          <t>CHMCL PLANT AND OTHR MCHNRY FR MNFCTRNG CHMCLS,PHRMCTCLS,ETC</t>
        </is>
      </c>
      <c r="E662" s="3" t="n">
        <v>10.9</v>
      </c>
      <c r="F662" s="3" t="n">
        <v>9.300000000000001</v>
      </c>
      <c r="G662" s="3">
        <f>F662-E662</f>
        <v/>
      </c>
      <c r="H662" s="4">
        <f>IF(E662=0,"",F662/E662-1)</f>
        <v/>
      </c>
      <c r="I662" t="inlineStr"/>
    </row>
    <row r="663">
      <c r="A663" t="inlineStr">
        <is>
          <t>Machinery &amp; electronics</t>
        </is>
      </c>
      <c r="B663" t="inlineStr">
        <is>
          <t>85</t>
        </is>
      </c>
      <c r="C663" t="inlineStr">
        <is>
          <t>85044010</t>
        </is>
      </c>
      <c r="D663" t="inlineStr">
        <is>
          <t>ELECTRIC INVERTERS</t>
        </is>
      </c>
      <c r="E663" s="3" t="n">
        <v>2.19</v>
      </c>
      <c r="F663" s="3" t="n">
        <v>9.140000000000001</v>
      </c>
      <c r="G663" s="3">
        <f>F663-E663</f>
        <v/>
      </c>
      <c r="H663" s="4">
        <f>IF(E663=0,"",F663/E663-1)</f>
        <v/>
      </c>
      <c r="I663" t="inlineStr"/>
    </row>
    <row r="664">
      <c r="A664" t="inlineStr">
        <is>
          <t>Machinery &amp; electronics</t>
        </is>
      </c>
      <c r="B664" t="inlineStr">
        <is>
          <t>84</t>
        </is>
      </c>
      <c r="C664" t="inlineStr">
        <is>
          <t>84772000</t>
        </is>
      </c>
      <c r="D664" t="inlineStr">
        <is>
          <t>EXTRUDERS</t>
        </is>
      </c>
      <c r="E664" s="3" t="n">
        <v>2.34</v>
      </c>
      <c r="F664" s="3" t="n">
        <v>9.109999999999999</v>
      </c>
      <c r="G664" s="3">
        <f>F664-E664</f>
        <v/>
      </c>
      <c r="H664" s="4">
        <f>IF(E664=0,"",F664/E664-1)</f>
        <v/>
      </c>
      <c r="I664" t="inlineStr"/>
    </row>
    <row r="665">
      <c r="A665" t="inlineStr">
        <is>
          <t>Machinery &amp; electronics</t>
        </is>
      </c>
      <c r="B665" t="inlineStr">
        <is>
          <t>84</t>
        </is>
      </c>
      <c r="C665" t="inlineStr">
        <is>
          <t>84314100</t>
        </is>
      </c>
      <c r="D665" t="inlineStr">
        <is>
          <t>BUCKETS,SHOVELS GRABS AND GRIPS OF THE MACNRY OF HD 8426,8429/8430</t>
        </is>
      </c>
      <c r="E665" s="3" t="n">
        <v>8.52</v>
      </c>
      <c r="F665" s="3" t="n">
        <v>9.050000000000001</v>
      </c>
      <c r="G665" s="3">
        <f>F665-E665</f>
        <v/>
      </c>
      <c r="H665" s="4">
        <f>IF(E665=0,"",F665/E665-1)</f>
        <v/>
      </c>
      <c r="I665" t="inlineStr"/>
    </row>
    <row r="666">
      <c r="A666" t="inlineStr">
        <is>
          <t>Machinery &amp; electronics</t>
        </is>
      </c>
      <c r="B666" t="inlineStr">
        <is>
          <t>84</t>
        </is>
      </c>
      <c r="C666" t="inlineStr">
        <is>
          <t>84145120</t>
        </is>
      </c>
      <c r="D666" t="inlineStr">
        <is>
          <t>CEILING FANS</t>
        </is>
      </c>
      <c r="E666" s="3" t="n">
        <v>4.62</v>
      </c>
      <c r="F666" s="3" t="n">
        <v>8.800000000000001</v>
      </c>
      <c r="G666" s="3">
        <f>F666-E666</f>
        <v/>
      </c>
      <c r="H666" s="4">
        <f>IF(E666=0,"",F666/E666-1)</f>
        <v/>
      </c>
      <c r="I666" t="inlineStr"/>
    </row>
    <row r="667">
      <c r="A667" t="inlineStr">
        <is>
          <t>Machinery &amp; electronics</t>
        </is>
      </c>
      <c r="B667" t="inlineStr">
        <is>
          <t>84</t>
        </is>
      </c>
      <c r="C667" t="inlineStr">
        <is>
          <t>84232000</t>
        </is>
      </c>
      <c r="D667" t="inlineStr">
        <is>
          <t>SCLS FR CNTNUOS WEIGHNG OF GOODS ON CNVEYR</t>
        </is>
      </c>
      <c r="E667" s="3" t="n">
        <v>1.6</v>
      </c>
      <c r="F667" s="3" t="n">
        <v>8.619999999999999</v>
      </c>
      <c r="G667" s="3">
        <f>F667-E667</f>
        <v/>
      </c>
      <c r="H667" s="4">
        <f>IF(E667=0,"",F667/E667-1)</f>
        <v/>
      </c>
      <c r="I667" t="inlineStr"/>
    </row>
    <row r="668">
      <c r="A668" t="inlineStr">
        <is>
          <t>Machinery &amp; electronics</t>
        </is>
      </c>
      <c r="B668" t="inlineStr">
        <is>
          <t>84</t>
        </is>
      </c>
      <c r="C668" t="inlineStr">
        <is>
          <t>84741090</t>
        </is>
      </c>
      <c r="D668" t="inlineStr">
        <is>
          <t>SORTNG,SCRNG,SEPARTN,WASHNG MACHINES OF OTHER MINERAL SUBSTANCES</t>
        </is>
      </c>
      <c r="E668" s="3" t="n">
        <v>9.539999999999999</v>
      </c>
      <c r="F668" s="3" t="n">
        <v>8.609999999999999</v>
      </c>
      <c r="G668" s="3">
        <f>F668-E668</f>
        <v/>
      </c>
      <c r="H668" s="4">
        <f>IF(E668=0,"",F668/E668-1)</f>
        <v/>
      </c>
      <c r="I668" t="inlineStr"/>
    </row>
    <row r="669">
      <c r="A669" t="inlineStr">
        <is>
          <t>Machinery &amp; electronics</t>
        </is>
      </c>
      <c r="B669" t="inlineStr">
        <is>
          <t>84</t>
        </is>
      </c>
      <c r="C669" t="inlineStr">
        <is>
          <t>84171000</t>
        </is>
      </c>
      <c r="D669" t="inlineStr">
        <is>
          <t>FURNACES AND OVENS FR ROASTNG,MLTNG/OTHR HT-TRTMNT OF ORES,PYRITES/OF MTLS</t>
        </is>
      </c>
      <c r="E669" s="3" t="n">
        <v>0.95</v>
      </c>
      <c r="F669" s="3" t="n">
        <v>8.52</v>
      </c>
      <c r="G669" s="3">
        <f>F669-E669</f>
        <v/>
      </c>
      <c r="H669" s="4">
        <f>IF(E669=0,"",F669/E669-1)</f>
        <v/>
      </c>
      <c r="I669" t="inlineStr"/>
    </row>
    <row r="670">
      <c r="A670" t="inlineStr">
        <is>
          <t>Machinery &amp; electronics</t>
        </is>
      </c>
      <c r="B670" t="inlineStr">
        <is>
          <t>84</t>
        </is>
      </c>
      <c r="C670" t="inlineStr">
        <is>
          <t>84139120</t>
        </is>
      </c>
      <c r="D670" t="inlineStr">
        <is>
          <t>PARTS FOR CENTRIFUGAL PUMPS</t>
        </is>
      </c>
      <c r="E670" s="3" t="n">
        <v>10.63</v>
      </c>
      <c r="F670" s="3" t="n">
        <v>8.44</v>
      </c>
      <c r="G670" s="3">
        <f>F670-E670</f>
        <v/>
      </c>
      <c r="H670" s="4">
        <f>IF(E670=0,"",F670/E670-1)</f>
        <v/>
      </c>
      <c r="I670" t="inlineStr"/>
    </row>
    <row r="671">
      <c r="A671" t="inlineStr">
        <is>
          <t>Machinery &amp; electronics</t>
        </is>
      </c>
      <c r="B671" t="inlineStr">
        <is>
          <t>85</t>
        </is>
      </c>
      <c r="C671" t="inlineStr">
        <is>
          <t>85176290</t>
        </is>
      </c>
      <c r="D671" t="inlineStr">
        <is>
          <t>OTHERS-OF-MACHINES FOR THE RECEPTION, CONVERSION AND TRANSMISSION OR REGENERATION OF VOICE, IMAGES OR OTHER DATA, INCLUDING SW</t>
        </is>
      </c>
      <c r="E671" s="3" t="n">
        <v>5.52</v>
      </c>
      <c r="F671" s="3" t="n">
        <v>8.359999999999999</v>
      </c>
      <c r="G671" s="3">
        <f>F671-E671</f>
        <v/>
      </c>
      <c r="H671" s="4">
        <f>IF(E671=0,"",F671/E671-1)</f>
        <v/>
      </c>
      <c r="I671" t="inlineStr"/>
    </row>
    <row r="672">
      <c r="A672" t="inlineStr">
        <is>
          <t>Machinery &amp; electronics</t>
        </is>
      </c>
      <c r="B672" t="inlineStr">
        <is>
          <t>84</t>
        </is>
      </c>
      <c r="C672" t="inlineStr">
        <is>
          <t>84193900</t>
        </is>
      </c>
      <c r="D672" t="inlineStr">
        <is>
          <t>OTHER DRYERS</t>
        </is>
      </c>
      <c r="E672" s="3" t="n">
        <v>0.03</v>
      </c>
      <c r="F672" s="3" t="n">
        <v>8.279999999999999</v>
      </c>
      <c r="G672" s="3">
        <f>F672-E672</f>
        <v/>
      </c>
      <c r="H672" s="4">
        <f>IF(E672=0,"",F672/E672-1)</f>
        <v/>
      </c>
      <c r="I672" t="inlineStr"/>
    </row>
    <row r="673">
      <c r="A673" t="inlineStr">
        <is>
          <t>Machinery &amp; electronics</t>
        </is>
      </c>
      <c r="B673" t="inlineStr">
        <is>
          <t>84</t>
        </is>
      </c>
      <c r="C673" t="inlineStr">
        <is>
          <t>84743110</t>
        </is>
      </c>
      <c r="D673" t="inlineStr">
        <is>
          <t>CONCRETE MIXERS</t>
        </is>
      </c>
      <c r="E673" s="3" t="n">
        <v>1.21</v>
      </c>
      <c r="F673" s="3" t="n">
        <v>8.18</v>
      </c>
      <c r="G673" s="3">
        <f>F673-E673</f>
        <v/>
      </c>
      <c r="H673" s="4">
        <f>IF(E673=0,"",F673/E673-1)</f>
        <v/>
      </c>
      <c r="I673" t="inlineStr"/>
    </row>
    <row r="674">
      <c r="A674" t="inlineStr">
        <is>
          <t>Machinery &amp; electronics</t>
        </is>
      </c>
      <c r="B674" t="inlineStr">
        <is>
          <t>84</t>
        </is>
      </c>
      <c r="C674" t="inlineStr">
        <is>
          <t>84314310</t>
        </is>
      </c>
      <c r="D674" t="inlineStr">
        <is>
          <t>PRTS OF BORNG/SNKNG MCHNRY,SLF-PRPLD</t>
        </is>
      </c>
      <c r="E674" s="3" t="n">
        <v>11.33</v>
      </c>
      <c r="F674" s="3" t="n">
        <v>8.109999999999999</v>
      </c>
      <c r="G674" s="3">
        <f>F674-E674</f>
        <v/>
      </c>
      <c r="H674" s="4">
        <f>IF(E674=0,"",F674/E674-1)</f>
        <v/>
      </c>
      <c r="I674" t="inlineStr"/>
    </row>
    <row r="675">
      <c r="A675" t="inlineStr">
        <is>
          <t>Machinery &amp; electronics</t>
        </is>
      </c>
      <c r="B675" t="inlineStr">
        <is>
          <t>85</t>
        </is>
      </c>
      <c r="C675" t="inlineStr">
        <is>
          <t>85285900</t>
        </is>
      </c>
      <c r="D675" t="inlineStr">
        <is>
          <t>OTHER MONITORS</t>
        </is>
      </c>
      <c r="E675" s="3" t="n">
        <v>1.37</v>
      </c>
      <c r="F675" s="3" t="n">
        <v>8</v>
      </c>
      <c r="G675" s="3">
        <f>F675-E675</f>
        <v/>
      </c>
      <c r="H675" s="4">
        <f>IF(E675=0,"",F675/E675-1)</f>
        <v/>
      </c>
      <c r="I675" t="inlineStr"/>
    </row>
    <row r="676">
      <c r="A676" t="inlineStr">
        <is>
          <t>Machinery &amp; electronics</t>
        </is>
      </c>
      <c r="B676" t="inlineStr">
        <is>
          <t>85</t>
        </is>
      </c>
      <c r="C676" t="inlineStr">
        <is>
          <t>85363000</t>
        </is>
      </c>
      <c r="D676" t="inlineStr">
        <is>
          <t>OTHR APPRTS FR PRTCTNG ELCTRCL CIRCUITS</t>
        </is>
      </c>
      <c r="E676" s="3" t="n">
        <v>2.12</v>
      </c>
      <c r="F676" s="3" t="n">
        <v>7.69</v>
      </c>
      <c r="G676" s="3">
        <f>F676-E676</f>
        <v/>
      </c>
      <c r="H676" s="4">
        <f>IF(E676=0,"",F676/E676-1)</f>
        <v/>
      </c>
      <c r="I676" t="inlineStr"/>
    </row>
    <row r="677">
      <c r="A677" t="inlineStr">
        <is>
          <t>Machinery &amp; electronics</t>
        </is>
      </c>
      <c r="B677" t="inlineStr">
        <is>
          <t>85</t>
        </is>
      </c>
      <c r="C677" t="inlineStr">
        <is>
          <t>85021200</t>
        </is>
      </c>
      <c r="D677" t="inlineStr">
        <is>
          <t>GENRTNG SETS WTH CMPRSSN IGNTN INTRNL CMBSTN PSTN ENGNS(DSL/SEMI-DSL ENGNS)OF AN OUTPUT &gt;75 KVA BUT&lt;=375 KVA</t>
        </is>
      </c>
      <c r="E677" s="3" t="n">
        <v>5.71</v>
      </c>
      <c r="F677" s="3" t="n">
        <v>7.3</v>
      </c>
      <c r="G677" s="3">
        <f>F677-E677</f>
        <v/>
      </c>
      <c r="H677" s="4">
        <f>IF(E677=0,"",F677/E677-1)</f>
        <v/>
      </c>
      <c r="I677" t="inlineStr"/>
    </row>
    <row r="678">
      <c r="A678" t="inlineStr">
        <is>
          <t>Machinery &amp; electronics</t>
        </is>
      </c>
      <c r="B678" t="inlineStr">
        <is>
          <t>84</t>
        </is>
      </c>
      <c r="C678" t="inlineStr">
        <is>
          <t>84553000</t>
        </is>
      </c>
      <c r="D678" t="inlineStr">
        <is>
          <t>ROLLS FOR ROLLING MILLS</t>
        </is>
      </c>
      <c r="E678" s="3" t="n">
        <v>2.7</v>
      </c>
      <c r="F678" s="3" t="n">
        <v>7.25</v>
      </c>
      <c r="G678" s="3">
        <f>F678-E678</f>
        <v/>
      </c>
      <c r="H678" s="4">
        <f>IF(E678=0,"",F678/E678-1)</f>
        <v/>
      </c>
      <c r="I678" t="inlineStr"/>
    </row>
    <row r="679">
      <c r="A679" t="inlineStr">
        <is>
          <t>Machinery &amp; electronics</t>
        </is>
      </c>
      <c r="B679" t="inlineStr">
        <is>
          <t>84</t>
        </is>
      </c>
      <c r="C679" t="inlineStr">
        <is>
          <t>84313990</t>
        </is>
      </c>
      <c r="D679" t="inlineStr">
        <is>
          <t>PRTS OF OTHR LFTNG,HNDLNG AND LOADNG MCHNRY OF HDG.NO.8428</t>
        </is>
      </c>
      <c r="E679" s="3" t="n">
        <v>3.6</v>
      </c>
      <c r="F679" s="3" t="n">
        <v>7.22</v>
      </c>
      <c r="G679" s="3">
        <f>F679-E679</f>
        <v/>
      </c>
      <c r="H679" s="4">
        <f>IF(E679=0,"",F679/E679-1)</f>
        <v/>
      </c>
      <c r="I679" t="inlineStr"/>
    </row>
    <row r="680">
      <c r="A680" t="inlineStr">
        <is>
          <t>Machinery &amp; electronics</t>
        </is>
      </c>
      <c r="B680" t="inlineStr">
        <is>
          <t>84</t>
        </is>
      </c>
      <c r="C680" t="inlineStr">
        <is>
          <t>84813000</t>
        </is>
      </c>
      <c r="D680" t="inlineStr">
        <is>
          <t>CHECK VALVES</t>
        </is>
      </c>
      <c r="E680" s="3" t="n">
        <v>1.45</v>
      </c>
      <c r="F680" s="3" t="n">
        <v>7.2</v>
      </c>
      <c r="G680" s="3">
        <f>F680-E680</f>
        <v/>
      </c>
      <c r="H680" s="4">
        <f>IF(E680=0,"",F680/E680-1)</f>
        <v/>
      </c>
      <c r="I680" t="inlineStr"/>
    </row>
    <row r="681">
      <c r="A681" t="inlineStr">
        <is>
          <t>Machinery &amp; electronics</t>
        </is>
      </c>
      <c r="B681" t="inlineStr">
        <is>
          <t>84</t>
        </is>
      </c>
      <c r="C681" t="inlineStr">
        <is>
          <t>84779000</t>
        </is>
      </c>
      <c r="D681" t="inlineStr">
        <is>
          <t>PARTS OF MACHNS OF WORKING RBR/PLASTIC</t>
        </is>
      </c>
      <c r="E681" s="3" t="n">
        <v>2.57</v>
      </c>
      <c r="F681" s="3" t="n">
        <v>7.06</v>
      </c>
      <c r="G681" s="3">
        <f>F681-E681</f>
        <v/>
      </c>
      <c r="H681" s="4">
        <f>IF(E681=0,"",F681/E681-1)</f>
        <v/>
      </c>
      <c r="I681" t="inlineStr"/>
    </row>
    <row r="682">
      <c r="A682" t="inlineStr">
        <is>
          <t>Machinery &amp; electronics</t>
        </is>
      </c>
      <c r="B682" t="inlineStr">
        <is>
          <t>84</t>
        </is>
      </c>
      <c r="C682" t="inlineStr">
        <is>
          <t>84181090</t>
        </is>
      </c>
      <c r="D682" t="inlineStr">
        <is>
          <t>OTHR COMBINED REFRIGERATOR FREEZERS , FITTED WITH SEPARATE EXTERNAL DOORS</t>
        </is>
      </c>
      <c r="E682" s="3" t="n">
        <v>8.32</v>
      </c>
      <c r="F682" s="3" t="n">
        <v>6.89</v>
      </c>
      <c r="G682" s="3">
        <f>F682-E682</f>
        <v/>
      </c>
      <c r="H682" s="4">
        <f>IF(E682=0,"",F682/E682-1)</f>
        <v/>
      </c>
      <c r="I682" t="inlineStr"/>
    </row>
    <row r="683">
      <c r="A683" t="inlineStr">
        <is>
          <t>Machinery &amp; electronics</t>
        </is>
      </c>
      <c r="B683" t="inlineStr">
        <is>
          <t>85</t>
        </is>
      </c>
      <c r="C683" t="inlineStr">
        <is>
          <t>85043100</t>
        </is>
      </c>
      <c r="D683" t="inlineStr">
        <is>
          <t>OTHR TRNSFRMRS HVNG A PWR HNDLNG CAPACITY NOT EXCDNG 1 KVA</t>
        </is>
      </c>
      <c r="E683" s="3" t="n">
        <v>6.35</v>
      </c>
      <c r="F683" s="3" t="n">
        <v>6.69</v>
      </c>
      <c r="G683" s="3">
        <f>F683-E683</f>
        <v/>
      </c>
      <c r="H683" s="4">
        <f>IF(E683=0,"",F683/E683-1)</f>
        <v/>
      </c>
      <c r="I683" t="inlineStr"/>
    </row>
    <row r="684">
      <c r="A684" t="inlineStr">
        <is>
          <t>Machinery &amp; electronics</t>
        </is>
      </c>
      <c r="B684" t="inlineStr">
        <is>
          <t>85</t>
        </is>
      </c>
      <c r="C684" t="inlineStr">
        <is>
          <t>85042320</t>
        </is>
      </c>
      <c r="D684" t="inlineStr">
        <is>
          <t>LQD DIELECTRC TRNSFRMRS HVNG A PWR HNDLNG CAPACITY&gt;50000 KVA AND UPTO 100000 KVA</t>
        </is>
      </c>
      <c r="E684" s="3" t="n">
        <v>0</v>
      </c>
      <c r="F684" s="3" t="n">
        <v>6.42</v>
      </c>
      <c r="G684" s="3">
        <f>F684-E684</f>
        <v/>
      </c>
      <c r="H684" s="4">
        <f>IF(E684=0,"",F684/E684-1)</f>
        <v/>
      </c>
      <c r="I684" t="inlineStr"/>
    </row>
    <row r="685">
      <c r="A685" t="inlineStr">
        <is>
          <t>Machinery &amp; electronics</t>
        </is>
      </c>
      <c r="B685" t="inlineStr">
        <is>
          <t>84</t>
        </is>
      </c>
      <c r="C685" t="inlineStr">
        <is>
          <t>84818010</t>
        </is>
      </c>
      <c r="D685" t="inlineStr">
        <is>
          <t>TAPS,COCKS ETC OF IRON/STEEL</t>
        </is>
      </c>
      <c r="E685" s="3" t="n">
        <v>6.97</v>
      </c>
      <c r="F685" s="3" t="n">
        <v>6.12</v>
      </c>
      <c r="G685" s="3">
        <f>F685-E685</f>
        <v/>
      </c>
      <c r="H685" s="4">
        <f>IF(E685=0,"",F685/E685-1)</f>
        <v/>
      </c>
      <c r="I685" t="inlineStr"/>
    </row>
    <row r="686">
      <c r="A686" t="inlineStr">
        <is>
          <t>Machinery &amp; electronics</t>
        </is>
      </c>
      <c r="B686" t="inlineStr">
        <is>
          <t>84</t>
        </is>
      </c>
      <c r="C686" t="inlineStr">
        <is>
          <t>84715000</t>
        </is>
      </c>
      <c r="D686" t="inlineStr">
        <is>
          <t>DIGITL PROCESNG UNITS EXCL OF SUB HDNGS 847141 AND 847149,WH/NOT CONT ONE/TWO TYPS OF UNI,LIKE STORG/INPUT/OUTPUT UNI</t>
        </is>
      </c>
      <c r="E686" s="3" t="n">
        <v>0.45</v>
      </c>
      <c r="F686" s="3" t="n">
        <v>6.01</v>
      </c>
      <c r="G686" s="3">
        <f>F686-E686</f>
        <v/>
      </c>
      <c r="H686" s="4">
        <f>IF(E686=0,"",F686/E686-1)</f>
        <v/>
      </c>
      <c r="I686" t="inlineStr"/>
    </row>
    <row r="687">
      <c r="A687" t="inlineStr">
        <is>
          <t>Machinery &amp; electronics</t>
        </is>
      </c>
      <c r="B687" t="inlineStr">
        <is>
          <t>84</t>
        </is>
      </c>
      <c r="C687" t="inlineStr">
        <is>
          <t>84159000</t>
        </is>
      </c>
      <c r="D687" t="inlineStr">
        <is>
          <t>*PARTS OF THE AIR CONDITIONING MACHINES ETC</t>
        </is>
      </c>
      <c r="E687" s="3" t="n">
        <v>7.52</v>
      </c>
      <c r="F687" s="3" t="n">
        <v>5.99</v>
      </c>
      <c r="G687" s="3">
        <f>F687-E687</f>
        <v/>
      </c>
      <c r="H687" s="4">
        <f>IF(E687=0,"",F687/E687-1)</f>
        <v/>
      </c>
      <c r="I687" t="inlineStr"/>
    </row>
    <row r="688">
      <c r="A688" t="inlineStr">
        <is>
          <t>Machinery &amp; electronics</t>
        </is>
      </c>
      <c r="B688" t="inlineStr">
        <is>
          <t>84</t>
        </is>
      </c>
      <c r="C688" t="inlineStr">
        <is>
          <t>84551000</t>
        </is>
      </c>
      <c r="D688" t="inlineStr">
        <is>
          <t>TUBE MILLS</t>
        </is>
      </c>
      <c r="E688" s="3" t="n">
        <v>0.15</v>
      </c>
      <c r="F688" s="3" t="n">
        <v>5.95</v>
      </c>
      <c r="G688" s="3">
        <f>F688-E688</f>
        <v/>
      </c>
      <c r="H688" s="4">
        <f>IF(E688=0,"",F688/E688-1)</f>
        <v/>
      </c>
      <c r="I688" t="inlineStr"/>
    </row>
    <row r="689">
      <c r="A689" t="inlineStr">
        <is>
          <t>Machinery &amp; electronics</t>
        </is>
      </c>
      <c r="B689" t="inlineStr">
        <is>
          <t>84</t>
        </is>
      </c>
      <c r="C689" t="inlineStr">
        <is>
          <t>84211910</t>
        </is>
      </c>
      <c r="D689" t="inlineStr">
        <is>
          <t>BOWL CENTRIFUGES</t>
        </is>
      </c>
      <c r="E689" s="3" t="n">
        <v>0.03</v>
      </c>
      <c r="F689" s="3" t="n">
        <v>5.78</v>
      </c>
      <c r="G689" s="3">
        <f>F689-E689</f>
        <v/>
      </c>
      <c r="H689" s="4">
        <f>IF(E689=0,"",F689/E689-1)</f>
        <v/>
      </c>
      <c r="I689" t="inlineStr"/>
    </row>
    <row r="690">
      <c r="A690" t="inlineStr">
        <is>
          <t>Machinery &amp; electronics</t>
        </is>
      </c>
      <c r="B690" t="inlineStr">
        <is>
          <t>84</t>
        </is>
      </c>
      <c r="C690" t="inlineStr">
        <is>
          <t>84814000</t>
        </is>
      </c>
      <c r="D690" t="inlineStr">
        <is>
          <t>SAFETY/RELIEF VALVES</t>
        </is>
      </c>
      <c r="E690" s="3" t="n">
        <v>1.6</v>
      </c>
      <c r="F690" s="3" t="n">
        <v>5.74</v>
      </c>
      <c r="G690" s="3">
        <f>F690-E690</f>
        <v/>
      </c>
      <c r="H690" s="4">
        <f>IF(E690=0,"",F690/E690-1)</f>
        <v/>
      </c>
      <c r="I690" t="inlineStr"/>
    </row>
    <row r="691">
      <c r="A691" t="inlineStr">
        <is>
          <t>Machinery &amp; electronics</t>
        </is>
      </c>
      <c r="B691" t="inlineStr">
        <is>
          <t>85</t>
        </is>
      </c>
      <c r="C691" t="inlineStr">
        <is>
          <t>85044029</t>
        </is>
      </c>
      <c r="D691" t="inlineStr">
        <is>
          <t>OTHER RECTIFIERS</t>
        </is>
      </c>
      <c r="E691" s="3" t="n">
        <v>1.13</v>
      </c>
      <c r="F691" s="3" t="n">
        <v>5.67</v>
      </c>
      <c r="G691" s="3">
        <f>F691-E691</f>
        <v/>
      </c>
      <c r="H691" s="4">
        <f>IF(E691=0,"",F691/E691-1)</f>
        <v/>
      </c>
      <c r="I691" t="inlineStr"/>
    </row>
    <row r="692">
      <c r="A692" t="inlineStr">
        <is>
          <t>Machinery &amp; electronics</t>
        </is>
      </c>
      <c r="B692" t="inlineStr">
        <is>
          <t>84</t>
        </is>
      </c>
      <c r="C692" t="inlineStr">
        <is>
          <t>84198990</t>
        </is>
      </c>
      <c r="D692" t="inlineStr">
        <is>
          <t>OTHERS-OF-OTHR MACHINERY,PLANT AND EQUIPMNT OF HDG8419</t>
        </is>
      </c>
      <c r="E692" s="3" t="n">
        <v>5.89</v>
      </c>
      <c r="F692" s="3" t="n">
        <v>5.54</v>
      </c>
      <c r="G692" s="3">
        <f>F692-E692</f>
        <v/>
      </c>
      <c r="H692" s="4">
        <f>IF(E692=0,"",F692/E692-1)</f>
        <v/>
      </c>
      <c r="I692" t="inlineStr"/>
    </row>
    <row r="693">
      <c r="A693" t="inlineStr">
        <is>
          <t>Machinery &amp; electronics</t>
        </is>
      </c>
      <c r="B693" t="inlineStr">
        <is>
          <t>85</t>
        </is>
      </c>
      <c r="C693" t="inlineStr">
        <is>
          <t>85021100</t>
        </is>
      </c>
      <c r="D693" t="inlineStr">
        <is>
          <t>GENRTNG SETS WTH CMPRSSN IGNTN INTRNL CMBSTN PSTN ENGNS(DIESL/SEMI-DIESL ENGNS) OF AN OUTPUT NT EXCDNG 75 KVA</t>
        </is>
      </c>
      <c r="E693" s="3" t="n">
        <v>2.95</v>
      </c>
      <c r="F693" s="3" t="n">
        <v>5.31</v>
      </c>
      <c r="G693" s="3">
        <f>F693-E693</f>
        <v/>
      </c>
      <c r="H693" s="4">
        <f>IF(E693=0,"",F693/E693-1)</f>
        <v/>
      </c>
      <c r="I693" t="inlineStr"/>
    </row>
    <row r="694">
      <c r="A694" t="inlineStr">
        <is>
          <t>Machinery &amp; electronics</t>
        </is>
      </c>
      <c r="B694" t="inlineStr">
        <is>
          <t>84</t>
        </is>
      </c>
      <c r="C694" t="inlineStr">
        <is>
          <t>84806000</t>
        </is>
      </c>
      <c r="D694" t="inlineStr">
        <is>
          <t>MOULDS FOR MINERAL MATERIALS</t>
        </is>
      </c>
      <c r="E694" s="3" t="n">
        <v>0.6899999999999999</v>
      </c>
      <c r="F694" s="3" t="n">
        <v>5.29</v>
      </c>
      <c r="G694" s="3">
        <f>F694-E694</f>
        <v/>
      </c>
      <c r="H694" s="4">
        <f>IF(E694=0,"",F694/E694-1)</f>
        <v/>
      </c>
      <c r="I694" t="inlineStr"/>
    </row>
    <row r="695">
      <c r="A695" t="inlineStr">
        <is>
          <t>Machinery &amp; electronics</t>
        </is>
      </c>
      <c r="B695" t="inlineStr">
        <is>
          <t>84</t>
        </is>
      </c>
      <c r="C695" t="inlineStr">
        <is>
          <t>84198940</t>
        </is>
      </c>
      <c r="D695" t="inlineStr">
        <is>
          <t>COOLNG TWRS/PLNTS FR DRCT COOLNG BY RECIRCULTD WATER</t>
        </is>
      </c>
      <c r="E695" s="3" t="n">
        <v>3.95</v>
      </c>
      <c r="F695" s="3" t="n">
        <v>5.17</v>
      </c>
      <c r="G695" s="3">
        <f>F695-E695</f>
        <v/>
      </c>
      <c r="H695" s="4">
        <f>IF(E695=0,"",F695/E695-1)</f>
        <v/>
      </c>
      <c r="I695" t="inlineStr"/>
    </row>
    <row r="696">
      <c r="A696" t="inlineStr">
        <is>
          <t>Machinery &amp; electronics</t>
        </is>
      </c>
      <c r="B696" t="inlineStr">
        <is>
          <t>85</t>
        </is>
      </c>
      <c r="C696" t="inlineStr">
        <is>
          <t>85469090</t>
        </is>
      </c>
      <c r="D696" t="inlineStr">
        <is>
          <t>OTHR ELCTRL INSLTRS OF OTHR MATRLS</t>
        </is>
      </c>
      <c r="E696" s="3" t="n">
        <v>12.97</v>
      </c>
      <c r="F696" s="3" t="n">
        <v>5.09</v>
      </c>
      <c r="G696" s="3">
        <f>F696-E696</f>
        <v/>
      </c>
      <c r="H696" s="4">
        <f>IF(E696=0,"",F696/E696-1)</f>
        <v/>
      </c>
      <c r="I696" t="inlineStr"/>
    </row>
    <row r="697">
      <c r="A697" t="inlineStr">
        <is>
          <t>Machinery &amp; electronics</t>
        </is>
      </c>
      <c r="B697" t="inlineStr">
        <is>
          <t>84</t>
        </is>
      </c>
      <c r="C697" t="inlineStr">
        <is>
          <t>84841090</t>
        </is>
      </c>
      <c r="D697" t="inlineStr">
        <is>
          <t>OTHER GSKTS AND SMLR JOINTS</t>
        </is>
      </c>
      <c r="E697" s="3" t="n">
        <v>10.94</v>
      </c>
      <c r="F697" s="3" t="n">
        <v>5.08</v>
      </c>
      <c r="G697" s="3">
        <f>F697-E697</f>
        <v/>
      </c>
      <c r="H697" s="4">
        <f>IF(E697=0,"",F697/E697-1)</f>
        <v/>
      </c>
      <c r="I697" t="inlineStr"/>
    </row>
    <row r="698">
      <c r="A698" t="inlineStr">
        <is>
          <t>Machinery &amp; electronics</t>
        </is>
      </c>
      <c r="B698" t="inlineStr">
        <is>
          <t>84</t>
        </is>
      </c>
      <c r="C698" t="inlineStr">
        <is>
          <t>84189900</t>
        </is>
      </c>
      <c r="D698" t="inlineStr">
        <is>
          <t>OTHER PARTS OF HDG 8418</t>
        </is>
      </c>
      <c r="E698" s="3" t="n">
        <v>1.3</v>
      </c>
      <c r="F698" s="3" t="n">
        <v>5</v>
      </c>
      <c r="G698" s="3">
        <f>F698-E698</f>
        <v/>
      </c>
      <c r="H698" s="4">
        <f>IF(E698=0,"",F698/E698-1)</f>
        <v/>
      </c>
      <c r="I698" t="inlineStr"/>
    </row>
    <row r="699">
      <c r="A699" t="inlineStr">
        <is>
          <t>Machinery &amp; electronics</t>
        </is>
      </c>
      <c r="B699" t="inlineStr">
        <is>
          <t>85</t>
        </is>
      </c>
      <c r="C699" t="inlineStr">
        <is>
          <t>85444992</t>
        </is>
      </c>
      <c r="D699" t="inlineStr">
        <is>
          <t>PLASTIC INSULATED CONDUCTORS USED IN TELECOM FOR VOLTAGE &lt;=1000V NOT FITTED WITH CONNECTORS</t>
        </is>
      </c>
      <c r="E699" s="3" t="n">
        <v>5.59</v>
      </c>
      <c r="F699" s="3" t="n">
        <v>5</v>
      </c>
      <c r="G699" s="3">
        <f>F699-E699</f>
        <v/>
      </c>
      <c r="H699" s="4">
        <f>IF(E699=0,"",F699/E699-1)</f>
        <v/>
      </c>
      <c r="I699" t="inlineStr"/>
    </row>
    <row r="700">
      <c r="A700" t="inlineStr">
        <is>
          <t>Machinery &amp; electronics</t>
        </is>
      </c>
      <c r="B700" t="inlineStr">
        <is>
          <t>84</t>
        </is>
      </c>
      <c r="C700" t="inlineStr">
        <is>
          <t>84186910</t>
        </is>
      </c>
      <c r="D700" t="inlineStr">
        <is>
          <t>ICEMAKING MACHINERY</t>
        </is>
      </c>
      <c r="E700" s="3" t="n">
        <v>0.08</v>
      </c>
      <c r="F700" s="3" t="n">
        <v>4.93</v>
      </c>
      <c r="G700" s="3">
        <f>F700-E700</f>
        <v/>
      </c>
      <c r="H700" s="4">
        <f>IF(E700=0,"",F700/E700-1)</f>
        <v/>
      </c>
      <c r="I700" t="inlineStr"/>
    </row>
    <row r="701">
      <c r="A701" t="inlineStr">
        <is>
          <t>Machinery &amp; electronics</t>
        </is>
      </c>
      <c r="B701" t="inlineStr">
        <is>
          <t>84</t>
        </is>
      </c>
      <c r="C701" t="inlineStr">
        <is>
          <t>84743200</t>
        </is>
      </c>
      <c r="D701" t="inlineStr">
        <is>
          <t>MCHNS FR MXNG MNRL SUBSTNCS WTH BITUMEN</t>
        </is>
      </c>
      <c r="E701" s="3" t="n">
        <v>8.48</v>
      </c>
      <c r="F701" s="3" t="n">
        <v>4.74</v>
      </c>
      <c r="G701" s="3">
        <f>F701-E701</f>
        <v/>
      </c>
      <c r="H701" s="4">
        <f>IF(E701=0,"",F701/E701-1)</f>
        <v/>
      </c>
      <c r="I701" t="inlineStr"/>
    </row>
    <row r="702">
      <c r="A702" t="inlineStr">
        <is>
          <t>Machinery &amp; electronics</t>
        </is>
      </c>
      <c r="B702" t="inlineStr">
        <is>
          <t>84</t>
        </is>
      </c>
      <c r="C702" t="inlineStr">
        <is>
          <t>84249000</t>
        </is>
      </c>
      <c r="D702" t="inlineStr">
        <is>
          <t>PARTS OF MECHANICAL APPLIANCES</t>
        </is>
      </c>
      <c r="E702" s="3" t="n">
        <v>3.17</v>
      </c>
      <c r="F702" s="3" t="n">
        <v>4.65</v>
      </c>
      <c r="G702" s="3">
        <f>F702-E702</f>
        <v/>
      </c>
      <c r="H702" s="4">
        <f>IF(E702=0,"",F702/E702-1)</f>
        <v/>
      </c>
      <c r="I702" t="inlineStr"/>
    </row>
    <row r="703">
      <c r="A703" t="inlineStr">
        <is>
          <t>Machinery &amp; electronics</t>
        </is>
      </c>
      <c r="B703" t="inlineStr">
        <is>
          <t>84</t>
        </is>
      </c>
      <c r="C703" t="inlineStr">
        <is>
          <t>84313100</t>
        </is>
      </c>
      <c r="D703" t="inlineStr">
        <is>
          <t>PRTS OF LFTS, SKIP HOISTS/ESCALATORS</t>
        </is>
      </c>
      <c r="E703" s="3" t="n">
        <v>2.96</v>
      </c>
      <c r="F703" s="3" t="n">
        <v>4.51</v>
      </c>
      <c r="G703" s="3">
        <f>F703-E703</f>
        <v/>
      </c>
      <c r="H703" s="4">
        <f>IF(E703=0,"",F703/E703-1)</f>
        <v/>
      </c>
      <c r="I703" t="inlineStr"/>
    </row>
    <row r="704">
      <c r="A704" t="inlineStr">
        <is>
          <t>Machinery &amp; electronics</t>
        </is>
      </c>
      <c r="B704" t="inlineStr">
        <is>
          <t>85</t>
        </is>
      </c>
      <c r="C704" t="inlineStr">
        <is>
          <t>85015210</t>
        </is>
      </c>
      <c r="D704" t="inlineStr">
        <is>
          <t>A.C. SQUIRREL CAGE INDUCTION MOTOR 3 PHASE TYPE</t>
        </is>
      </c>
      <c r="E704" s="3" t="n">
        <v>15.36</v>
      </c>
      <c r="F704" s="3" t="n">
        <v>4.51</v>
      </c>
      <c r="G704" s="3">
        <f>F704-E704</f>
        <v/>
      </c>
      <c r="H704" s="4">
        <f>IF(E704=0,"",F704/E704-1)</f>
        <v/>
      </c>
      <c r="I704" t="inlineStr"/>
    </row>
    <row r="705">
      <c r="A705" t="inlineStr">
        <is>
          <t>Machinery &amp; electronics</t>
        </is>
      </c>
      <c r="B705" t="inlineStr">
        <is>
          <t>84</t>
        </is>
      </c>
      <c r="C705" t="inlineStr">
        <is>
          <t>84119900</t>
        </is>
      </c>
      <c r="D705" t="inlineStr">
        <is>
          <t>PARTS OF OTHER GAS TURBINES</t>
        </is>
      </c>
      <c r="E705" s="3" t="n">
        <v>0.6</v>
      </c>
      <c r="F705" s="3" t="n">
        <v>4.5</v>
      </c>
      <c r="G705" s="3">
        <f>F705-E705</f>
        <v/>
      </c>
      <c r="H705" s="4">
        <f>IF(E705=0,"",F705/E705-1)</f>
        <v/>
      </c>
      <c r="I705" t="inlineStr"/>
    </row>
    <row r="706">
      <c r="A706" t="inlineStr">
        <is>
          <t>Machinery &amp; electronics</t>
        </is>
      </c>
      <c r="B706" t="inlineStr">
        <is>
          <t>84</t>
        </is>
      </c>
      <c r="C706" t="inlineStr">
        <is>
          <t>84669400</t>
        </is>
      </c>
      <c r="D706" t="inlineStr">
        <is>
          <t>PRTS AND ACCSSRS FR HDG NO.8462/8463</t>
        </is>
      </c>
      <c r="E706" s="3" t="n">
        <v>1.77</v>
      </c>
      <c r="F706" s="3" t="n">
        <v>4.5</v>
      </c>
      <c r="G706" s="3">
        <f>F706-E706</f>
        <v/>
      </c>
      <c r="H706" s="4">
        <f>IF(E706=0,"",F706/E706-1)</f>
        <v/>
      </c>
      <c r="I706" t="inlineStr"/>
    </row>
    <row r="707">
      <c r="A707" t="inlineStr">
        <is>
          <t>Machinery &amp; electronics</t>
        </is>
      </c>
      <c r="B707" t="inlineStr">
        <is>
          <t>84</t>
        </is>
      </c>
      <c r="C707" t="inlineStr">
        <is>
          <t>84289090</t>
        </is>
      </c>
      <c r="D707" t="inlineStr">
        <is>
          <t>OTHERS-OF-OTHER MACHINERY OF HDG 8428</t>
        </is>
      </c>
      <c r="E707" s="3" t="n">
        <v>1.9</v>
      </c>
      <c r="F707" s="3" t="n">
        <v>4.48</v>
      </c>
      <c r="G707" s="3">
        <f>F707-E707</f>
        <v/>
      </c>
      <c r="H707" s="4">
        <f>IF(E707=0,"",F707/E707-1)</f>
        <v/>
      </c>
      <c r="I707" t="inlineStr"/>
    </row>
    <row r="708">
      <c r="A708" t="inlineStr">
        <is>
          <t>Machinery &amp; electronics</t>
        </is>
      </c>
      <c r="B708" t="inlineStr">
        <is>
          <t>84</t>
        </is>
      </c>
      <c r="C708" t="inlineStr">
        <is>
          <t>84194090</t>
        </is>
      </c>
      <c r="D708" t="inlineStr">
        <is>
          <t>OTHERS-OF-DISTILLING/RECTIFYING PLANT</t>
        </is>
      </c>
      <c r="E708" s="3" t="n">
        <v>0.12</v>
      </c>
      <c r="F708" s="3" t="n">
        <v>4.38</v>
      </c>
      <c r="G708" s="3">
        <f>F708-E708</f>
        <v/>
      </c>
      <c r="H708" s="4">
        <f>IF(E708=0,"",F708/E708-1)</f>
        <v/>
      </c>
      <c r="I708" t="inlineStr"/>
    </row>
    <row r="709">
      <c r="A709" t="inlineStr">
        <is>
          <t>Machinery &amp; electronics</t>
        </is>
      </c>
      <c r="B709" t="inlineStr">
        <is>
          <t>85</t>
        </is>
      </c>
      <c r="C709" t="inlineStr">
        <is>
          <t>85158090</t>
        </is>
      </c>
      <c r="D709" t="inlineStr">
        <is>
          <t>OTHERS-OF-OTHER MACHINES AND APPARATUS:</t>
        </is>
      </c>
      <c r="E709" s="3" t="n">
        <v>8.359999999999999</v>
      </c>
      <c r="F709" s="3" t="n">
        <v>4.29</v>
      </c>
      <c r="G709" s="3">
        <f>F709-E709</f>
        <v/>
      </c>
      <c r="H709" s="4">
        <f>IF(E709=0,"",F709/E709-1)</f>
        <v/>
      </c>
      <c r="I709" t="inlineStr"/>
    </row>
    <row r="710">
      <c r="A710" t="inlineStr">
        <is>
          <t>Machinery &amp; electronics</t>
        </is>
      </c>
      <c r="B710" t="inlineStr">
        <is>
          <t>85</t>
        </is>
      </c>
      <c r="C710" t="inlineStr">
        <is>
          <t>85021310</t>
        </is>
      </c>
      <c r="D710" t="inlineStr">
        <is>
          <t>GENARTING SETS WITH DIESEL ENGINES WITH AN OUTPUT EXCDNG 375 KVA AND UPTO 1000 KVA</t>
        </is>
      </c>
      <c r="E710" s="3" t="n">
        <v>2.46</v>
      </c>
      <c r="F710" s="3" t="n">
        <v>4.19</v>
      </c>
      <c r="G710" s="3">
        <f>F710-E710</f>
        <v/>
      </c>
      <c r="H710" s="4">
        <f>IF(E710=0,"",F710/E710-1)</f>
        <v/>
      </c>
      <c r="I710" t="inlineStr"/>
    </row>
    <row r="711">
      <c r="A711" t="inlineStr">
        <is>
          <t>Machinery &amp; electronics</t>
        </is>
      </c>
      <c r="B711" t="inlineStr">
        <is>
          <t>85</t>
        </is>
      </c>
      <c r="C711" t="inlineStr">
        <is>
          <t>85059000</t>
        </is>
      </c>
      <c r="D711" t="inlineStr">
        <is>
          <t>ELECTRO MAGNETIC LIFTING HEADS</t>
        </is>
      </c>
      <c r="E711" s="3" t="n">
        <v>1.06</v>
      </c>
      <c r="F711" s="3" t="n">
        <v>4.17</v>
      </c>
      <c r="G711" s="3">
        <f>F711-E711</f>
        <v/>
      </c>
      <c r="H711" s="4">
        <f>IF(E711=0,"",F711/E711-1)</f>
        <v/>
      </c>
      <c r="I711" t="inlineStr"/>
    </row>
    <row r="712">
      <c r="A712" t="inlineStr">
        <is>
          <t>Machinery &amp; electronics</t>
        </is>
      </c>
      <c r="B712" t="inlineStr">
        <is>
          <t>84</t>
        </is>
      </c>
      <c r="C712" t="inlineStr">
        <is>
          <t>84229090</t>
        </is>
      </c>
      <c r="D712" t="inlineStr">
        <is>
          <t>PARTS OF OTHER MACHINERY</t>
        </is>
      </c>
      <c r="E712" s="3" t="n">
        <v>2.99</v>
      </c>
      <c r="F712" s="3" t="n">
        <v>4.16</v>
      </c>
      <c r="G712" s="3">
        <f>F712-E712</f>
        <v/>
      </c>
      <c r="H712" s="4">
        <f>IF(E712=0,"",F712/E712-1)</f>
        <v/>
      </c>
      <c r="I712" t="inlineStr"/>
    </row>
    <row r="713">
      <c r="A713" t="inlineStr">
        <is>
          <t>Machinery &amp; electronics</t>
        </is>
      </c>
      <c r="B713" t="inlineStr">
        <is>
          <t>85</t>
        </is>
      </c>
      <c r="C713" t="inlineStr">
        <is>
          <t>85359090</t>
        </is>
      </c>
      <c r="D713" t="inlineStr">
        <is>
          <t>OTHERS-OF-OTHR ELCTRCL APPRTS FR SWTCHNG/PROTCTNG ELCTRCL CIRCUITS ETC.FOR AVOLTAGE EXCEEDING 1000 VOLTS</t>
        </is>
      </c>
      <c r="E713" s="3" t="n">
        <v>3.85</v>
      </c>
      <c r="F713" s="3" t="n">
        <v>4.12</v>
      </c>
      <c r="G713" s="3">
        <f>F713-E713</f>
        <v/>
      </c>
      <c r="H713" s="4">
        <f>IF(E713=0,"",F713/E713-1)</f>
        <v/>
      </c>
      <c r="I713" t="inlineStr"/>
    </row>
    <row r="714">
      <c r="A714" t="inlineStr">
        <is>
          <t>Machinery &amp; electronics</t>
        </is>
      </c>
      <c r="B714" t="inlineStr">
        <is>
          <t>84</t>
        </is>
      </c>
      <c r="C714" t="inlineStr">
        <is>
          <t>84305090</t>
        </is>
      </c>
      <c r="D714" t="inlineStr">
        <is>
          <t>OTHERS-OF-OTHER MACHINERY, SELF-PROPELLED :</t>
        </is>
      </c>
      <c r="E714" s="3" t="n">
        <v>2.43</v>
      </c>
      <c r="F714" s="3" t="n">
        <v>4.04</v>
      </c>
      <c r="G714" s="3">
        <f>F714-E714</f>
        <v/>
      </c>
      <c r="H714" s="4">
        <f>IF(E714=0,"",F714/E714-1)</f>
        <v/>
      </c>
      <c r="I714" t="inlineStr"/>
    </row>
    <row r="715">
      <c r="A715" t="inlineStr">
        <is>
          <t>Machinery &amp; electronics</t>
        </is>
      </c>
      <c r="B715" t="inlineStr">
        <is>
          <t>84</t>
        </is>
      </c>
      <c r="C715" t="inlineStr">
        <is>
          <t>84121000</t>
        </is>
      </c>
      <c r="D715" t="inlineStr">
        <is>
          <t>REACTION ENGINES OTHER THAN TURBO-JETS</t>
        </is>
      </c>
      <c r="E715" s="3" t="n">
        <v>0.05</v>
      </c>
      <c r="F715" s="3" t="n">
        <v>3.99</v>
      </c>
      <c r="G715" s="3">
        <f>F715-E715</f>
        <v/>
      </c>
      <c r="H715" s="4">
        <f>IF(E715=0,"",F715/E715-1)</f>
        <v/>
      </c>
      <c r="I715" t="inlineStr"/>
    </row>
    <row r="716">
      <c r="A716" t="inlineStr">
        <is>
          <t>Machinery &amp; electronics</t>
        </is>
      </c>
      <c r="B716" t="inlineStr">
        <is>
          <t>84</t>
        </is>
      </c>
      <c r="C716" t="inlineStr">
        <is>
          <t>84233000</t>
        </is>
      </c>
      <c r="D716" t="inlineStr">
        <is>
          <t>CNSTNT WT SCLS AND SCLS FR DSCHRGNG PRDTRMNDWT OF MTRL INTO A BAG/CNTNR,INCL HOPR SCLS</t>
        </is>
      </c>
      <c r="E716" s="3" t="n">
        <v>0.14</v>
      </c>
      <c r="F716" s="3" t="n">
        <v>3.91</v>
      </c>
      <c r="G716" s="3">
        <f>F716-E716</f>
        <v/>
      </c>
      <c r="H716" s="4">
        <f>IF(E716=0,"",F716/E716-1)</f>
        <v/>
      </c>
      <c r="I716" t="inlineStr"/>
    </row>
    <row r="717">
      <c r="A717" t="inlineStr">
        <is>
          <t>Machinery &amp; electronics</t>
        </is>
      </c>
      <c r="B717" t="inlineStr">
        <is>
          <t>85</t>
        </is>
      </c>
      <c r="C717" t="inlineStr">
        <is>
          <t>85045090</t>
        </is>
      </c>
      <c r="D717" t="inlineStr">
        <is>
          <t>OTHERS-OF-OTHER INDUCTORS:</t>
        </is>
      </c>
      <c r="E717" s="3" t="n">
        <v>0.67</v>
      </c>
      <c r="F717" s="3" t="n">
        <v>3.91</v>
      </c>
      <c r="G717" s="3">
        <f>F717-E717</f>
        <v/>
      </c>
      <c r="H717" s="4">
        <f>IF(E717=0,"",F717/E717-1)</f>
        <v/>
      </c>
      <c r="I717" t="inlineStr"/>
    </row>
    <row r="718">
      <c r="A718" t="inlineStr">
        <is>
          <t>Machinery &amp; electronics</t>
        </is>
      </c>
      <c r="B718" t="inlineStr">
        <is>
          <t>84</t>
        </is>
      </c>
      <c r="C718" t="inlineStr">
        <is>
          <t>84029010</t>
        </is>
      </c>
      <c r="D718" t="inlineStr">
        <is>
          <t>PARTS OF FIRE TUBE BOILERS</t>
        </is>
      </c>
      <c r="E718" s="3" t="n">
        <v>0.13</v>
      </c>
      <c r="F718" s="3" t="n">
        <v>3.81</v>
      </c>
      <c r="G718" s="3">
        <f>F718-E718</f>
        <v/>
      </c>
      <c r="H718" s="4">
        <f>IF(E718=0,"",F718/E718-1)</f>
        <v/>
      </c>
      <c r="I718" t="inlineStr"/>
    </row>
    <row r="719">
      <c r="A719" t="inlineStr">
        <is>
          <t>Machinery &amp; electronics</t>
        </is>
      </c>
      <c r="B719" t="inlineStr">
        <is>
          <t>85</t>
        </is>
      </c>
      <c r="C719" t="inlineStr">
        <is>
          <t>85159000</t>
        </is>
      </c>
      <c r="D719" t="inlineStr">
        <is>
          <t>PARTS OF ARTICLS IN HDNG 8515</t>
        </is>
      </c>
      <c r="E719" s="3" t="n">
        <v>2.16</v>
      </c>
      <c r="F719" s="3" t="n">
        <v>3.81</v>
      </c>
      <c r="G719" s="3">
        <f>F719-E719</f>
        <v/>
      </c>
      <c r="H719" s="4">
        <f>IF(E719=0,"",F719/E719-1)</f>
        <v/>
      </c>
      <c r="I719" t="inlineStr"/>
    </row>
    <row r="720">
      <c r="A720" t="inlineStr">
        <is>
          <t>Machinery &amp; electronics</t>
        </is>
      </c>
      <c r="B720" t="inlineStr">
        <is>
          <t>84</t>
        </is>
      </c>
      <c r="C720" t="inlineStr">
        <is>
          <t>84839000</t>
        </is>
      </c>
      <c r="D720" t="inlineStr">
        <is>
          <t>PARTS OF THE ITEMS OF HDG 8483</t>
        </is>
      </c>
      <c r="E720" s="3" t="n">
        <v>2.4</v>
      </c>
      <c r="F720" s="3" t="n">
        <v>3.74</v>
      </c>
      <c r="G720" s="3">
        <f>F720-E720</f>
        <v/>
      </c>
      <c r="H720" s="4">
        <f>IF(E720=0,"",F720/E720-1)</f>
        <v/>
      </c>
      <c r="I720" t="inlineStr"/>
    </row>
    <row r="721">
      <c r="A721" t="inlineStr">
        <is>
          <t>Machinery &amp; electronics</t>
        </is>
      </c>
      <c r="B721" t="inlineStr">
        <is>
          <t>85</t>
        </is>
      </c>
      <c r="C721" t="inlineStr">
        <is>
          <t>85479090</t>
        </is>
      </c>
      <c r="D721" t="inlineStr">
        <is>
          <t>OTHR INSLTNG FTTNGS</t>
        </is>
      </c>
      <c r="E721" s="3" t="n">
        <v>0.44</v>
      </c>
      <c r="F721" s="3" t="n">
        <v>3.73</v>
      </c>
      <c r="G721" s="3">
        <f>F721-E721</f>
        <v/>
      </c>
      <c r="H721" s="4">
        <f>IF(E721=0,"",F721/E721-1)</f>
        <v/>
      </c>
      <c r="I721" t="inlineStr"/>
    </row>
    <row r="722">
      <c r="A722" t="inlineStr">
        <is>
          <t>Machinery &amp; electronics</t>
        </is>
      </c>
      <c r="B722" t="inlineStr">
        <is>
          <t>84</t>
        </is>
      </c>
      <c r="C722" t="inlineStr">
        <is>
          <t>84629000</t>
        </is>
      </c>
      <c r="D722" t="inlineStr">
        <is>
          <t>OTHERS-OF-OTHERS-OF-MCHN-TLS FR WRKNG MTL BY FORGN,HAMMRNG/ DIE-STMPNG;FR WRKG MTL BY BENDNG,FOLDNG,ETC;PRSSES FR WRKNG MTL/MT</t>
        </is>
      </c>
      <c r="E722" s="3" t="n">
        <v>2.34</v>
      </c>
      <c r="F722" s="3" t="n">
        <v>3.72</v>
      </c>
      <c r="G722" s="3">
        <f>F722-E722</f>
        <v/>
      </c>
      <c r="H722" s="4">
        <f>IF(E722=0,"",F722/E722-1)</f>
        <v/>
      </c>
      <c r="I722" t="inlineStr"/>
    </row>
    <row r="723">
      <c r="A723" t="inlineStr">
        <is>
          <t>Machinery &amp; electronics</t>
        </is>
      </c>
      <c r="B723" t="inlineStr">
        <is>
          <t>84</t>
        </is>
      </c>
      <c r="C723" t="inlineStr">
        <is>
          <t>84742090</t>
        </is>
      </c>
      <c r="D723" t="inlineStr">
        <is>
          <t>OTHER CRUSHNG/GRINDNG MACHNS</t>
        </is>
      </c>
      <c r="E723" s="3" t="n">
        <v>0.89</v>
      </c>
      <c r="F723" s="3" t="n">
        <v>3.72</v>
      </c>
      <c r="G723" s="3">
        <f>F723-E723</f>
        <v/>
      </c>
      <c r="H723" s="4">
        <f>IF(E723=0,"",F723/E723-1)</f>
        <v/>
      </c>
      <c r="I723" t="inlineStr"/>
    </row>
    <row r="724">
      <c r="A724" t="inlineStr">
        <is>
          <t>Machinery &amp; electronics</t>
        </is>
      </c>
      <c r="B724" t="inlineStr">
        <is>
          <t>84</t>
        </is>
      </c>
      <c r="C724" t="inlineStr">
        <is>
          <t>84186920</t>
        </is>
      </c>
      <c r="D724" t="inlineStr">
        <is>
          <t>WATER COOLER</t>
        </is>
      </c>
      <c r="E724" s="3" t="n">
        <v>7.69</v>
      </c>
      <c r="F724" s="3" t="n">
        <v>3.67</v>
      </c>
      <c r="G724" s="3">
        <f>F724-E724</f>
        <v/>
      </c>
      <c r="H724" s="4">
        <f>IF(E724=0,"",F724/E724-1)</f>
        <v/>
      </c>
      <c r="I724" t="inlineStr"/>
    </row>
    <row r="725">
      <c r="A725" t="inlineStr">
        <is>
          <t>Machinery &amp; electronics</t>
        </is>
      </c>
      <c r="B725" t="inlineStr">
        <is>
          <t>84</t>
        </is>
      </c>
      <c r="C725" t="inlineStr">
        <is>
          <t>84179000</t>
        </is>
      </c>
      <c r="D725" t="inlineStr">
        <is>
          <t>PARTS OF NON ELECTRIC FURNACES OVENS ETC</t>
        </is>
      </c>
      <c r="E725" s="3" t="n">
        <v>4.25</v>
      </c>
      <c r="F725" s="3" t="n">
        <v>3.65</v>
      </c>
      <c r="G725" s="3">
        <f>F725-E725</f>
        <v/>
      </c>
      <c r="H725" s="4">
        <f>IF(E725=0,"",F725/E725-1)</f>
        <v/>
      </c>
      <c r="I725" t="inlineStr"/>
    </row>
    <row r="726">
      <c r="A726" t="inlineStr">
        <is>
          <t>Machinery &amp; electronics</t>
        </is>
      </c>
      <c r="B726" t="inlineStr">
        <is>
          <t>85</t>
        </is>
      </c>
      <c r="C726" t="inlineStr">
        <is>
          <t>85049090</t>
        </is>
      </c>
      <c r="D726" t="inlineStr">
        <is>
          <t>PRTS OF OTHR ELECTRIC PWR MCHNRY OF HD8504POWER MACHINERY OF HDG 8504</t>
        </is>
      </c>
      <c r="E726" s="3" t="n">
        <v>12.55</v>
      </c>
      <c r="F726" s="3" t="n">
        <v>3.64</v>
      </c>
      <c r="G726" s="3">
        <f>F726-E726</f>
        <v/>
      </c>
      <c r="H726" s="4">
        <f>IF(E726=0,"",F726/E726-1)</f>
        <v/>
      </c>
      <c r="I726" t="inlineStr"/>
    </row>
    <row r="727">
      <c r="A727" t="inlineStr">
        <is>
          <t>Machinery &amp; electronics</t>
        </is>
      </c>
      <c r="B727" t="inlineStr">
        <is>
          <t>84</t>
        </is>
      </c>
      <c r="C727" t="inlineStr">
        <is>
          <t>84778090</t>
        </is>
      </c>
      <c r="D727" t="inlineStr">
        <is>
          <t>OTHER MACHINERY FOR WORKNG RBR/PLASTIC</t>
        </is>
      </c>
      <c r="E727" s="3" t="n">
        <v>5.37</v>
      </c>
      <c r="F727" s="3" t="n">
        <v>3.52</v>
      </c>
      <c r="G727" s="3">
        <f>F727-E727</f>
        <v/>
      </c>
      <c r="H727" s="4">
        <f>IF(E727=0,"",F727/E727-1)</f>
        <v/>
      </c>
      <c r="I727" t="inlineStr"/>
    </row>
    <row r="728">
      <c r="A728" t="inlineStr">
        <is>
          <t>Machinery &amp; electronics</t>
        </is>
      </c>
      <c r="B728" t="inlineStr">
        <is>
          <t>84</t>
        </is>
      </c>
      <c r="C728" t="inlineStr">
        <is>
          <t>84678990</t>
        </is>
      </c>
      <c r="D728" t="inlineStr">
        <is>
          <t>OTHERS-OF-OTHER TOOLS FOR WORKING IN HAND</t>
        </is>
      </c>
      <c r="E728" s="3" t="n">
        <v>2.48</v>
      </c>
      <c r="F728" s="3" t="n">
        <v>3.47</v>
      </c>
      <c r="G728" s="3">
        <f>F728-E728</f>
        <v/>
      </c>
      <c r="H728" s="4">
        <f>IF(E728=0,"",F728/E728-1)</f>
        <v/>
      </c>
      <c r="I728" t="inlineStr"/>
    </row>
    <row r="729">
      <c r="A729" t="inlineStr">
        <is>
          <t>Machinery &amp; electronics</t>
        </is>
      </c>
      <c r="B729" t="inlineStr">
        <is>
          <t>85</t>
        </is>
      </c>
      <c r="C729" t="inlineStr">
        <is>
          <t>85444999</t>
        </is>
      </c>
      <c r="D729" t="inlineStr">
        <is>
          <t>OTHR ELCTRC CNDCTRS NOT FITTED WTH CONNCTRS USED IN TELECOM FR &lt;=1000V EXCL PAPR PLSCTIC AND RUBBER INSULATED</t>
        </is>
      </c>
      <c r="E729" s="3" t="n">
        <v>3.76</v>
      </c>
      <c r="F729" s="3" t="n">
        <v>3.37</v>
      </c>
      <c r="G729" s="3">
        <f>F729-E729</f>
        <v/>
      </c>
      <c r="H729" s="4">
        <f>IF(E729=0,"",F729/E729-1)</f>
        <v/>
      </c>
      <c r="I729" t="inlineStr"/>
    </row>
    <row r="730">
      <c r="A730" t="inlineStr">
        <is>
          <t>Machinery &amp; electronics</t>
        </is>
      </c>
      <c r="B730" t="inlineStr">
        <is>
          <t>85</t>
        </is>
      </c>
      <c r="C730" t="inlineStr">
        <is>
          <t>85446030</t>
        </is>
      </c>
      <c r="D730" t="inlineStr">
        <is>
          <t>RUBBER INSLTD CNDCTRS FR VLTGE &gt;1000 V</t>
        </is>
      </c>
      <c r="E730" s="3" t="n">
        <v>1.95</v>
      </c>
      <c r="F730" s="3" t="n">
        <v>3.37</v>
      </c>
      <c r="G730" s="3">
        <f>F730-E730</f>
        <v/>
      </c>
      <c r="H730" s="4">
        <f>IF(E730=0,"",F730/E730-1)</f>
        <v/>
      </c>
      <c r="I730" t="inlineStr"/>
    </row>
    <row r="731">
      <c r="A731" t="inlineStr">
        <is>
          <t>Machinery &amp; electronics</t>
        </is>
      </c>
      <c r="B731" t="inlineStr">
        <is>
          <t>84</t>
        </is>
      </c>
      <c r="C731" t="inlineStr">
        <is>
          <t>84501100</t>
        </is>
      </c>
      <c r="D731" t="inlineStr">
        <is>
          <t>FULY AUTMC MCHNS OF DRY LINN CPCTY&lt;=10 KG</t>
        </is>
      </c>
      <c r="E731" s="3" t="n">
        <v>4.32</v>
      </c>
      <c r="F731" s="3" t="n">
        <v>3.36</v>
      </c>
      <c r="G731" s="3">
        <f>F731-E731</f>
        <v/>
      </c>
      <c r="H731" s="4">
        <f>IF(E731=0,"",F731/E731-1)</f>
        <v/>
      </c>
      <c r="I731" t="inlineStr"/>
    </row>
    <row r="732">
      <c r="A732" t="inlineStr">
        <is>
          <t>Machinery &amp; electronics</t>
        </is>
      </c>
      <c r="B732" t="inlineStr">
        <is>
          <t>84</t>
        </is>
      </c>
      <c r="C732" t="inlineStr">
        <is>
          <t>84282020</t>
        </is>
      </c>
      <c r="D732" t="inlineStr">
        <is>
          <t>ELEVATORS</t>
        </is>
      </c>
      <c r="E732" s="3" t="n">
        <v>0.99</v>
      </c>
      <c r="F732" s="3" t="n">
        <v>3.34</v>
      </c>
      <c r="G732" s="3">
        <f>F732-E732</f>
        <v/>
      </c>
      <c r="H732" s="4">
        <f>IF(E732=0,"",F732/E732-1)</f>
        <v/>
      </c>
      <c r="I732" t="inlineStr"/>
    </row>
    <row r="733">
      <c r="A733" t="inlineStr">
        <is>
          <t>Machinery &amp; electronics</t>
        </is>
      </c>
      <c r="B733" t="inlineStr">
        <is>
          <t>85</t>
        </is>
      </c>
      <c r="C733" t="inlineStr">
        <is>
          <t>85365090</t>
        </is>
      </c>
      <c r="D733" t="inlineStr">
        <is>
          <t>OTHR SWITCHES</t>
        </is>
      </c>
      <c r="E733" s="3" t="n">
        <v>3.16</v>
      </c>
      <c r="F733" s="3" t="n">
        <v>3.34</v>
      </c>
      <c r="G733" s="3">
        <f>F733-E733</f>
        <v/>
      </c>
      <c r="H733" s="4">
        <f>IF(E733=0,"",F733/E733-1)</f>
        <v/>
      </c>
      <c r="I733" t="inlineStr"/>
    </row>
    <row r="734">
      <c r="A734" t="inlineStr">
        <is>
          <t>Machinery &amp; electronics</t>
        </is>
      </c>
      <c r="B734" t="inlineStr">
        <is>
          <t>84</t>
        </is>
      </c>
      <c r="C734" t="inlineStr">
        <is>
          <t>84021910</t>
        </is>
      </c>
      <c r="D734" t="inlineStr">
        <is>
          <t>FIRETBE,HORIZONTAL(LANCASHIRE)BOILERS</t>
        </is>
      </c>
      <c r="E734" s="3" t="n">
        <v>1.84</v>
      </c>
      <c r="F734" s="3" t="n">
        <v>3.32</v>
      </c>
      <c r="G734" s="3">
        <f>F734-E734</f>
        <v/>
      </c>
      <c r="H734" s="4">
        <f>IF(E734=0,"",F734/E734-1)</f>
        <v/>
      </c>
      <c r="I734" t="inlineStr"/>
    </row>
    <row r="735">
      <c r="A735" t="inlineStr">
        <is>
          <t>Machinery &amp; electronics</t>
        </is>
      </c>
      <c r="B735" t="inlineStr">
        <is>
          <t>85</t>
        </is>
      </c>
      <c r="C735" t="inlineStr">
        <is>
          <t>85021320</t>
        </is>
      </c>
      <c r="D735" t="inlineStr">
        <is>
          <t>GENERATING SETS WITH DIESEL ENGINES WITH AN OUTPUT EXCDNG 1000 KVA AND UPTO 1500 KVA</t>
        </is>
      </c>
      <c r="E735" s="3" t="n">
        <v>12.47</v>
      </c>
      <c r="F735" s="3" t="n">
        <v>3.27</v>
      </c>
      <c r="G735" s="3">
        <f>F735-E735</f>
        <v/>
      </c>
      <c r="H735" s="4">
        <f>IF(E735=0,"",F735/E735-1)</f>
        <v/>
      </c>
      <c r="I735" t="inlineStr"/>
    </row>
    <row r="736">
      <c r="A736" t="inlineStr">
        <is>
          <t>Machinery &amp; electronics</t>
        </is>
      </c>
      <c r="B736" t="inlineStr">
        <is>
          <t>84</t>
        </is>
      </c>
      <c r="C736" t="inlineStr">
        <is>
          <t>84251910</t>
        </is>
      </c>
      <c r="D736" t="inlineStr">
        <is>
          <t>HOISTING MACHINE NOT PWRD BY ELCTRC MOTR</t>
        </is>
      </c>
      <c r="E736" s="3" t="n">
        <v>0.62</v>
      </c>
      <c r="F736" s="3" t="n">
        <v>3.25</v>
      </c>
      <c r="G736" s="3">
        <f>F736-E736</f>
        <v/>
      </c>
      <c r="H736" s="4">
        <f>IF(E736=0,"",F736/E736-1)</f>
        <v/>
      </c>
      <c r="I736" t="inlineStr"/>
    </row>
    <row r="737">
      <c r="A737" t="inlineStr">
        <is>
          <t>Machinery &amp; electronics</t>
        </is>
      </c>
      <c r="B737" t="inlineStr">
        <is>
          <t>84</t>
        </is>
      </c>
      <c r="C737" t="inlineStr">
        <is>
          <t>84314930</t>
        </is>
      </c>
      <c r="D737" t="inlineStr">
        <is>
          <t>PRTS OF OTHR EXCVTNG,LVLNG,TMPNG AND EXCVTNGMCHNRY FR EARTH MNRL/ORES,SLF-PRPLD</t>
        </is>
      </c>
      <c r="E737" s="3" t="n">
        <v>5.12</v>
      </c>
      <c r="F737" s="3" t="n">
        <v>3.18</v>
      </c>
      <c r="G737" s="3">
        <f>F737-E737</f>
        <v/>
      </c>
      <c r="H737" s="4">
        <f>IF(E737=0,"",F737/E737-1)</f>
        <v/>
      </c>
      <c r="I737" t="inlineStr"/>
    </row>
    <row r="738">
      <c r="A738" t="inlineStr">
        <is>
          <t>Machinery &amp; electronics</t>
        </is>
      </c>
      <c r="B738" t="inlineStr">
        <is>
          <t>84</t>
        </is>
      </c>
      <c r="C738" t="inlineStr">
        <is>
          <t>84151010</t>
        </is>
      </c>
      <c r="D738" t="inlineStr">
        <is>
          <t>SPLIT SYSTEM AIRCONDTNG MCHNS,CMPRSNG MOTR-DRVN FAN AND ELMNTS FR CHNG TMPRTR AND HUMDTY</t>
        </is>
      </c>
      <c r="E738" s="3" t="n">
        <v>8.279999999999999</v>
      </c>
      <c r="F738" s="3" t="n">
        <v>3.16</v>
      </c>
      <c r="G738" s="3">
        <f>F738-E738</f>
        <v/>
      </c>
      <c r="H738" s="4">
        <f>IF(E738=0,"",F738/E738-1)</f>
        <v/>
      </c>
      <c r="I738" t="inlineStr"/>
    </row>
    <row r="739">
      <c r="A739" t="inlineStr">
        <is>
          <t>Machinery &amp; electronics</t>
        </is>
      </c>
      <c r="B739" t="inlineStr">
        <is>
          <t>84</t>
        </is>
      </c>
      <c r="C739" t="inlineStr">
        <is>
          <t>84137096</t>
        </is>
      </c>
      <c r="D739" t="inlineStr">
        <is>
          <t>SLURRY PUMPS</t>
        </is>
      </c>
      <c r="E739" s="3" t="n">
        <v>2.07</v>
      </c>
      <c r="F739" s="3" t="n">
        <v>3.14</v>
      </c>
      <c r="G739" s="3">
        <f>F739-E739</f>
        <v/>
      </c>
      <c r="H739" s="4">
        <f>IF(E739=0,"",F739/E739-1)</f>
        <v/>
      </c>
      <c r="I739" t="inlineStr"/>
    </row>
    <row r="740">
      <c r="A740" t="inlineStr">
        <is>
          <t>Machinery &amp; electronics</t>
        </is>
      </c>
      <c r="B740" t="inlineStr">
        <is>
          <t>84</t>
        </is>
      </c>
      <c r="C740" t="inlineStr">
        <is>
          <t>84212900</t>
        </is>
      </c>
      <c r="D740" t="inlineStr">
        <is>
          <t>OTHR FLTRNG/PURFYNG MCHNRY AND APPRTS FR LQD</t>
        </is>
      </c>
      <c r="E740" s="3" t="n">
        <v>7.97</v>
      </c>
      <c r="F740" s="3" t="n">
        <v>3.14</v>
      </c>
      <c r="G740" s="3">
        <f>F740-E740</f>
        <v/>
      </c>
      <c r="H740" s="4">
        <f>IF(E740=0,"",F740/E740-1)</f>
        <v/>
      </c>
      <c r="I740" t="inlineStr"/>
    </row>
    <row r="741">
      <c r="A741" t="inlineStr">
        <is>
          <t>Machinery &amp; electronics</t>
        </is>
      </c>
      <c r="B741" t="inlineStr">
        <is>
          <t>84</t>
        </is>
      </c>
      <c r="C741" t="inlineStr">
        <is>
          <t>84192090</t>
        </is>
      </c>
      <c r="D741" t="inlineStr">
        <is>
          <t>STERILISERS,N.E.S.</t>
        </is>
      </c>
      <c r="E741" s="3" t="n">
        <v>0.17</v>
      </c>
      <c r="F741" s="3" t="n">
        <v>3.09</v>
      </c>
      <c r="G741" s="3">
        <f>F741-E741</f>
        <v/>
      </c>
      <c r="H741" s="4">
        <f>IF(E741=0,"",F741/E741-1)</f>
        <v/>
      </c>
      <c r="I741" t="inlineStr"/>
    </row>
    <row r="742">
      <c r="A742" t="inlineStr">
        <is>
          <t>Machinery &amp; electronics</t>
        </is>
      </c>
      <c r="B742" t="inlineStr">
        <is>
          <t>84</t>
        </is>
      </c>
      <c r="C742" t="inlineStr">
        <is>
          <t>84243000</t>
        </is>
      </c>
      <c r="D742" t="inlineStr">
        <is>
          <t>STM/SND BLSTNG MCHNS AND JET PRJCTNG MCHNS</t>
        </is>
      </c>
      <c r="E742" s="3" t="n">
        <v>1</v>
      </c>
      <c r="F742" s="3" t="n">
        <v>3.03</v>
      </c>
      <c r="G742" s="3">
        <f>F742-E742</f>
        <v/>
      </c>
      <c r="H742" s="4">
        <f>IF(E742=0,"",F742/E742-1)</f>
        <v/>
      </c>
      <c r="I742" t="inlineStr"/>
    </row>
    <row r="743">
      <c r="A743" t="inlineStr">
        <is>
          <t>Machinery &amp; electronics</t>
        </is>
      </c>
      <c r="B743" t="inlineStr">
        <is>
          <t>84</t>
        </is>
      </c>
      <c r="C743" t="inlineStr">
        <is>
          <t>84242000</t>
        </is>
      </c>
      <c r="D743" t="inlineStr">
        <is>
          <t>SPRAY GUNS AND SIMILAR APPLIANCES</t>
        </is>
      </c>
      <c r="E743" s="3" t="n">
        <v>0.64</v>
      </c>
      <c r="F743" s="3" t="n">
        <v>3.01</v>
      </c>
      <c r="G743" s="3">
        <f>F743-E743</f>
        <v/>
      </c>
      <c r="H743" s="4">
        <f>IF(E743=0,"",F743/E743-1)</f>
        <v/>
      </c>
      <c r="I743" t="inlineStr"/>
    </row>
    <row r="744">
      <c r="A744" t="inlineStr">
        <is>
          <t>Machinery &amp; electronics</t>
        </is>
      </c>
      <c r="B744" t="inlineStr">
        <is>
          <t>85</t>
        </is>
      </c>
      <c r="C744" t="inlineStr">
        <is>
          <t>85015290</t>
        </is>
      </c>
      <c r="D744" t="inlineStr">
        <is>
          <t>OTHER TYPES OF A.C. MOTORS</t>
        </is>
      </c>
      <c r="E744" s="3" t="n">
        <v>3.28</v>
      </c>
      <c r="F744" s="3" t="n">
        <v>2.99</v>
      </c>
      <c r="G744" s="3">
        <f>F744-E744</f>
        <v/>
      </c>
      <c r="H744" s="4">
        <f>IF(E744=0,"",F744/E744-1)</f>
        <v/>
      </c>
      <c r="I744" t="inlineStr"/>
    </row>
    <row r="745">
      <c r="A745" t="inlineStr">
        <is>
          <t>Machinery &amp; electronics</t>
        </is>
      </c>
      <c r="B745" t="inlineStr">
        <is>
          <t>85</t>
        </is>
      </c>
      <c r="C745" t="inlineStr">
        <is>
          <t>85364900</t>
        </is>
      </c>
      <c r="D745" t="inlineStr">
        <is>
          <t>OTHER RELAYS</t>
        </is>
      </c>
      <c r="E745" s="3" t="n">
        <v>4.85</v>
      </c>
      <c r="F745" s="3" t="n">
        <v>2.94</v>
      </c>
      <c r="G745" s="3">
        <f>F745-E745</f>
        <v/>
      </c>
      <c r="H745" s="4">
        <f>IF(E745=0,"",F745/E745-1)</f>
        <v/>
      </c>
      <c r="I745" t="inlineStr"/>
    </row>
    <row r="746">
      <c r="A746" t="inlineStr">
        <is>
          <t>Machinery &amp; electronics</t>
        </is>
      </c>
      <c r="B746" t="inlineStr">
        <is>
          <t>84</t>
        </is>
      </c>
      <c r="C746" t="inlineStr">
        <is>
          <t>84771000</t>
        </is>
      </c>
      <c r="D746" t="inlineStr">
        <is>
          <t>INJECTION-MOULDING MACHINES</t>
        </is>
      </c>
      <c r="E746" s="3" t="n">
        <v>2.34</v>
      </c>
      <c r="F746" s="3" t="n">
        <v>2.93</v>
      </c>
      <c r="G746" s="3">
        <f>F746-E746</f>
        <v/>
      </c>
      <c r="H746" s="4">
        <f>IF(E746=0,"",F746/E746-1)</f>
        <v/>
      </c>
      <c r="I746" t="inlineStr"/>
    </row>
    <row r="747">
      <c r="A747" t="inlineStr">
        <is>
          <t>Machinery &amp; electronics</t>
        </is>
      </c>
      <c r="B747" t="inlineStr">
        <is>
          <t>84</t>
        </is>
      </c>
      <c r="C747" t="inlineStr">
        <is>
          <t>84145190</t>
        </is>
      </c>
      <c r="D747" t="inlineStr">
        <is>
          <t>OTHERS-OF-TABLE,FLOOR,WALL,WINDOW,CEILING/ROOF FANS,WTH SLF-CNTND ELCTRC MOTOR OF OUTPT&lt;=125 W</t>
        </is>
      </c>
      <c r="E747" s="3" t="n">
        <v>1.53</v>
      </c>
      <c r="F747" s="3" t="n">
        <v>2.91</v>
      </c>
      <c r="G747" s="3">
        <f>F747-E747</f>
        <v/>
      </c>
      <c r="H747" s="4">
        <f>IF(E747=0,"",F747/E747-1)</f>
        <v/>
      </c>
      <c r="I747" t="inlineStr"/>
    </row>
    <row r="748">
      <c r="A748" t="inlineStr">
        <is>
          <t>Machinery &amp; electronics</t>
        </is>
      </c>
      <c r="B748" t="inlineStr">
        <is>
          <t>84</t>
        </is>
      </c>
      <c r="C748" t="inlineStr">
        <is>
          <t>84292000</t>
        </is>
      </c>
      <c r="D748" t="inlineStr">
        <is>
          <t>GRADERS AND LEVELLERS</t>
        </is>
      </c>
      <c r="E748" s="3" t="n">
        <v>0.09</v>
      </c>
      <c r="F748" s="3" t="n">
        <v>2.9</v>
      </c>
      <c r="G748" s="3">
        <f>F748-E748</f>
        <v/>
      </c>
      <c r="H748" s="4">
        <f>IF(E748=0,"",F748/E748-1)</f>
        <v/>
      </c>
      <c r="I748" t="inlineStr"/>
    </row>
    <row r="749">
      <c r="A749" t="inlineStr">
        <is>
          <t>Machinery &amp; electronics</t>
        </is>
      </c>
      <c r="B749" t="inlineStr">
        <is>
          <t>85</t>
        </is>
      </c>
      <c r="C749" t="inlineStr">
        <is>
          <t>85044030</t>
        </is>
      </c>
      <c r="D749" t="inlineStr">
        <is>
          <t>BATTERY CHARGERS</t>
        </is>
      </c>
      <c r="E749" s="3" t="n">
        <v>2.69</v>
      </c>
      <c r="F749" s="3" t="n">
        <v>2.84</v>
      </c>
      <c r="G749" s="3">
        <f>F749-E749</f>
        <v/>
      </c>
      <c r="H749" s="4">
        <f>IF(E749=0,"",F749/E749-1)</f>
        <v/>
      </c>
      <c r="I749" t="inlineStr"/>
    </row>
    <row r="750">
      <c r="A750" t="inlineStr">
        <is>
          <t>Machinery &amp; electronics</t>
        </is>
      </c>
      <c r="B750" t="inlineStr">
        <is>
          <t>85</t>
        </is>
      </c>
      <c r="C750" t="inlineStr">
        <is>
          <t>85441920</t>
        </is>
      </c>
      <c r="D750" t="inlineStr">
        <is>
          <t>PLASTIC INSULATED WINDING WIRE</t>
        </is>
      </c>
      <c r="E750" s="3" t="n">
        <v>0.55</v>
      </c>
      <c r="F750" s="3" t="n">
        <v>2.83</v>
      </c>
      <c r="G750" s="3">
        <f>F750-E750</f>
        <v/>
      </c>
      <c r="H750" s="4">
        <f>IF(E750=0,"",F750/E750-1)</f>
        <v/>
      </c>
      <c r="I750" t="inlineStr"/>
    </row>
    <row r="751">
      <c r="A751" t="inlineStr">
        <is>
          <t>Machinery &amp; electronics</t>
        </is>
      </c>
      <c r="B751" t="inlineStr">
        <is>
          <t>85</t>
        </is>
      </c>
      <c r="C751" t="inlineStr">
        <is>
          <t>85361090</t>
        </is>
      </c>
      <c r="D751" t="inlineStr">
        <is>
          <t>OTHERS-OF-FUSES OF VOLGATE NOT EXCEEDING 1000 VOLTS</t>
        </is>
      </c>
      <c r="E751" s="3" t="n">
        <v>2.36</v>
      </c>
      <c r="F751" s="3" t="n">
        <v>2.82</v>
      </c>
      <c r="G751" s="3">
        <f>F751-E751</f>
        <v/>
      </c>
      <c r="H751" s="4">
        <f>IF(E751=0,"",F751/E751-1)</f>
        <v/>
      </c>
      <c r="I751" t="inlineStr"/>
    </row>
    <row r="752">
      <c r="A752" t="inlineStr">
        <is>
          <t>Machinery &amp; electronics</t>
        </is>
      </c>
      <c r="B752" t="inlineStr">
        <is>
          <t>84</t>
        </is>
      </c>
      <c r="C752" t="inlineStr">
        <is>
          <t>84335100</t>
        </is>
      </c>
      <c r="D752" t="inlineStr">
        <is>
          <t>COMBINE HARVESTER-THRESHERS</t>
        </is>
      </c>
      <c r="E752" s="3" t="n">
        <v>0.99</v>
      </c>
      <c r="F752" s="3" t="n">
        <v>2.77</v>
      </c>
      <c r="G752" s="3">
        <f>F752-E752</f>
        <v/>
      </c>
      <c r="H752" s="4">
        <f>IF(E752=0,"",F752/E752-1)</f>
        <v/>
      </c>
      <c r="I752" t="inlineStr"/>
    </row>
    <row r="753">
      <c r="A753" t="inlineStr">
        <is>
          <t>Machinery &amp; electronics</t>
        </is>
      </c>
      <c r="B753" t="inlineStr">
        <is>
          <t>84</t>
        </is>
      </c>
      <c r="C753" t="inlineStr">
        <is>
          <t>84581100</t>
        </is>
      </c>
      <c r="D753" t="inlineStr">
        <is>
          <t>HORIZONTAL LATHES,NUMERICALLY CONTROLLED</t>
        </is>
      </c>
      <c r="E753" s="3" t="n">
        <v>1.51</v>
      </c>
      <c r="F753" s="3" t="n">
        <v>2.71</v>
      </c>
      <c r="G753" s="3">
        <f>F753-E753</f>
        <v/>
      </c>
      <c r="H753" s="4">
        <f>IF(E753=0,"",F753/E753-1)</f>
        <v/>
      </c>
      <c r="I753" t="inlineStr"/>
    </row>
    <row r="754">
      <c r="A754" t="inlineStr">
        <is>
          <t>Machinery &amp; electronics</t>
        </is>
      </c>
      <c r="B754" t="inlineStr">
        <is>
          <t>85</t>
        </is>
      </c>
      <c r="C754" t="inlineStr">
        <is>
          <t>85437012</t>
        </is>
      </c>
      <c r="D754" t="inlineStr">
        <is>
          <t>METAL DETECTOR</t>
        </is>
      </c>
      <c r="E754" s="3" t="n">
        <v>0.15</v>
      </c>
      <c r="F754" s="3" t="n">
        <v>2.71</v>
      </c>
      <c r="G754" s="3">
        <f>F754-E754</f>
        <v/>
      </c>
      <c r="H754" s="4">
        <f>IF(E754=0,"",F754/E754-1)</f>
        <v/>
      </c>
      <c r="I754" t="inlineStr"/>
    </row>
    <row r="755">
      <c r="A755" t="inlineStr">
        <is>
          <t>Machinery &amp; electronics</t>
        </is>
      </c>
      <c r="B755" t="inlineStr">
        <is>
          <t>85</t>
        </is>
      </c>
      <c r="C755" t="inlineStr">
        <is>
          <t>85369030</t>
        </is>
      </c>
      <c r="D755" t="inlineStr">
        <is>
          <t>JUNCTION BOXES (BUS BAR)</t>
        </is>
      </c>
      <c r="E755" s="3" t="n">
        <v>2.69</v>
      </c>
      <c r="F755" s="3" t="n">
        <v>2.7</v>
      </c>
      <c r="G755" s="3">
        <f>F755-E755</f>
        <v/>
      </c>
      <c r="H755" s="4">
        <f>IF(E755=0,"",F755/E755-1)</f>
        <v/>
      </c>
      <c r="I755" t="inlineStr"/>
    </row>
    <row r="756">
      <c r="A756" t="inlineStr">
        <is>
          <t>Machinery &amp; electronics</t>
        </is>
      </c>
      <c r="B756" t="inlineStr">
        <is>
          <t>84</t>
        </is>
      </c>
      <c r="C756" t="inlineStr">
        <is>
          <t>84542010</t>
        </is>
      </c>
      <c r="D756" t="inlineStr">
        <is>
          <t>LADLES</t>
        </is>
      </c>
      <c r="E756" s="3" t="n">
        <v>2.47</v>
      </c>
      <c r="F756" s="3" t="n">
        <v>2.69</v>
      </c>
      <c r="G756" s="3">
        <f>F756-E756</f>
        <v/>
      </c>
      <c r="H756" s="4">
        <f>IF(E756=0,"",F756/E756-1)</f>
        <v/>
      </c>
      <c r="I756" t="inlineStr"/>
    </row>
    <row r="757">
      <c r="A757" t="inlineStr">
        <is>
          <t>Machinery &amp; electronics</t>
        </is>
      </c>
      <c r="B757" t="inlineStr">
        <is>
          <t>84</t>
        </is>
      </c>
      <c r="C757" t="inlineStr">
        <is>
          <t>84198970</t>
        </is>
      </c>
      <c r="D757" t="inlineStr">
        <is>
          <t>APPRTUS FR RPD HEATING SEMI-CONDCTR DEVCS,FR CHEMCL /PHYSCL VPOR DEPSN ON SEMI- CONDRWAFERS AND LCD SUBSTRATUS</t>
        </is>
      </c>
      <c r="E757" s="3" t="n">
        <v>0</v>
      </c>
      <c r="F757" s="3" t="n">
        <v>2.66</v>
      </c>
      <c r="G757" s="3">
        <f>F757-E757</f>
        <v/>
      </c>
      <c r="H757" s="4">
        <f>IF(E757=0,"",F757/E757-1)</f>
        <v/>
      </c>
      <c r="I757" t="inlineStr"/>
    </row>
    <row r="758">
      <c r="A758" t="inlineStr">
        <is>
          <t>Machinery &amp; electronics</t>
        </is>
      </c>
      <c r="B758" t="inlineStr">
        <is>
          <t>84</t>
        </is>
      </c>
      <c r="C758" t="inlineStr">
        <is>
          <t>84792090</t>
        </is>
      </c>
      <c r="D758" t="inlineStr">
        <is>
          <t>OIL SEED CRUSHNG/GRNDNG MCHNRY (INCLUDING FOR EXTRCTN/PRPN OF ANML/VGTBL FATSANDOILS</t>
        </is>
      </c>
      <c r="E758" s="3" t="n">
        <v>3.6</v>
      </c>
      <c r="F758" s="3" t="n">
        <v>2.65</v>
      </c>
      <c r="G758" s="3">
        <f>F758-E758</f>
        <v/>
      </c>
      <c r="H758" s="4">
        <f>IF(E758=0,"",F758/E758-1)</f>
        <v/>
      </c>
      <c r="I758" t="inlineStr"/>
    </row>
    <row r="759">
      <c r="A759" t="inlineStr">
        <is>
          <t>Machinery &amp; electronics</t>
        </is>
      </c>
      <c r="B759" t="inlineStr">
        <is>
          <t>84</t>
        </is>
      </c>
      <c r="C759" t="inlineStr">
        <is>
          <t>84841010</t>
        </is>
      </c>
      <c r="D759" t="inlineStr">
        <is>
          <t>ASBSTS MTLC PCKNGS AND GSKTS(EXCL GSKTS OF ASBSTS BOARD REINFRCD WTH MTL GAUZE/WIRE)</t>
        </is>
      </c>
      <c r="E759" s="3" t="n">
        <v>3.48</v>
      </c>
      <c r="F759" s="3" t="n">
        <v>2.63</v>
      </c>
      <c r="G759" s="3">
        <f>F759-E759</f>
        <v/>
      </c>
      <c r="H759" s="4">
        <f>IF(E759=0,"",F759/E759-1)</f>
        <v/>
      </c>
      <c r="I759" t="inlineStr"/>
    </row>
    <row r="760">
      <c r="A760" t="inlineStr">
        <is>
          <t>Machinery &amp; electronics</t>
        </is>
      </c>
      <c r="B760" t="inlineStr">
        <is>
          <t>84</t>
        </is>
      </c>
      <c r="C760" t="inlineStr">
        <is>
          <t>84564000</t>
        </is>
      </c>
      <c r="D760" t="inlineStr">
        <is>
          <t>MCHN-TOLLS FR WRKNG ANY MATRL BY RMVL OF MATRL OPERATED BY PLASMA ARC PROCESSES</t>
        </is>
      </c>
      <c r="E760" s="3" t="n">
        <v>0</v>
      </c>
      <c r="F760" s="3" t="n">
        <v>2.62</v>
      </c>
      <c r="G760" s="3">
        <f>F760-E760</f>
        <v/>
      </c>
      <c r="H760" s="4">
        <f>IF(E760=0,"",F760/E760-1)</f>
        <v/>
      </c>
      <c r="I760" t="inlineStr"/>
    </row>
    <row r="761">
      <c r="A761" t="inlineStr">
        <is>
          <t>Machinery &amp; electronics</t>
        </is>
      </c>
      <c r="B761" t="inlineStr">
        <is>
          <t>84</t>
        </is>
      </c>
      <c r="C761" t="inlineStr">
        <is>
          <t>84849000</t>
        </is>
      </c>
      <c r="D761" t="inlineStr">
        <is>
          <t>OTHR GASKETS AND SMLR JOINTS OF METAL</t>
        </is>
      </c>
      <c r="E761" s="3" t="n">
        <v>1.45</v>
      </c>
      <c r="F761" s="3" t="n">
        <v>2.49</v>
      </c>
      <c r="G761" s="3">
        <f>F761-E761</f>
        <v/>
      </c>
      <c r="H761" s="4">
        <f>IF(E761=0,"",F761/E761-1)</f>
        <v/>
      </c>
      <c r="I761" t="inlineStr"/>
    </row>
    <row r="762">
      <c r="A762" t="inlineStr">
        <is>
          <t>Machinery &amp; electronics</t>
        </is>
      </c>
      <c r="B762" t="inlineStr">
        <is>
          <t>85</t>
        </is>
      </c>
      <c r="C762" t="inlineStr">
        <is>
          <t>85011020</t>
        </is>
      </c>
      <c r="D762" t="inlineStr">
        <is>
          <t>AC MOTOR WTH OUTPUT &lt;=37.5 W</t>
        </is>
      </c>
      <c r="E762" s="3" t="n">
        <v>3.91</v>
      </c>
      <c r="F762" s="3" t="n">
        <v>2.49</v>
      </c>
      <c r="G762" s="3">
        <f>F762-E762</f>
        <v/>
      </c>
      <c r="H762" s="4">
        <f>IF(E762=0,"",F762/E762-1)</f>
        <v/>
      </c>
      <c r="I762" t="inlineStr"/>
    </row>
    <row r="763">
      <c r="A763" t="inlineStr">
        <is>
          <t>Machinery &amp; electronics</t>
        </is>
      </c>
      <c r="B763" t="inlineStr">
        <is>
          <t>84</t>
        </is>
      </c>
      <c r="C763" t="inlineStr">
        <is>
          <t>84283900</t>
        </is>
      </c>
      <c r="D763" t="inlineStr">
        <is>
          <t>OTHR CNTNS-ACTN ELVTRS AND CNVEYRS FR GOODS</t>
        </is>
      </c>
      <c r="E763" s="3" t="n">
        <v>2.76</v>
      </c>
      <c r="F763" s="3" t="n">
        <v>2.46</v>
      </c>
      <c r="G763" s="3">
        <f>F763-E763</f>
        <v/>
      </c>
      <c r="H763" s="4">
        <f>IF(E763=0,"",F763/E763-1)</f>
        <v/>
      </c>
      <c r="I763" t="inlineStr"/>
    </row>
    <row r="764">
      <c r="A764" t="inlineStr">
        <is>
          <t>Machinery &amp; electronics</t>
        </is>
      </c>
      <c r="B764" t="inlineStr">
        <is>
          <t>85</t>
        </is>
      </c>
      <c r="C764" t="inlineStr">
        <is>
          <t>85042100</t>
        </is>
      </c>
      <c r="D764" t="inlineStr">
        <is>
          <t>LQD DIELECTRC TRNSFRMRS HVNG A PWR HNDLNG CAPACITY NT EXCDNG 650 KVA</t>
        </is>
      </c>
      <c r="E764" s="3" t="n">
        <v>0.05</v>
      </c>
      <c r="F764" s="3" t="n">
        <v>2.46</v>
      </c>
      <c r="G764" s="3">
        <f>F764-E764</f>
        <v/>
      </c>
      <c r="H764" s="4">
        <f>IF(E764=0,"",F764/E764-1)</f>
        <v/>
      </c>
      <c r="I764" t="inlineStr"/>
    </row>
    <row r="765">
      <c r="A765" t="inlineStr">
        <is>
          <t>Machinery &amp; electronics</t>
        </is>
      </c>
      <c r="B765" t="inlineStr">
        <is>
          <t>84</t>
        </is>
      </c>
      <c r="C765" t="inlineStr">
        <is>
          <t>84145990</t>
        </is>
      </c>
      <c r="D765" t="inlineStr">
        <is>
          <t>OTHERS-OF-OTHER FANS</t>
        </is>
      </c>
      <c r="E765" s="3" t="n">
        <v>1.25</v>
      </c>
      <c r="F765" s="3" t="n">
        <v>2.44</v>
      </c>
      <c r="G765" s="3">
        <f>F765-E765</f>
        <v/>
      </c>
      <c r="H765" s="4">
        <f>IF(E765=0,"",F765/E765-1)</f>
        <v/>
      </c>
      <c r="I765" t="inlineStr"/>
    </row>
    <row r="766">
      <c r="A766" t="inlineStr">
        <is>
          <t>Machinery &amp; electronics</t>
        </is>
      </c>
      <c r="B766" t="inlineStr">
        <is>
          <t>84</t>
        </is>
      </c>
      <c r="C766" t="inlineStr">
        <is>
          <t>84818020</t>
        </is>
      </c>
      <c r="D766" t="inlineStr">
        <is>
          <t>TAPS,COCKS ETC OF NON-FERROUS METAL</t>
        </is>
      </c>
      <c r="E766" s="3" t="n">
        <v>1.83</v>
      </c>
      <c r="F766" s="3" t="n">
        <v>2.43</v>
      </c>
      <c r="G766" s="3">
        <f>F766-E766</f>
        <v/>
      </c>
      <c r="H766" s="4">
        <f>IF(E766=0,"",F766/E766-1)</f>
        <v/>
      </c>
      <c r="I766" t="inlineStr"/>
    </row>
    <row r="767">
      <c r="A767" t="inlineStr">
        <is>
          <t>Machinery &amp; electronics</t>
        </is>
      </c>
      <c r="B767" t="inlineStr">
        <is>
          <t>85</t>
        </is>
      </c>
      <c r="C767" t="inlineStr">
        <is>
          <t>85441930</t>
        </is>
      </c>
      <c r="D767" t="inlineStr">
        <is>
          <t>RUBBER INSULATED WINDING WIRE</t>
        </is>
      </c>
      <c r="E767" s="3" t="n">
        <v>0.87</v>
      </c>
      <c r="F767" s="3" t="n">
        <v>2.4</v>
      </c>
      <c r="G767" s="3">
        <f>F767-E767</f>
        <v/>
      </c>
      <c r="H767" s="4">
        <f>IF(E767=0,"",F767/E767-1)</f>
        <v/>
      </c>
      <c r="I767" t="inlineStr"/>
    </row>
    <row r="768">
      <c r="A768" t="inlineStr">
        <is>
          <t>Machinery &amp; electronics</t>
        </is>
      </c>
      <c r="B768" t="inlineStr">
        <is>
          <t>85</t>
        </is>
      </c>
      <c r="C768" t="inlineStr">
        <is>
          <t>85153100</t>
        </is>
      </c>
      <c r="D768" t="inlineStr">
        <is>
          <t>FULLY/PARTLY AUTOMATIC MCHNS AND APPRTS FR ARC(INCL PLASMA ARC)WLDNG OF MTL</t>
        </is>
      </c>
      <c r="E768" s="3" t="n">
        <v>4.42</v>
      </c>
      <c r="F768" s="3" t="n">
        <v>2.34</v>
      </c>
      <c r="G768" s="3">
        <f>F768-E768</f>
        <v/>
      </c>
      <c r="H768" s="4">
        <f>IF(E768=0,"",F768/E768-1)</f>
        <v/>
      </c>
      <c r="I768" t="inlineStr"/>
    </row>
    <row r="769">
      <c r="A769" t="inlineStr">
        <is>
          <t>Machinery &amp; electronics</t>
        </is>
      </c>
      <c r="B769" t="inlineStr">
        <is>
          <t>85</t>
        </is>
      </c>
      <c r="C769" t="inlineStr">
        <is>
          <t>85015390</t>
        </is>
      </c>
      <c r="D769" t="inlineStr">
        <is>
          <t>OTHER TYPES OF A.C. MOTORS</t>
        </is>
      </c>
      <c r="E769" s="3" t="n">
        <v>0.27</v>
      </c>
      <c r="F769" s="3" t="n">
        <v>2.3</v>
      </c>
      <c r="G769" s="3">
        <f>F769-E769</f>
        <v/>
      </c>
      <c r="H769" s="4">
        <f>IF(E769=0,"",F769/E769-1)</f>
        <v/>
      </c>
      <c r="I769" t="inlineStr"/>
    </row>
    <row r="770">
      <c r="A770" t="inlineStr">
        <is>
          <t>Machinery &amp; electronics</t>
        </is>
      </c>
      <c r="B770" t="inlineStr">
        <is>
          <t>85</t>
        </is>
      </c>
      <c r="C770" t="inlineStr">
        <is>
          <t>85030090</t>
        </is>
      </c>
      <c r="D770" t="inlineStr">
        <is>
          <t>PARTS OF OTHR ROTATING ELECTRC PLANTS</t>
        </is>
      </c>
      <c r="E770" s="3" t="n">
        <v>2.8</v>
      </c>
      <c r="F770" s="3" t="n">
        <v>2.27</v>
      </c>
      <c r="G770" s="3">
        <f>F770-E770</f>
        <v/>
      </c>
      <c r="H770" s="4">
        <f>IF(E770=0,"",F770/E770-1)</f>
        <v/>
      </c>
      <c r="I770" t="inlineStr"/>
    </row>
    <row r="771">
      <c r="A771" t="inlineStr">
        <is>
          <t>Machinery &amp; electronics</t>
        </is>
      </c>
      <c r="B771" t="inlineStr">
        <is>
          <t>84</t>
        </is>
      </c>
      <c r="C771" t="inlineStr">
        <is>
          <t>84251110</t>
        </is>
      </c>
      <c r="D771" t="inlineStr">
        <is>
          <t>HOISTING MACHINE PWRD BY ELCTRC MOTR</t>
        </is>
      </c>
      <c r="E771" s="3" t="n">
        <v>0.9399999999999999</v>
      </c>
      <c r="F771" s="3" t="n">
        <v>2.19</v>
      </c>
      <c r="G771" s="3">
        <f>F771-E771</f>
        <v/>
      </c>
      <c r="H771" s="4">
        <f>IF(E771=0,"",F771/E771-1)</f>
        <v/>
      </c>
      <c r="I771" t="inlineStr"/>
    </row>
    <row r="772">
      <c r="A772" t="inlineStr">
        <is>
          <t>Machinery &amp; electronics</t>
        </is>
      </c>
      <c r="B772" t="inlineStr">
        <is>
          <t>84</t>
        </is>
      </c>
      <c r="C772" t="inlineStr">
        <is>
          <t>84795000</t>
        </is>
      </c>
      <c r="D772" t="inlineStr">
        <is>
          <t>INDUSTRIAL ROBOTS</t>
        </is>
      </c>
      <c r="E772" s="3" t="n">
        <v>3.19</v>
      </c>
      <c r="F772" s="3" t="n">
        <v>2.18</v>
      </c>
      <c r="G772" s="3">
        <f>F772-E772</f>
        <v/>
      </c>
      <c r="H772" s="4">
        <f>IF(E772=0,"",F772/E772-1)</f>
        <v/>
      </c>
      <c r="I772" t="inlineStr"/>
    </row>
    <row r="773">
      <c r="A773" t="inlineStr">
        <is>
          <t>Machinery &amp; electronics</t>
        </is>
      </c>
      <c r="B773" t="inlineStr">
        <is>
          <t>85</t>
        </is>
      </c>
      <c r="C773" t="inlineStr">
        <is>
          <t>85361040</t>
        </is>
      </c>
      <c r="D773" t="inlineStr">
        <is>
          <t>HIGH RUPTURING CAPACITY FUSES</t>
        </is>
      </c>
      <c r="E773" s="3" t="n">
        <v>0.72</v>
      </c>
      <c r="F773" s="3" t="n">
        <v>2.16</v>
      </c>
      <c r="G773" s="3">
        <f>F773-E773</f>
        <v/>
      </c>
      <c r="H773" s="4">
        <f>IF(E773=0,"",F773/E773-1)</f>
        <v/>
      </c>
      <c r="I773" t="inlineStr"/>
    </row>
    <row r="774">
      <c r="A774" t="inlineStr">
        <is>
          <t>Machinery &amp; electronics</t>
        </is>
      </c>
      <c r="B774" t="inlineStr">
        <is>
          <t>85</t>
        </is>
      </c>
      <c r="C774" t="inlineStr">
        <is>
          <t>85364100</t>
        </is>
      </c>
      <c r="D774" t="inlineStr">
        <is>
          <t>RELAYS FR A VLTG NT EXCDG 60 V</t>
        </is>
      </c>
      <c r="E774" s="3" t="n">
        <v>0.17</v>
      </c>
      <c r="F774" s="3" t="n">
        <v>2.12</v>
      </c>
      <c r="G774" s="3">
        <f>F774-E774</f>
        <v/>
      </c>
      <c r="H774" s="4">
        <f>IF(E774=0,"",F774/E774-1)</f>
        <v/>
      </c>
      <c r="I774" t="inlineStr"/>
    </row>
    <row r="775">
      <c r="A775" t="inlineStr">
        <is>
          <t>Machinery &amp; electronics</t>
        </is>
      </c>
      <c r="B775" t="inlineStr">
        <is>
          <t>84</t>
        </is>
      </c>
      <c r="C775" t="inlineStr">
        <is>
          <t>84679900</t>
        </is>
      </c>
      <c r="D775" t="inlineStr">
        <is>
          <t>PARTS OF OTHER TOOLS FOR WORKING IN HAND</t>
        </is>
      </c>
      <c r="E775" s="3" t="n">
        <v>1.88</v>
      </c>
      <c r="F775" s="3" t="n">
        <v>2.09</v>
      </c>
      <c r="G775" s="3">
        <f>F775-E775</f>
        <v/>
      </c>
      <c r="H775" s="4">
        <f>IF(E775=0,"",F775/E775-1)</f>
        <v/>
      </c>
      <c r="I775" t="inlineStr"/>
    </row>
    <row r="776">
      <c r="A776" t="inlineStr">
        <is>
          <t>Machinery &amp; electronics</t>
        </is>
      </c>
      <c r="B776" t="inlineStr">
        <is>
          <t>84</t>
        </is>
      </c>
      <c r="C776" t="inlineStr">
        <is>
          <t>84389090</t>
        </is>
      </c>
      <c r="D776" t="inlineStr">
        <is>
          <t>PARTS OF OTHR FOOD PROCESSING MACHINERY</t>
        </is>
      </c>
      <c r="E776" s="3" t="n">
        <v>1.14</v>
      </c>
      <c r="F776" s="3" t="n">
        <v>2.06</v>
      </c>
      <c r="G776" s="3">
        <f>F776-E776</f>
        <v/>
      </c>
      <c r="H776" s="4">
        <f>IF(E776=0,"",F776/E776-1)</f>
        <v/>
      </c>
      <c r="I776" t="inlineStr"/>
    </row>
    <row r="777">
      <c r="A777" t="inlineStr">
        <is>
          <t>Machinery &amp; electronics</t>
        </is>
      </c>
      <c r="B777" t="inlineStr">
        <is>
          <t>85</t>
        </is>
      </c>
      <c r="C777" t="inlineStr">
        <is>
          <t>85469010</t>
        </is>
      </c>
      <c r="D777" t="inlineStr">
        <is>
          <t>HEAT SHRINKABLE COMPONENTS</t>
        </is>
      </c>
      <c r="E777" s="3" t="n">
        <v>1.84</v>
      </c>
      <c r="F777" s="3" t="n">
        <v>2.06</v>
      </c>
      <c r="G777" s="3">
        <f>F777-E777</f>
        <v/>
      </c>
      <c r="H777" s="4">
        <f>IF(E777=0,"",F777/E777-1)</f>
        <v/>
      </c>
      <c r="I777" t="inlineStr"/>
    </row>
    <row r="778">
      <c r="A778" t="inlineStr">
        <is>
          <t>Machinery &amp; electronics</t>
        </is>
      </c>
      <c r="B778" t="inlineStr">
        <is>
          <t>84</t>
        </is>
      </c>
      <c r="C778" t="inlineStr">
        <is>
          <t>84135010</t>
        </is>
      </c>
      <c r="D778" t="inlineStr">
        <is>
          <t>METERING AND DOSING PUMPS</t>
        </is>
      </c>
      <c r="E778" s="3" t="n">
        <v>0.59</v>
      </c>
      <c r="F778" s="3" t="n">
        <v>2.05</v>
      </c>
      <c r="G778" s="3">
        <f>F778-E778</f>
        <v/>
      </c>
      <c r="H778" s="4">
        <f>IF(E778=0,"",F778/E778-1)</f>
        <v/>
      </c>
      <c r="I778" t="inlineStr"/>
    </row>
    <row r="779">
      <c r="A779" t="inlineStr">
        <is>
          <t>Machinery &amp; electronics</t>
        </is>
      </c>
      <c r="B779" t="inlineStr">
        <is>
          <t>84</t>
        </is>
      </c>
      <c r="C779" t="inlineStr">
        <is>
          <t>84842000</t>
        </is>
      </c>
      <c r="D779" t="inlineStr">
        <is>
          <t>MECHANICAL SEALS</t>
        </is>
      </c>
      <c r="E779" s="3" t="n">
        <v>2.57</v>
      </c>
      <c r="F779" s="3" t="n">
        <v>1.99</v>
      </c>
      <c r="G779" s="3">
        <f>F779-E779</f>
        <v/>
      </c>
      <c r="H779" s="4">
        <f>IF(E779=0,"",F779/E779-1)</f>
        <v/>
      </c>
      <c r="I779" t="inlineStr"/>
    </row>
    <row r="780">
      <c r="A780" t="inlineStr">
        <is>
          <t>Machinery &amp; electronics</t>
        </is>
      </c>
      <c r="B780" t="inlineStr">
        <is>
          <t>85</t>
        </is>
      </c>
      <c r="C780" t="inlineStr">
        <is>
          <t>85043300</t>
        </is>
      </c>
      <c r="D780" t="inlineStr">
        <is>
          <t>OTHR TRNSFRMRS HVNG A PWR HNDLNG CAPACTY EXCDNG 16 KVA BT NT EXCDNG 500 KVA</t>
        </is>
      </c>
      <c r="E780" s="3" t="n">
        <v>0.86</v>
      </c>
      <c r="F780" s="3" t="n">
        <v>1.99</v>
      </c>
      <c r="G780" s="3">
        <f>F780-E780</f>
        <v/>
      </c>
      <c r="H780" s="4">
        <f>IF(E780=0,"",F780/E780-1)</f>
        <v/>
      </c>
      <c r="I780" t="inlineStr"/>
    </row>
    <row r="781">
      <c r="A781" t="inlineStr">
        <is>
          <t>Machinery &amp; electronics</t>
        </is>
      </c>
      <c r="B781" t="inlineStr">
        <is>
          <t>85</t>
        </is>
      </c>
      <c r="C781" t="inlineStr">
        <is>
          <t>85352919</t>
        </is>
      </c>
      <c r="D781" t="inlineStr">
        <is>
          <t>OTHR SF6 CIRCUIT BRKRS FR VLTG &gt;=72.5 KV</t>
        </is>
      </c>
      <c r="E781" s="3" t="n">
        <v>0.01</v>
      </c>
      <c r="F781" s="3" t="n">
        <v>1.97</v>
      </c>
      <c r="G781" s="3">
        <f>F781-E781</f>
        <v/>
      </c>
      <c r="H781" s="4">
        <f>IF(E781=0,"",F781/E781-1)</f>
        <v/>
      </c>
      <c r="I781" t="inlineStr"/>
    </row>
    <row r="782">
      <c r="A782" t="inlineStr">
        <is>
          <t>Machinery &amp; electronics</t>
        </is>
      </c>
      <c r="B782" t="inlineStr">
        <is>
          <t>84</t>
        </is>
      </c>
      <c r="C782" t="inlineStr">
        <is>
          <t>84169000</t>
        </is>
      </c>
      <c r="D782" t="inlineStr">
        <is>
          <t>PARTS OF THE ITEMS OF HEADING 8416</t>
        </is>
      </c>
      <c r="E782" s="3" t="n">
        <v>1.3</v>
      </c>
      <c r="F782" s="3" t="n">
        <v>1.96</v>
      </c>
      <c r="G782" s="3">
        <f>F782-E782</f>
        <v/>
      </c>
      <c r="H782" s="4">
        <f>IF(E782=0,"",F782/E782-1)</f>
        <v/>
      </c>
      <c r="I782" t="inlineStr"/>
    </row>
    <row r="783">
      <c r="A783" t="inlineStr">
        <is>
          <t>Machinery &amp; electronics</t>
        </is>
      </c>
      <c r="B783" t="inlineStr">
        <is>
          <t>84</t>
        </is>
      </c>
      <c r="C783" t="inlineStr">
        <is>
          <t>84791000</t>
        </is>
      </c>
      <c r="D783" t="inlineStr">
        <is>
          <t>MCHNRY FR PUBLIC WRKS,BUILDNG/THE LIKE</t>
        </is>
      </c>
      <c r="E783" s="3" t="n">
        <v>2.36</v>
      </c>
      <c r="F783" s="3" t="n">
        <v>1.9</v>
      </c>
      <c r="G783" s="3">
        <f>F783-E783</f>
        <v/>
      </c>
      <c r="H783" s="4">
        <f>IF(E783=0,"",F783/E783-1)</f>
        <v/>
      </c>
      <c r="I783" t="inlineStr"/>
    </row>
    <row r="784">
      <c r="A784" t="inlineStr">
        <is>
          <t>Machinery &amp; electronics</t>
        </is>
      </c>
      <c r="B784" t="inlineStr">
        <is>
          <t>84</t>
        </is>
      </c>
      <c r="C784" t="inlineStr">
        <is>
          <t>84306910</t>
        </is>
      </c>
      <c r="D784" t="inlineStr">
        <is>
          <t>MINE PLOUGH MACHINERY</t>
        </is>
      </c>
      <c r="E784" s="3" t="n">
        <v>0</v>
      </c>
      <c r="F784" s="3" t="n">
        <v>1.86</v>
      </c>
      <c r="G784" s="3">
        <f>F784-E784</f>
        <v/>
      </c>
      <c r="H784" s="4">
        <f>IF(E784=0,"",F784/E784-1)</f>
        <v/>
      </c>
      <c r="I784" t="inlineStr"/>
    </row>
    <row r="785">
      <c r="A785" t="inlineStr">
        <is>
          <t>Machinery &amp; electronics</t>
        </is>
      </c>
      <c r="B785" t="inlineStr">
        <is>
          <t>84</t>
        </is>
      </c>
      <c r="C785" t="inlineStr">
        <is>
          <t>84729030</t>
        </is>
      </c>
      <c r="D785" t="inlineStr">
        <is>
          <t>AUTOMATIC BANK NOTE DISPENSERS</t>
        </is>
      </c>
      <c r="E785" s="3" t="n">
        <v>8.83</v>
      </c>
      <c r="F785" s="3" t="n">
        <v>1.86</v>
      </c>
      <c r="G785" s="3">
        <f>F785-E785</f>
        <v/>
      </c>
      <c r="H785" s="4">
        <f>IF(E785=0,"",F785/E785-1)</f>
        <v/>
      </c>
      <c r="I785" t="inlineStr"/>
    </row>
    <row r="786">
      <c r="A786" t="inlineStr">
        <is>
          <t>Machinery &amp; electronics</t>
        </is>
      </c>
      <c r="B786" t="inlineStr">
        <is>
          <t>84</t>
        </is>
      </c>
      <c r="C786" t="inlineStr">
        <is>
          <t>84143000</t>
        </is>
      </c>
      <c r="D786" t="inlineStr">
        <is>
          <t>COMPRESSORS USD IN REPRIGERATING EQUIPMENT</t>
        </is>
      </c>
      <c r="E786" s="3" t="n">
        <v>2.71</v>
      </c>
      <c r="F786" s="3" t="n">
        <v>1.83</v>
      </c>
      <c r="G786" s="3">
        <f>F786-E786</f>
        <v/>
      </c>
      <c r="H786" s="4">
        <f>IF(E786=0,"",F786/E786-1)</f>
        <v/>
      </c>
      <c r="I786" t="inlineStr"/>
    </row>
    <row r="787">
      <c r="A787" t="inlineStr">
        <is>
          <t>Machinery &amp; electronics</t>
        </is>
      </c>
      <c r="B787" t="inlineStr">
        <is>
          <t>84</t>
        </is>
      </c>
      <c r="C787" t="inlineStr">
        <is>
          <t>84796000</t>
        </is>
      </c>
      <c r="D787" t="inlineStr">
        <is>
          <t>EVAPORATIVE AIR COOLERS</t>
        </is>
      </c>
      <c r="E787" s="3" t="n">
        <v>0.35</v>
      </c>
      <c r="F787" s="3" t="n">
        <v>1.83</v>
      </c>
      <c r="G787" s="3">
        <f>F787-E787</f>
        <v/>
      </c>
      <c r="H787" s="4">
        <f>IF(E787=0,"",F787/E787-1)</f>
        <v/>
      </c>
      <c r="I787" t="inlineStr"/>
    </row>
    <row r="788">
      <c r="A788" t="inlineStr">
        <is>
          <t>Machinery &amp; electronics</t>
        </is>
      </c>
      <c r="B788" t="inlineStr">
        <is>
          <t>84</t>
        </is>
      </c>
      <c r="C788" t="inlineStr">
        <is>
          <t>84137095</t>
        </is>
      </c>
      <c r="D788" t="inlineStr">
        <is>
          <t>BOILER FEED PUMPS</t>
        </is>
      </c>
      <c r="E788" s="3" t="n">
        <v>0</v>
      </c>
      <c r="F788" s="3" t="n">
        <v>1.82</v>
      </c>
      <c r="G788" s="3">
        <f>F788-E788</f>
        <v/>
      </c>
      <c r="H788" s="4">
        <f>IF(E788=0,"",F788/E788-1)</f>
        <v/>
      </c>
      <c r="I788" t="inlineStr"/>
    </row>
    <row r="789">
      <c r="A789" t="inlineStr">
        <is>
          <t>Machinery &amp; electronics</t>
        </is>
      </c>
      <c r="B789" t="inlineStr">
        <is>
          <t>84</t>
        </is>
      </c>
      <c r="C789" t="inlineStr">
        <is>
          <t>84141090</t>
        </is>
      </c>
      <c r="D789" t="inlineStr">
        <is>
          <t>OTHERS-OF-VACUUM PUMPS</t>
        </is>
      </c>
      <c r="E789" s="3" t="n">
        <v>1.07</v>
      </c>
      <c r="F789" s="3" t="n">
        <v>1.81</v>
      </c>
      <c r="G789" s="3">
        <f>F789-E789</f>
        <v/>
      </c>
      <c r="H789" s="4">
        <f>IF(E789=0,"",F789/E789-1)</f>
        <v/>
      </c>
      <c r="I789" t="inlineStr"/>
    </row>
    <row r="790">
      <c r="A790" t="inlineStr">
        <is>
          <t>Machinery &amp; electronics</t>
        </is>
      </c>
      <c r="B790" t="inlineStr">
        <is>
          <t>84</t>
        </is>
      </c>
      <c r="C790" t="inlineStr">
        <is>
          <t>84833000</t>
        </is>
      </c>
      <c r="D790" t="inlineStr">
        <is>
          <t>BEARING HOUSUNGS,NOT INCORPORATING BALL OR ROLLER BEARINGS;PLAIN SHAFT BEARINGS</t>
        </is>
      </c>
      <c r="E790" s="3" t="n">
        <v>0.92</v>
      </c>
      <c r="F790" s="3" t="n">
        <v>1.79</v>
      </c>
      <c r="G790" s="3">
        <f>F790-E790</f>
        <v/>
      </c>
      <c r="H790" s="4">
        <f>IF(E790=0,"",F790/E790-1)</f>
        <v/>
      </c>
      <c r="I790" t="inlineStr"/>
    </row>
    <row r="791">
      <c r="A791" t="inlineStr">
        <is>
          <t>Machinery &amp; electronics</t>
        </is>
      </c>
      <c r="B791" t="inlineStr">
        <is>
          <t>85</t>
        </is>
      </c>
      <c r="C791" t="inlineStr">
        <is>
          <t>85238020</t>
        </is>
      </c>
      <c r="D791" t="inlineStr">
        <is>
          <t>DISCS WITH INFORMATION TECHNOLOGY SOFTWARE</t>
        </is>
      </c>
      <c r="E791" s="3" t="n">
        <v>0.07000000000000001</v>
      </c>
      <c r="F791" s="3" t="n">
        <v>1.79</v>
      </c>
      <c r="G791" s="3">
        <f>F791-E791</f>
        <v/>
      </c>
      <c r="H791" s="4">
        <f>IF(E791=0,"",F791/E791-1)</f>
        <v/>
      </c>
      <c r="I791" t="inlineStr"/>
    </row>
    <row r="792">
      <c r="A792" t="inlineStr">
        <is>
          <t>Machinery &amp; electronics</t>
        </is>
      </c>
      <c r="B792" t="inlineStr">
        <is>
          <t>84</t>
        </is>
      </c>
      <c r="C792" t="inlineStr">
        <is>
          <t>84717090</t>
        </is>
      </c>
      <c r="D792" t="inlineStr">
        <is>
          <t>OTHERS-OF-STORAGE UNITS.</t>
        </is>
      </c>
      <c r="E792" s="3" t="n">
        <v>0.01</v>
      </c>
      <c r="F792" s="3" t="n">
        <v>1.78</v>
      </c>
      <c r="G792" s="3">
        <f>F792-E792</f>
        <v/>
      </c>
      <c r="H792" s="4">
        <f>IF(E792=0,"",F792/E792-1)</f>
        <v/>
      </c>
      <c r="I792" t="inlineStr"/>
    </row>
    <row r="793">
      <c r="A793" t="inlineStr">
        <is>
          <t>Machinery &amp; electronics</t>
        </is>
      </c>
      <c r="B793" t="inlineStr">
        <is>
          <t>84</t>
        </is>
      </c>
      <c r="C793" t="inlineStr">
        <is>
          <t>84362100</t>
        </is>
      </c>
      <c r="D793" t="inlineStr">
        <is>
          <t>POULTRY INCUBATORS AND BROODERS</t>
        </is>
      </c>
      <c r="E793" s="3" t="n">
        <v>0.19</v>
      </c>
      <c r="F793" s="3" t="n">
        <v>1.77</v>
      </c>
      <c r="G793" s="3">
        <f>F793-E793</f>
        <v/>
      </c>
      <c r="H793" s="4">
        <f>IF(E793=0,"",F793/E793-1)</f>
        <v/>
      </c>
      <c r="I793" t="inlineStr"/>
    </row>
    <row r="794">
      <c r="A794" t="inlineStr">
        <is>
          <t>Machinery &amp; electronics</t>
        </is>
      </c>
      <c r="B794" t="inlineStr">
        <is>
          <t>84</t>
        </is>
      </c>
      <c r="C794" t="inlineStr">
        <is>
          <t>84798100</t>
        </is>
      </c>
      <c r="D794" t="inlineStr">
        <is>
          <t>MCHNS AND MCHNCL APPLNCS FR TREATNG MTL,INC ELCTRC/WIRE COIL-WINDERS</t>
        </is>
      </c>
      <c r="E794" s="3" t="n">
        <v>0.01</v>
      </c>
      <c r="F794" s="3" t="n">
        <v>1.76</v>
      </c>
      <c r="G794" s="3">
        <f>F794-E794</f>
        <v/>
      </c>
      <c r="H794" s="4">
        <f>IF(E794=0,"",F794/E794-1)</f>
        <v/>
      </c>
      <c r="I794" t="inlineStr"/>
    </row>
    <row r="795">
      <c r="A795" t="inlineStr">
        <is>
          <t>Machinery &amp; electronics</t>
        </is>
      </c>
      <c r="B795" t="inlineStr">
        <is>
          <t>84</t>
        </is>
      </c>
      <c r="C795" t="inlineStr">
        <is>
          <t>84279000</t>
        </is>
      </c>
      <c r="D795" t="inlineStr">
        <is>
          <t>OTHER TRUCKS</t>
        </is>
      </c>
      <c r="E795" s="3" t="n">
        <v>0.58</v>
      </c>
      <c r="F795" s="3" t="n">
        <v>1.72</v>
      </c>
      <c r="G795" s="3">
        <f>F795-E795</f>
        <v/>
      </c>
      <c r="H795" s="4">
        <f>IF(E795=0,"",F795/E795-1)</f>
        <v/>
      </c>
      <c r="I795" t="inlineStr"/>
    </row>
    <row r="796">
      <c r="A796" t="inlineStr">
        <is>
          <t>Machinery &amp; electronics</t>
        </is>
      </c>
      <c r="B796" t="inlineStr">
        <is>
          <t>84</t>
        </is>
      </c>
      <c r="C796" t="inlineStr">
        <is>
          <t>84211991</t>
        </is>
      </c>
      <c r="D796" t="inlineStr">
        <is>
          <t>CENTRIFUGES FOR CHEMICAL INDUSTRIES</t>
        </is>
      </c>
      <c r="E796" s="3" t="n">
        <v>0.22</v>
      </c>
      <c r="F796" s="3" t="n">
        <v>1.71</v>
      </c>
      <c r="G796" s="3">
        <f>F796-E796</f>
        <v/>
      </c>
      <c r="H796" s="4">
        <f>IF(E796=0,"",F796/E796-1)</f>
        <v/>
      </c>
      <c r="I796" t="inlineStr"/>
    </row>
    <row r="797">
      <c r="A797" t="inlineStr">
        <is>
          <t>Machinery &amp; electronics</t>
        </is>
      </c>
      <c r="B797" t="inlineStr">
        <is>
          <t>84</t>
        </is>
      </c>
      <c r="C797" t="inlineStr">
        <is>
          <t>84241000</t>
        </is>
      </c>
      <c r="D797" t="inlineStr">
        <is>
          <t>FIRE EXTINGUISHERS,W/N CHARGED</t>
        </is>
      </c>
      <c r="E797" s="3" t="n">
        <v>0.06</v>
      </c>
      <c r="F797" s="3" t="n">
        <v>1.7</v>
      </c>
      <c r="G797" s="3">
        <f>F797-E797</f>
        <v/>
      </c>
      <c r="H797" s="4">
        <f>IF(E797=0,"",F797/E797-1)</f>
        <v/>
      </c>
      <c r="I797" t="inlineStr"/>
    </row>
    <row r="798">
      <c r="A798" t="inlineStr">
        <is>
          <t>Machinery &amp; electronics</t>
        </is>
      </c>
      <c r="B798" t="inlineStr">
        <is>
          <t>84</t>
        </is>
      </c>
      <c r="C798" t="inlineStr">
        <is>
          <t>84836090</t>
        </is>
      </c>
      <c r="D798" t="inlineStr">
        <is>
          <t>OTHERS-OF-CLUTCHS AND SHFT COUPLNG(INCL UNIVRSL JOINT</t>
        </is>
      </c>
      <c r="E798" s="3" t="n">
        <v>1.22</v>
      </c>
      <c r="F798" s="3" t="n">
        <v>1.7</v>
      </c>
      <c r="G798" s="3">
        <f>F798-E798</f>
        <v/>
      </c>
      <c r="H798" s="4">
        <f>IF(E798=0,"",F798/E798-1)</f>
        <v/>
      </c>
      <c r="I798" t="inlineStr"/>
    </row>
    <row r="799">
      <c r="A799" t="inlineStr">
        <is>
          <t>Machinery &amp; electronics</t>
        </is>
      </c>
      <c r="B799" t="inlineStr">
        <is>
          <t>85</t>
        </is>
      </c>
      <c r="C799" t="inlineStr">
        <is>
          <t>85013410</t>
        </is>
      </c>
      <c r="D799" t="inlineStr">
        <is>
          <t>D.C.MOTRS AND DC GENRTRS OF AN OUTPUT EXCEEDING 375 KW BUT NT EXCDNG 1000KW</t>
        </is>
      </c>
      <c r="E799" s="3" t="n">
        <v>0.03</v>
      </c>
      <c r="F799" s="3" t="n">
        <v>1.7</v>
      </c>
      <c r="G799" s="3">
        <f>F799-E799</f>
        <v/>
      </c>
      <c r="H799" s="4">
        <f>IF(E799=0,"",F799/E799-1)</f>
        <v/>
      </c>
      <c r="I799" t="inlineStr"/>
    </row>
    <row r="800">
      <c r="A800" t="inlineStr">
        <is>
          <t>Machinery &amp; electronics</t>
        </is>
      </c>
      <c r="B800" t="inlineStr">
        <is>
          <t>85</t>
        </is>
      </c>
      <c r="C800" t="inlineStr">
        <is>
          <t>85030010</t>
        </is>
      </c>
      <c r="D800" t="inlineStr">
        <is>
          <t>PARTS OF GENERATORS(AC/DC)</t>
        </is>
      </c>
      <c r="E800" s="3" t="n">
        <v>0.64</v>
      </c>
      <c r="F800" s="3" t="n">
        <v>1.69</v>
      </c>
      <c r="G800" s="3">
        <f>F800-E800</f>
        <v/>
      </c>
      <c r="H800" s="4">
        <f>IF(E800=0,"",F800/E800-1)</f>
        <v/>
      </c>
      <c r="I800" t="inlineStr"/>
    </row>
    <row r="801">
      <c r="A801" t="inlineStr">
        <is>
          <t>Machinery &amp; electronics</t>
        </is>
      </c>
      <c r="B801" t="inlineStr">
        <is>
          <t>85</t>
        </is>
      </c>
      <c r="C801" t="inlineStr">
        <is>
          <t>85331000</t>
        </is>
      </c>
      <c r="D801" t="inlineStr">
        <is>
          <t>FXD CRBN RESISTORS,COMPOSITION/FILM TYPES</t>
        </is>
      </c>
      <c r="E801" s="3" t="n">
        <v>4</v>
      </c>
      <c r="F801" s="3" t="n">
        <v>1.69</v>
      </c>
      <c r="G801" s="3">
        <f>F801-E801</f>
        <v/>
      </c>
      <c r="H801" s="4">
        <f>IF(E801=0,"",F801/E801-1)</f>
        <v/>
      </c>
      <c r="I801" t="inlineStr"/>
    </row>
    <row r="802">
      <c r="A802" t="inlineStr">
        <is>
          <t>Machinery &amp; electronics</t>
        </is>
      </c>
      <c r="B802" t="inlineStr">
        <is>
          <t>84</t>
        </is>
      </c>
      <c r="C802" t="inlineStr">
        <is>
          <t>84149019</t>
        </is>
      </c>
      <c r="D802" t="inlineStr">
        <is>
          <t>PRTS OF OTHR AIR/VACUM PUMPS,CMPRSSRS AND FANS</t>
        </is>
      </c>
      <c r="E802" s="3" t="n">
        <v>0.83</v>
      </c>
      <c r="F802" s="3" t="n">
        <v>1.62</v>
      </c>
      <c r="G802" s="3">
        <f>F802-E802</f>
        <v/>
      </c>
      <c r="H802" s="4">
        <f>IF(E802=0,"",F802/E802-1)</f>
        <v/>
      </c>
      <c r="I802" t="inlineStr"/>
    </row>
    <row r="803">
      <c r="A803" t="inlineStr">
        <is>
          <t>Machinery &amp; electronics</t>
        </is>
      </c>
      <c r="B803" t="inlineStr">
        <is>
          <t>84</t>
        </is>
      </c>
      <c r="C803" t="inlineStr">
        <is>
          <t>84253900</t>
        </is>
      </c>
      <c r="D803" t="inlineStr">
        <is>
          <t>OTHER WINCHES;CAPSTANS</t>
        </is>
      </c>
      <c r="E803" s="3" t="n">
        <v>0.1</v>
      </c>
      <c r="F803" s="3" t="n">
        <v>1.6</v>
      </c>
      <c r="G803" s="3">
        <f>F803-E803</f>
        <v/>
      </c>
      <c r="H803" s="4">
        <f>IF(E803=0,"",F803/E803-1)</f>
        <v/>
      </c>
      <c r="I803" t="inlineStr"/>
    </row>
    <row r="804">
      <c r="A804" t="inlineStr">
        <is>
          <t>Machinery &amp; electronics</t>
        </is>
      </c>
      <c r="B804" t="inlineStr">
        <is>
          <t>84</t>
        </is>
      </c>
      <c r="C804" t="inlineStr">
        <is>
          <t>84306990</t>
        </is>
      </c>
      <c r="D804" t="inlineStr">
        <is>
          <t>OTHERS-OF-OTHERS-OF-OTHR MOVNG,GRDNG,LEVLNG,SCRPNG,EXCVTNG, TMPNG,CMPCTNG,EXTRCTNG/BORNG MCHNRY,FREARTH,MNRLS/ORES;PILE-DRVR;S</t>
        </is>
      </c>
      <c r="E804" s="3" t="n">
        <v>0</v>
      </c>
      <c r="F804" s="3" t="n">
        <v>1.6</v>
      </c>
      <c r="G804" s="3">
        <f>F804-E804</f>
        <v/>
      </c>
      <c r="H804" s="4">
        <f>IF(E804=0,"",F804/E804-1)</f>
        <v/>
      </c>
      <c r="I804" t="inlineStr"/>
    </row>
    <row r="805">
      <c r="A805" t="inlineStr">
        <is>
          <t>Machinery &amp; electronics</t>
        </is>
      </c>
      <c r="B805" t="inlineStr">
        <is>
          <t>84</t>
        </is>
      </c>
      <c r="C805" t="inlineStr">
        <is>
          <t>84182100</t>
        </is>
      </c>
      <c r="D805" t="inlineStr">
        <is>
          <t>COMPRESSION-TYPE REFRIGERATORS,HOUSEHOLD</t>
        </is>
      </c>
      <c r="E805" s="3" t="n">
        <v>7.04</v>
      </c>
      <c r="F805" s="3" t="n">
        <v>1.59</v>
      </c>
      <c r="G805" s="3">
        <f>F805-E805</f>
        <v/>
      </c>
      <c r="H805" s="4">
        <f>IF(E805=0,"",F805/E805-1)</f>
        <v/>
      </c>
      <c r="I805" t="inlineStr"/>
    </row>
    <row r="806">
      <c r="A806" t="inlineStr">
        <is>
          <t>Machinery &amp; electronics</t>
        </is>
      </c>
      <c r="B806" t="inlineStr">
        <is>
          <t>84</t>
        </is>
      </c>
      <c r="C806" t="inlineStr">
        <is>
          <t>84803000</t>
        </is>
      </c>
      <c r="D806" t="inlineStr">
        <is>
          <t>MOULDING PATTERNS</t>
        </is>
      </c>
      <c r="E806" s="3" t="n">
        <v>1.74</v>
      </c>
      <c r="F806" s="3" t="n">
        <v>1.59</v>
      </c>
      <c r="G806" s="3">
        <f>F806-E806</f>
        <v/>
      </c>
      <c r="H806" s="4">
        <f>IF(E806=0,"",F806/E806-1)</f>
        <v/>
      </c>
      <c r="I806" t="inlineStr"/>
    </row>
    <row r="807">
      <c r="A807" t="inlineStr">
        <is>
          <t>Machinery &amp; electronics</t>
        </is>
      </c>
      <c r="B807" t="inlineStr">
        <is>
          <t>85</t>
        </is>
      </c>
      <c r="C807" t="inlineStr">
        <is>
          <t>85043400</t>
        </is>
      </c>
      <c r="D807" t="inlineStr">
        <is>
          <t>OTHR TRNSFRMRS HVNG A PWR HNDLNG CAPACITY EXCEEDING 500 KVA</t>
        </is>
      </c>
      <c r="E807" s="3" t="n">
        <v>0.33</v>
      </c>
      <c r="F807" s="3" t="n">
        <v>1.58</v>
      </c>
      <c r="G807" s="3">
        <f>F807-E807</f>
        <v/>
      </c>
      <c r="H807" s="4">
        <f>IF(E807=0,"",F807/E807-1)</f>
        <v/>
      </c>
      <c r="I807" t="inlineStr"/>
    </row>
    <row r="808">
      <c r="A808" t="inlineStr">
        <is>
          <t>Machinery &amp; electronics</t>
        </is>
      </c>
      <c r="B808" t="inlineStr">
        <is>
          <t>84</t>
        </is>
      </c>
      <c r="C808" t="inlineStr">
        <is>
          <t>84122100</t>
        </is>
      </c>
      <c r="D808" t="inlineStr">
        <is>
          <t>LINEAR ACTING (CYLINDERS),HYDRAULIC POWER ENGINES AND MOTORS</t>
        </is>
      </c>
      <c r="E808" s="3" t="n">
        <v>0.18</v>
      </c>
      <c r="F808" s="3" t="n">
        <v>1.55</v>
      </c>
      <c r="G808" s="3">
        <f>F808-E808</f>
        <v/>
      </c>
      <c r="H808" s="4">
        <f>IF(E808=0,"",F808/E808-1)</f>
        <v/>
      </c>
      <c r="I808" t="inlineStr"/>
    </row>
    <row r="809">
      <c r="A809" t="inlineStr">
        <is>
          <t>Machinery &amp; electronics</t>
        </is>
      </c>
      <c r="B809" t="inlineStr">
        <is>
          <t>84</t>
        </is>
      </c>
      <c r="C809" t="inlineStr">
        <is>
          <t>84282019</t>
        </is>
      </c>
      <c r="D809" t="inlineStr">
        <is>
          <t>CONVEYORS,EXCL BELT CONVEYORS</t>
        </is>
      </c>
      <c r="E809" s="3" t="n">
        <v>0.26</v>
      </c>
      <c r="F809" s="3" t="n">
        <v>1.53</v>
      </c>
      <c r="G809" s="3">
        <f>F809-E809</f>
        <v/>
      </c>
      <c r="H809" s="4">
        <f>IF(E809=0,"",F809/E809-1)</f>
        <v/>
      </c>
      <c r="I809" t="inlineStr"/>
    </row>
    <row r="810">
      <c r="A810" t="inlineStr">
        <is>
          <t>Machinery &amp; electronics</t>
        </is>
      </c>
      <c r="B810" t="inlineStr">
        <is>
          <t>84</t>
        </is>
      </c>
      <c r="C810" t="inlineStr">
        <is>
          <t>84254900</t>
        </is>
      </c>
      <c r="D810" t="inlineStr">
        <is>
          <t>OTHER JACKS AND HOISTS,FOR RAISING VEHICLES</t>
        </is>
      </c>
      <c r="E810" s="3" t="n">
        <v>0.45</v>
      </c>
      <c r="F810" s="3" t="n">
        <v>1.49</v>
      </c>
      <c r="G810" s="3">
        <f>F810-E810</f>
        <v/>
      </c>
      <c r="H810" s="4">
        <f>IF(E810=0,"",F810/E810-1)</f>
        <v/>
      </c>
      <c r="I810" t="inlineStr"/>
    </row>
    <row r="811">
      <c r="A811" t="inlineStr">
        <is>
          <t>Machinery &amp; electronics</t>
        </is>
      </c>
      <c r="B811" t="inlineStr">
        <is>
          <t>84</t>
        </is>
      </c>
      <c r="C811" t="inlineStr">
        <is>
          <t>84261200</t>
        </is>
      </c>
      <c r="D811" t="inlineStr">
        <is>
          <t>MOBL LFTNG FRMS ON TYRS AND STRDL CARRIERS</t>
        </is>
      </c>
      <c r="E811" s="3" t="n">
        <v>0.46</v>
      </c>
      <c r="F811" s="3" t="n">
        <v>1.48</v>
      </c>
      <c r="G811" s="3">
        <f>F811-E811</f>
        <v/>
      </c>
      <c r="H811" s="4">
        <f>IF(E811=0,"",F811/E811-1)</f>
        <v/>
      </c>
      <c r="I811" t="inlineStr"/>
    </row>
    <row r="812">
      <c r="A812" t="inlineStr">
        <is>
          <t>Machinery &amp; electronics</t>
        </is>
      </c>
      <c r="B812" t="inlineStr">
        <is>
          <t>84</t>
        </is>
      </c>
      <c r="C812" t="inlineStr">
        <is>
          <t>84294010</t>
        </is>
      </c>
      <c r="D812" t="inlineStr">
        <is>
          <t>ROAD ROLLERS UPTO 5 TONNE CAPACITY</t>
        </is>
      </c>
      <c r="E812" s="3" t="n">
        <v>2.7</v>
      </c>
      <c r="F812" s="3" t="n">
        <v>1.46</v>
      </c>
      <c r="G812" s="3">
        <f>F812-E812</f>
        <v/>
      </c>
      <c r="H812" s="4">
        <f>IF(E812=0,"",F812/E812-1)</f>
        <v/>
      </c>
      <c r="I812" t="inlineStr"/>
    </row>
    <row r="813">
      <c r="A813" t="inlineStr">
        <is>
          <t>Machinery &amp; electronics</t>
        </is>
      </c>
      <c r="B813" t="inlineStr">
        <is>
          <t>84</t>
        </is>
      </c>
      <c r="C813" t="inlineStr">
        <is>
          <t>84158210</t>
        </is>
      </c>
      <c r="D813" t="inlineStr">
        <is>
          <t>SPLIT AIR-CONDITIONER TWO TONNES AND ABOVEINCRPRTNG RFRGRTNG UNIT</t>
        </is>
      </c>
      <c r="E813" s="3" t="n">
        <v>0.36</v>
      </c>
      <c r="F813" s="3" t="n">
        <v>1.42</v>
      </c>
      <c r="G813" s="3">
        <f>F813-E813</f>
        <v/>
      </c>
      <c r="H813" s="4">
        <f>IF(E813=0,"",F813/E813-1)</f>
        <v/>
      </c>
      <c r="I813" t="inlineStr"/>
    </row>
    <row r="814">
      <c r="A814" t="inlineStr">
        <is>
          <t>Machinery &amp; electronics</t>
        </is>
      </c>
      <c r="B814" t="inlineStr">
        <is>
          <t>84</t>
        </is>
      </c>
      <c r="C814" t="inlineStr">
        <is>
          <t>84149040</t>
        </is>
      </c>
      <c r="D814" t="inlineStr">
        <is>
          <t>PRTS OF INDUSTRIAL FANS,BLOWERS AND THE LIKE</t>
        </is>
      </c>
      <c r="E814" s="3" t="n">
        <v>1.01</v>
      </c>
      <c r="F814" s="3" t="n">
        <v>1.4</v>
      </c>
      <c r="G814" s="3">
        <f>F814-E814</f>
        <v/>
      </c>
      <c r="H814" s="4">
        <f>IF(E814=0,"",F814/E814-1)</f>
        <v/>
      </c>
      <c r="I814" t="inlineStr"/>
    </row>
    <row r="815">
      <c r="A815" t="inlineStr">
        <is>
          <t>Machinery &amp; electronics</t>
        </is>
      </c>
      <c r="B815" t="inlineStr">
        <is>
          <t>84</t>
        </is>
      </c>
      <c r="C815" t="inlineStr">
        <is>
          <t>84682090</t>
        </is>
      </c>
      <c r="D815" t="inlineStr">
        <is>
          <t>OTHERS-OF-OTHER GAS-OPERATED MACHINERY ANDAPPARATUS:</t>
        </is>
      </c>
      <c r="E815" s="3" t="n">
        <v>0.09</v>
      </c>
      <c r="F815" s="3" t="n">
        <v>1.4</v>
      </c>
      <c r="G815" s="3">
        <f>F815-E815</f>
        <v/>
      </c>
      <c r="H815" s="4">
        <f>IF(E815=0,"",F815/E815-1)</f>
        <v/>
      </c>
      <c r="I815" t="inlineStr"/>
    </row>
    <row r="816">
      <c r="A816" t="inlineStr">
        <is>
          <t>Machinery &amp; electronics</t>
        </is>
      </c>
      <c r="B816" t="inlineStr">
        <is>
          <t>85</t>
        </is>
      </c>
      <c r="C816" t="inlineStr">
        <is>
          <t>85365010</t>
        </is>
      </c>
      <c r="D816" t="inlineStr">
        <is>
          <t>CONTROL AND SWITCH GEAR</t>
        </is>
      </c>
      <c r="E816" s="3" t="n">
        <v>1.36</v>
      </c>
      <c r="F816" s="3" t="n">
        <v>1.4</v>
      </c>
      <c r="G816" s="3">
        <f>F816-E816</f>
        <v/>
      </c>
      <c r="H816" s="4">
        <f>IF(E816=0,"",F816/E816-1)</f>
        <v/>
      </c>
      <c r="I816" t="inlineStr"/>
    </row>
    <row r="817">
      <c r="A817" t="inlineStr">
        <is>
          <t>Machinery &amp; electronics</t>
        </is>
      </c>
      <c r="B817" t="inlineStr">
        <is>
          <t>84</t>
        </is>
      </c>
      <c r="C817" t="inlineStr">
        <is>
          <t>84264100</t>
        </is>
      </c>
      <c r="D817" t="inlineStr">
        <is>
          <t>OTHR MCHNRY OF HDG 8426,SLF-PRPLD ON TYRSN</t>
        </is>
      </c>
      <c r="E817" s="3" t="n">
        <v>0.36</v>
      </c>
      <c r="F817" s="3" t="n">
        <v>1.39</v>
      </c>
      <c r="G817" s="3">
        <f>F817-E817</f>
        <v/>
      </c>
      <c r="H817" s="4">
        <f>IF(E817=0,"",F817/E817-1)</f>
        <v/>
      </c>
      <c r="I817" t="inlineStr"/>
    </row>
    <row r="818">
      <c r="A818" t="inlineStr">
        <is>
          <t>Machinery &amp; electronics</t>
        </is>
      </c>
      <c r="B818" t="inlineStr">
        <is>
          <t>84</t>
        </is>
      </c>
      <c r="C818" t="inlineStr">
        <is>
          <t>84138190</t>
        </is>
      </c>
      <c r="D818" t="inlineStr">
        <is>
          <t>OTHERS-OF-OTHER PUMPS</t>
        </is>
      </c>
      <c r="E818" s="3" t="n">
        <v>1.58</v>
      </c>
      <c r="F818" s="3" t="n">
        <v>1.38</v>
      </c>
      <c r="G818" s="3">
        <f>F818-E818</f>
        <v/>
      </c>
      <c r="H818" s="4">
        <f>IF(E818=0,"",F818/E818-1)</f>
        <v/>
      </c>
      <c r="I818" t="inlineStr"/>
    </row>
    <row r="819">
      <c r="A819" t="inlineStr">
        <is>
          <t>Machinery &amp; electronics</t>
        </is>
      </c>
      <c r="B819" t="inlineStr">
        <is>
          <t>84</t>
        </is>
      </c>
      <c r="C819" t="inlineStr">
        <is>
          <t>84219100</t>
        </is>
      </c>
      <c r="D819" t="inlineStr">
        <is>
          <t>PRTS OF CENTRIFUGES,INCL CNTRFGL DRYRS</t>
        </is>
      </c>
      <c r="E819" s="3" t="n">
        <v>0.5600000000000001</v>
      </c>
      <c r="F819" s="3" t="n">
        <v>1.37</v>
      </c>
      <c r="G819" s="3">
        <f>F819-E819</f>
        <v/>
      </c>
      <c r="H819" s="4">
        <f>IF(E819=0,"",F819/E819-1)</f>
        <v/>
      </c>
      <c r="I819" t="inlineStr"/>
    </row>
    <row r="820">
      <c r="A820" t="inlineStr">
        <is>
          <t>Machinery &amp; electronics</t>
        </is>
      </c>
      <c r="B820" t="inlineStr">
        <is>
          <t>84</t>
        </is>
      </c>
      <c r="C820" t="inlineStr">
        <is>
          <t>84254200</t>
        </is>
      </c>
      <c r="D820" t="inlineStr">
        <is>
          <t>OTHER JACKS AND HOISTS,HYDRAULIC</t>
        </is>
      </c>
      <c r="E820" s="3" t="n">
        <v>3.82</v>
      </c>
      <c r="F820" s="3" t="n">
        <v>1.37</v>
      </c>
      <c r="G820" s="3">
        <f>F820-E820</f>
        <v/>
      </c>
      <c r="H820" s="4">
        <f>IF(E820=0,"",F820/E820-1)</f>
        <v/>
      </c>
      <c r="I820" t="inlineStr"/>
    </row>
    <row r="821">
      <c r="A821" t="inlineStr">
        <is>
          <t>Machinery &amp; electronics</t>
        </is>
      </c>
      <c r="B821" t="inlineStr">
        <is>
          <t>84</t>
        </is>
      </c>
      <c r="C821" t="inlineStr">
        <is>
          <t>84593910</t>
        </is>
      </c>
      <c r="D821" t="inlineStr">
        <is>
          <t>VERTICAL TRNING OR BORING</t>
        </is>
      </c>
      <c r="E821" s="3" t="n">
        <v>1.53</v>
      </c>
      <c r="F821" s="3" t="n">
        <v>1.29</v>
      </c>
      <c r="G821" s="3">
        <f>F821-E821</f>
        <v/>
      </c>
      <c r="H821" s="4">
        <f>IF(E821=0,"",F821/E821-1)</f>
        <v/>
      </c>
      <c r="I821" t="inlineStr"/>
    </row>
    <row r="822">
      <c r="A822" t="inlineStr">
        <is>
          <t>Machinery &amp; electronics</t>
        </is>
      </c>
      <c r="B822" t="inlineStr">
        <is>
          <t>84</t>
        </is>
      </c>
      <c r="C822" t="inlineStr">
        <is>
          <t>84212300</t>
        </is>
      </c>
      <c r="D822" t="inlineStr">
        <is>
          <t>OIL/PRTL-FLTRS FR INTRNL CMBSTN ENGNS</t>
        </is>
      </c>
      <c r="E822" s="3" t="n">
        <v>56.7</v>
      </c>
      <c r="F822" s="3" t="n">
        <v>1.23</v>
      </c>
      <c r="G822" s="3">
        <f>F822-E822</f>
        <v/>
      </c>
      <c r="H822" s="4">
        <f>IF(E822=0,"",F822/E822-1)</f>
        <v/>
      </c>
      <c r="I822" t="inlineStr"/>
    </row>
    <row r="823">
      <c r="A823" t="inlineStr">
        <is>
          <t>Machinery &amp; electronics</t>
        </is>
      </c>
      <c r="B823" t="inlineStr">
        <is>
          <t>84</t>
        </is>
      </c>
      <c r="C823" t="inlineStr">
        <is>
          <t>84306100</t>
        </is>
      </c>
      <c r="D823" t="inlineStr">
        <is>
          <t>TAMPING/COMPACTING MCHNRY,NT SLF-PRPLD</t>
        </is>
      </c>
      <c r="E823" s="3" t="n">
        <v>0.01</v>
      </c>
      <c r="F823" s="3" t="n">
        <v>1.23</v>
      </c>
      <c r="G823" s="3">
        <f>F823-E823</f>
        <v/>
      </c>
      <c r="H823" s="4">
        <f>IF(E823=0,"",F823/E823-1)</f>
        <v/>
      </c>
      <c r="I823" t="inlineStr"/>
    </row>
    <row r="824">
      <c r="A824" t="inlineStr">
        <is>
          <t>Machinery &amp; electronics</t>
        </is>
      </c>
      <c r="B824" t="inlineStr">
        <is>
          <t>84</t>
        </is>
      </c>
      <c r="C824" t="inlineStr">
        <is>
          <t>84714900</t>
        </is>
      </c>
      <c r="D824" t="inlineStr">
        <is>
          <t>OTHR DIGITL AUTOMATC DATAPROCESNG MACHINE PRESENTED IN THE FORM OF SYSTEM</t>
        </is>
      </c>
      <c r="E824" s="3" t="n">
        <v>0</v>
      </c>
      <c r="F824" s="3" t="n">
        <v>1.23</v>
      </c>
      <c r="G824" s="3">
        <f>F824-E824</f>
        <v/>
      </c>
      <c r="H824" s="4">
        <f>IF(E824=0,"",F824/E824-1)</f>
        <v/>
      </c>
      <c r="I824" t="inlineStr"/>
    </row>
    <row r="825">
      <c r="A825" t="inlineStr">
        <is>
          <t>Machinery &amp; electronics</t>
        </is>
      </c>
      <c r="B825" t="inlineStr">
        <is>
          <t>84</t>
        </is>
      </c>
      <c r="C825" t="inlineStr">
        <is>
          <t>84148011</t>
        </is>
      </c>
      <c r="D825" t="inlineStr">
        <is>
          <t>GAS COMPRESSORS OF A KIND USED IN AIR-CONDITIONING</t>
        </is>
      </c>
      <c r="E825" s="3" t="n">
        <v>0.83</v>
      </c>
      <c r="F825" s="3" t="n">
        <v>1.22</v>
      </c>
      <c r="G825" s="3">
        <f>F825-E825</f>
        <v/>
      </c>
      <c r="H825" s="4">
        <f>IF(E825=0,"",F825/E825-1)</f>
        <v/>
      </c>
      <c r="I825" t="inlineStr"/>
    </row>
    <row r="826">
      <c r="A826" t="inlineStr">
        <is>
          <t>Machinery &amp; electronics</t>
        </is>
      </c>
      <c r="B826" t="inlineStr">
        <is>
          <t>84</t>
        </is>
      </c>
      <c r="C826" t="inlineStr">
        <is>
          <t>84248200</t>
        </is>
      </c>
      <c r="D826" t="inlineStr">
        <is>
          <t>AGRICULTURAL OR HOTICULTURAL MCHNCL APPLNCS</t>
        </is>
      </c>
      <c r="E826" s="3" t="n">
        <v>0.8100000000000001</v>
      </c>
      <c r="F826" s="3" t="n">
        <v>1.2</v>
      </c>
      <c r="G826" s="3">
        <f>F826-E826</f>
        <v/>
      </c>
      <c r="H826" s="4">
        <f>IF(E826=0,"",F826/E826-1)</f>
        <v/>
      </c>
      <c r="I826" t="inlineStr"/>
    </row>
    <row r="827">
      <c r="A827" t="inlineStr">
        <is>
          <t>Machinery &amp; electronics</t>
        </is>
      </c>
      <c r="B827" t="inlineStr">
        <is>
          <t>84</t>
        </is>
      </c>
      <c r="C827" t="inlineStr">
        <is>
          <t>84136010</t>
        </is>
      </c>
      <c r="D827" t="inlineStr">
        <is>
          <t>GEAR TYPE PUMPS</t>
        </is>
      </c>
      <c r="E827" s="3" t="n">
        <v>0.74</v>
      </c>
      <c r="F827" s="3" t="n">
        <v>1.18</v>
      </c>
      <c r="G827" s="3">
        <f>F827-E827</f>
        <v/>
      </c>
      <c r="H827" s="4">
        <f>IF(E827=0,"",F827/E827-1)</f>
        <v/>
      </c>
      <c r="I827" t="inlineStr"/>
    </row>
    <row r="828">
      <c r="A828" t="inlineStr">
        <is>
          <t>Machinery &amp; electronics</t>
        </is>
      </c>
      <c r="B828" t="inlineStr">
        <is>
          <t>84</t>
        </is>
      </c>
      <c r="C828" t="inlineStr">
        <is>
          <t>84807900</t>
        </is>
      </c>
      <c r="D828" t="inlineStr">
        <is>
          <t>OTHR MOULDS FOR RUBBER/PLASTICS</t>
        </is>
      </c>
      <c r="E828" s="3" t="n">
        <v>3.77</v>
      </c>
      <c r="F828" s="3" t="n">
        <v>1.17</v>
      </c>
      <c r="G828" s="3">
        <f>F828-E828</f>
        <v/>
      </c>
      <c r="H828" s="4">
        <f>IF(E828=0,"",F828/E828-1)</f>
        <v/>
      </c>
      <c r="I828" t="inlineStr"/>
    </row>
    <row r="829">
      <c r="A829" t="inlineStr">
        <is>
          <t>Machinery &amp; electronics</t>
        </is>
      </c>
      <c r="B829" t="inlineStr">
        <is>
          <t>84</t>
        </is>
      </c>
      <c r="C829" t="inlineStr">
        <is>
          <t>84272000</t>
        </is>
      </c>
      <c r="D829" t="inlineStr">
        <is>
          <t>OTHER SELF-PROPELLED TRUCKS</t>
        </is>
      </c>
      <c r="E829" s="3" t="n">
        <v>0.65</v>
      </c>
      <c r="F829" s="3" t="n">
        <v>1.15</v>
      </c>
      <c r="G829" s="3">
        <f>F829-E829</f>
        <v/>
      </c>
      <c r="H829" s="4">
        <f>IF(E829=0,"",F829/E829-1)</f>
        <v/>
      </c>
      <c r="I829" t="inlineStr"/>
    </row>
    <row r="830">
      <c r="A830" t="inlineStr">
        <is>
          <t>Machinery &amp; electronics</t>
        </is>
      </c>
      <c r="B830" t="inlineStr">
        <is>
          <t>84</t>
        </is>
      </c>
      <c r="C830" t="inlineStr">
        <is>
          <t>84122990</t>
        </is>
      </c>
      <c r="D830" t="inlineStr">
        <is>
          <t>OTHERS-OF-OTHR HYDRAULIC POWER ENGINES AND MOTORS</t>
        </is>
      </c>
      <c r="E830" s="3" t="n">
        <v>0.58</v>
      </c>
      <c r="F830" s="3" t="n">
        <v>1.12</v>
      </c>
      <c r="G830" s="3">
        <f>F830-E830</f>
        <v/>
      </c>
      <c r="H830" s="4">
        <f>IF(E830=0,"",F830/E830-1)</f>
        <v/>
      </c>
      <c r="I830" t="inlineStr"/>
    </row>
    <row r="831">
      <c r="A831" t="inlineStr">
        <is>
          <t>Machinery &amp; electronics</t>
        </is>
      </c>
      <c r="B831" t="inlineStr">
        <is>
          <t>84</t>
        </is>
      </c>
      <c r="C831" t="inlineStr">
        <is>
          <t>84304900</t>
        </is>
      </c>
      <c r="D831" t="inlineStr">
        <is>
          <t>OTHR BORNG / SINKNG MACHINRY NT SELF-PRPLD</t>
        </is>
      </c>
      <c r="E831" s="3" t="n">
        <v>0.43</v>
      </c>
      <c r="F831" s="3" t="n">
        <v>1.12</v>
      </c>
      <c r="G831" s="3">
        <f>F831-E831</f>
        <v/>
      </c>
      <c r="H831" s="4">
        <f>IF(E831=0,"",F831/E831-1)</f>
        <v/>
      </c>
      <c r="I831" t="inlineStr"/>
    </row>
    <row r="832">
      <c r="A832" t="inlineStr">
        <is>
          <t>Machinery &amp; electronics</t>
        </is>
      </c>
      <c r="B832" t="inlineStr">
        <is>
          <t>84</t>
        </is>
      </c>
      <c r="C832" t="inlineStr">
        <is>
          <t>84612011</t>
        </is>
      </c>
      <c r="D832" t="inlineStr">
        <is>
          <t>DIE AND PUNCH SHAPING MACINES</t>
        </is>
      </c>
      <c r="E832" s="3" t="n">
        <v>0.11</v>
      </c>
      <c r="F832" s="3" t="n">
        <v>1.1</v>
      </c>
      <c r="G832" s="3">
        <f>F832-E832</f>
        <v/>
      </c>
      <c r="H832" s="4">
        <f>IF(E832=0,"",F832/E832-1)</f>
        <v/>
      </c>
      <c r="I832" t="inlineStr"/>
    </row>
    <row r="833">
      <c r="A833" t="inlineStr">
        <is>
          <t>Machinery &amp; electronics</t>
        </is>
      </c>
      <c r="B833" t="inlineStr">
        <is>
          <t>84</t>
        </is>
      </c>
      <c r="C833" t="inlineStr">
        <is>
          <t>84194010</t>
        </is>
      </c>
      <c r="D833" t="inlineStr">
        <is>
          <t>PETROLEUM REFINING AND DISTILLATION EQPMNT</t>
        </is>
      </c>
      <c r="E833" s="3" t="n">
        <v>4.15</v>
      </c>
      <c r="F833" s="3" t="n">
        <v>1.09</v>
      </c>
      <c r="G833" s="3">
        <f>F833-E833</f>
        <v/>
      </c>
      <c r="H833" s="4">
        <f>IF(E833=0,"",F833/E833-1)</f>
        <v/>
      </c>
      <c r="I833" t="inlineStr"/>
    </row>
    <row r="834">
      <c r="A834" t="inlineStr">
        <is>
          <t>Machinery &amp; electronics</t>
        </is>
      </c>
      <c r="B834" t="inlineStr">
        <is>
          <t>84</t>
        </is>
      </c>
      <c r="C834" t="inlineStr">
        <is>
          <t>84021100</t>
        </is>
      </c>
      <c r="D834" t="inlineStr">
        <is>
          <t>WTRTUBE BOILRS WTH A STM PRDCTN&gt;45T/HR</t>
        </is>
      </c>
      <c r="E834" s="3" t="n">
        <v>0.02</v>
      </c>
      <c r="F834" s="3" t="n">
        <v>1.07</v>
      </c>
      <c r="G834" s="3">
        <f>F834-E834</f>
        <v/>
      </c>
      <c r="H834" s="4">
        <f>IF(E834=0,"",F834/E834-1)</f>
        <v/>
      </c>
      <c r="I834" t="inlineStr"/>
    </row>
    <row r="835">
      <c r="A835" t="inlineStr">
        <is>
          <t>Machinery &amp; electronics</t>
        </is>
      </c>
      <c r="B835" t="inlineStr">
        <is>
          <t>84</t>
        </is>
      </c>
      <c r="C835" t="inlineStr">
        <is>
          <t>84311090</t>
        </is>
      </c>
      <c r="D835" t="inlineStr">
        <is>
          <t>OTHERS-OF-PRTS OF MCHNRY OF HDG.NO.8425</t>
        </is>
      </c>
      <c r="E835" s="3" t="n">
        <v>0.6</v>
      </c>
      <c r="F835" s="3" t="n">
        <v>1.07</v>
      </c>
      <c r="G835" s="3">
        <f>F835-E835</f>
        <v/>
      </c>
      <c r="H835" s="4">
        <f>IF(E835=0,"",F835/E835-1)</f>
        <v/>
      </c>
      <c r="I835" t="inlineStr"/>
    </row>
    <row r="836">
      <c r="A836" t="inlineStr">
        <is>
          <t>Machinery &amp; electronics</t>
        </is>
      </c>
      <c r="B836" t="inlineStr">
        <is>
          <t>84</t>
        </is>
      </c>
      <c r="C836" t="inlineStr">
        <is>
          <t>84099990</t>
        </is>
      </c>
      <c r="D836" t="inlineStr">
        <is>
          <t>OTHER PARTS OF SEMI DIESEL ENGINES</t>
        </is>
      </c>
      <c r="E836" s="3" t="n">
        <v>0.88</v>
      </c>
      <c r="F836" s="3" t="n">
        <v>1.04</v>
      </c>
      <c r="G836" s="3">
        <f>F836-E836</f>
        <v/>
      </c>
      <c r="H836" s="4">
        <f>IF(E836=0,"",F836/E836-1)</f>
        <v/>
      </c>
      <c r="I836" t="inlineStr"/>
    </row>
    <row r="837">
      <c r="A837" t="inlineStr">
        <is>
          <t>Machinery &amp; electronics</t>
        </is>
      </c>
      <c r="B837" t="inlineStr">
        <is>
          <t>84</t>
        </is>
      </c>
      <c r="C837" t="inlineStr">
        <is>
          <t>84689000</t>
        </is>
      </c>
      <c r="D837" t="inlineStr">
        <is>
          <t>PARTS OF ARTICLES OF HEADING 8468</t>
        </is>
      </c>
      <c r="E837" s="3" t="n">
        <v>0.97</v>
      </c>
      <c r="F837" s="3" t="n">
        <v>1.04</v>
      </c>
      <c r="G837" s="3">
        <f>F837-E837</f>
        <v/>
      </c>
      <c r="H837" s="4">
        <f>IF(E837=0,"",F837/E837-1)</f>
        <v/>
      </c>
      <c r="I837" t="inlineStr"/>
    </row>
    <row r="838">
      <c r="A838" t="inlineStr">
        <is>
          <t>Machinery &amp; electronics</t>
        </is>
      </c>
      <c r="B838" t="inlineStr">
        <is>
          <t>84</t>
        </is>
      </c>
      <c r="C838" t="inlineStr">
        <is>
          <t>84281011</t>
        </is>
      </c>
      <c r="D838" t="inlineStr">
        <is>
          <t>LIFTS OF A KIND USED IN BUILDINGS</t>
        </is>
      </c>
      <c r="E838" s="3" t="n">
        <v>0.21</v>
      </c>
      <c r="F838" s="3" t="n">
        <v>1.03</v>
      </c>
      <c r="G838" s="3">
        <f>F838-E838</f>
        <v/>
      </c>
      <c r="H838" s="4">
        <f>IF(E838=0,"",F838/E838-1)</f>
        <v/>
      </c>
      <c r="I838" t="inlineStr"/>
    </row>
    <row r="839">
      <c r="A839" t="inlineStr">
        <is>
          <t>Machinery &amp; electronics</t>
        </is>
      </c>
      <c r="B839" t="inlineStr">
        <is>
          <t>84</t>
        </is>
      </c>
      <c r="C839" t="inlineStr">
        <is>
          <t>84192010</t>
        </is>
      </c>
      <c r="D839" t="inlineStr">
        <is>
          <t>AUTO CLEVES</t>
        </is>
      </c>
      <c r="E839" s="3" t="n">
        <v>0.06</v>
      </c>
      <c r="F839" s="3" t="n">
        <v>1.02</v>
      </c>
      <c r="G839" s="3">
        <f>F839-E839</f>
        <v/>
      </c>
      <c r="H839" s="4">
        <f>IF(E839=0,"",F839/E839-1)</f>
        <v/>
      </c>
      <c r="I839" t="inlineStr"/>
    </row>
    <row r="840">
      <c r="A840" t="inlineStr">
        <is>
          <t>Machinery &amp; electronics</t>
        </is>
      </c>
      <c r="B840" t="inlineStr">
        <is>
          <t>84</t>
        </is>
      </c>
      <c r="C840" t="inlineStr">
        <is>
          <t>84451190</t>
        </is>
      </c>
      <c r="D840" t="inlineStr">
        <is>
          <t>OTHERS-OF-CARDING MACHINES</t>
        </is>
      </c>
      <c r="E840" s="3" t="n">
        <v>1.01</v>
      </c>
      <c r="F840" s="3" t="n">
        <v>0.99</v>
      </c>
      <c r="G840" s="3">
        <f>F840-E840</f>
        <v/>
      </c>
      <c r="H840" s="4">
        <f>IF(E840=0,"",F840/E840-1)</f>
        <v/>
      </c>
      <c r="I840" t="inlineStr"/>
    </row>
    <row r="841">
      <c r="A841" t="inlineStr">
        <is>
          <t>Machinery &amp; electronics</t>
        </is>
      </c>
      <c r="B841" t="inlineStr">
        <is>
          <t>85</t>
        </is>
      </c>
      <c r="C841" t="inlineStr">
        <is>
          <t>85362030</t>
        </is>
      </c>
      <c r="D841" t="inlineStr">
        <is>
          <t>MINIATURE CIRCUIT BREAKERS</t>
        </is>
      </c>
      <c r="E841" s="3" t="n">
        <v>0.65</v>
      </c>
      <c r="F841" s="3" t="n">
        <v>0.99</v>
      </c>
      <c r="G841" s="3">
        <f>F841-E841</f>
        <v/>
      </c>
      <c r="H841" s="4">
        <f>IF(E841=0,"",F841/E841-1)</f>
        <v/>
      </c>
      <c r="I841" t="inlineStr"/>
    </row>
    <row r="842">
      <c r="A842" t="inlineStr">
        <is>
          <t>Machinery &amp; electronics</t>
        </is>
      </c>
      <c r="B842" t="inlineStr">
        <is>
          <t>84</t>
        </is>
      </c>
      <c r="C842" t="inlineStr">
        <is>
          <t>84622900</t>
        </is>
      </c>
      <c r="D842" t="inlineStr">
        <is>
          <t>OTHERS-OF-OTHR BENDNG,FOLDNG,STRAIGHTNG/FLATTNG MACHINES(INCLUDING PRESSES)</t>
        </is>
      </c>
      <c r="E842" s="3" t="n">
        <v>3.58</v>
      </c>
      <c r="F842" s="3" t="n">
        <v>0.98</v>
      </c>
      <c r="G842" s="3">
        <f>F842-E842</f>
        <v/>
      </c>
      <c r="H842" s="4">
        <f>IF(E842=0,"",F842/E842-1)</f>
        <v/>
      </c>
      <c r="I842" t="inlineStr"/>
    </row>
    <row r="843">
      <c r="A843" t="inlineStr">
        <is>
          <t>Machinery &amp; electronics</t>
        </is>
      </c>
      <c r="B843" t="inlineStr">
        <is>
          <t>84</t>
        </is>
      </c>
      <c r="C843" t="inlineStr">
        <is>
          <t>84162000</t>
        </is>
      </c>
      <c r="D843" t="inlineStr">
        <is>
          <t>OTHR FURNC BURNRS,INCL CMBNTN BURNRS</t>
        </is>
      </c>
      <c r="E843" s="3" t="n">
        <v>1.26</v>
      </c>
      <c r="F843" s="3" t="n">
        <v>0.97</v>
      </c>
      <c r="G843" s="3">
        <f>F843-E843</f>
        <v/>
      </c>
      <c r="H843" s="4">
        <f>IF(E843=0,"",F843/E843-1)</f>
        <v/>
      </c>
      <c r="I843" t="inlineStr"/>
    </row>
    <row r="844">
      <c r="A844" t="inlineStr">
        <is>
          <t>Machinery &amp; electronics</t>
        </is>
      </c>
      <c r="B844" t="inlineStr">
        <is>
          <t>84</t>
        </is>
      </c>
      <c r="C844" t="inlineStr">
        <is>
          <t>84381010</t>
        </is>
      </c>
      <c r="D844" t="inlineStr">
        <is>
          <t>BAKERY MACHINERY</t>
        </is>
      </c>
      <c r="E844" s="3" t="n">
        <v>2.09</v>
      </c>
      <c r="F844" s="3" t="n">
        <v>0.97</v>
      </c>
      <c r="G844" s="3">
        <f>F844-E844</f>
        <v/>
      </c>
      <c r="H844" s="4">
        <f>IF(E844=0,"",F844/E844-1)</f>
        <v/>
      </c>
      <c r="I844" t="inlineStr"/>
    </row>
    <row r="845">
      <c r="A845" t="inlineStr">
        <is>
          <t>Machinery &amp; electronics</t>
        </is>
      </c>
      <c r="B845" t="inlineStr">
        <is>
          <t>85</t>
        </is>
      </c>
      <c r="C845" t="inlineStr">
        <is>
          <t>85362020</t>
        </is>
      </c>
      <c r="D845" t="inlineStr">
        <is>
          <t>MOULDED CASE CIRCUIT BREAKERS</t>
        </is>
      </c>
      <c r="E845" s="3" t="n">
        <v>1.69</v>
      </c>
      <c r="F845" s="3" t="n">
        <v>0.96</v>
      </c>
      <c r="G845" s="3">
        <f>F845-E845</f>
        <v/>
      </c>
      <c r="H845" s="4">
        <f>IF(E845=0,"",F845/E845-1)</f>
        <v/>
      </c>
      <c r="I845" t="inlineStr"/>
    </row>
    <row r="846">
      <c r="A846" t="inlineStr">
        <is>
          <t>Machinery &amp; electronics</t>
        </is>
      </c>
      <c r="B846" t="inlineStr">
        <is>
          <t>84</t>
        </is>
      </c>
      <c r="C846" t="inlineStr">
        <is>
          <t>84151090</t>
        </is>
      </c>
      <c r="D846" t="inlineStr">
        <is>
          <t>OTHR WINDOW/WALL TYPES SELF-CONTAINED AIR CONDITIONING MACHINES</t>
        </is>
      </c>
      <c r="E846" s="3" t="n">
        <v>0.09</v>
      </c>
      <c r="F846" s="3" t="n">
        <v>0.95</v>
      </c>
      <c r="G846" s="3">
        <f>F846-E846</f>
        <v/>
      </c>
      <c r="H846" s="4">
        <f>IF(E846=0,"",F846/E846-1)</f>
        <v/>
      </c>
      <c r="I846" t="inlineStr"/>
    </row>
    <row r="847">
      <c r="A847" t="inlineStr">
        <is>
          <t>Machinery &amp; electronics</t>
        </is>
      </c>
      <c r="B847" t="inlineStr">
        <is>
          <t>84</t>
        </is>
      </c>
      <c r="C847" t="inlineStr">
        <is>
          <t>84049000</t>
        </is>
      </c>
      <c r="D847" t="inlineStr">
        <is>
          <t>PARTS OF THE ITEMS OF 840410 AND 840420</t>
        </is>
      </c>
      <c r="E847" s="3" t="n">
        <v>7.24</v>
      </c>
      <c r="F847" s="3" t="n">
        <v>0.92</v>
      </c>
      <c r="G847" s="3">
        <f>F847-E847</f>
        <v/>
      </c>
      <c r="H847" s="4">
        <f>IF(E847=0,"",F847/E847-1)</f>
        <v/>
      </c>
      <c r="I847" t="inlineStr"/>
    </row>
    <row r="848">
      <c r="A848" t="inlineStr">
        <is>
          <t>Machinery &amp; electronics</t>
        </is>
      </c>
      <c r="B848" t="inlineStr">
        <is>
          <t>84</t>
        </is>
      </c>
      <c r="C848" t="inlineStr">
        <is>
          <t>84195091</t>
        </is>
      </c>
      <c r="D848" t="inlineStr">
        <is>
          <t>Other Heat Exchange Units, Shell and tube type</t>
        </is>
      </c>
      <c r="E848" s="3" t="n">
        <v>5.96</v>
      </c>
      <c r="F848" s="3" t="n">
        <v>0.91</v>
      </c>
      <c r="G848" s="3">
        <f>F848-E848</f>
        <v/>
      </c>
      <c r="H848" s="4">
        <f>IF(E848=0,"",F848/E848-1)</f>
        <v/>
      </c>
      <c r="I848" t="inlineStr"/>
    </row>
    <row r="849">
      <c r="A849" t="inlineStr">
        <is>
          <t>Machinery &amp; electronics</t>
        </is>
      </c>
      <c r="B849" t="inlineStr">
        <is>
          <t>85</t>
        </is>
      </c>
      <c r="C849" t="inlineStr">
        <is>
          <t>85051190</t>
        </is>
      </c>
      <c r="D849" t="inlineStr">
        <is>
          <t>OTHERS-OF-PERMANENT MGNTS AND ARTCLS INTNDED TO BECOMEPERMANENT MGNTS AFTER MGNTSN; OF METAL</t>
        </is>
      </c>
      <c r="E849" s="3" t="n">
        <v>1.53</v>
      </c>
      <c r="F849" s="3" t="n">
        <v>0.91</v>
      </c>
      <c r="G849" s="3">
        <f>F849-E849</f>
        <v/>
      </c>
      <c r="H849" s="4">
        <f>IF(E849=0,"",F849/E849-1)</f>
        <v/>
      </c>
      <c r="I849" t="inlineStr"/>
    </row>
    <row r="850">
      <c r="A850" t="inlineStr">
        <is>
          <t>Machinery &amp; electronics</t>
        </is>
      </c>
      <c r="B850" t="inlineStr">
        <is>
          <t>84</t>
        </is>
      </c>
      <c r="C850" t="inlineStr">
        <is>
          <t>84378010</t>
        </is>
      </c>
      <c r="D850" t="inlineStr">
        <is>
          <t>FLOUR MILL MACHINERY</t>
        </is>
      </c>
      <c r="E850" s="3" t="n">
        <v>0.22</v>
      </c>
      <c r="F850" s="3" t="n">
        <v>0.9</v>
      </c>
      <c r="G850" s="3">
        <f>F850-E850</f>
        <v/>
      </c>
      <c r="H850" s="4">
        <f>IF(E850=0,"",F850/E850-1)</f>
        <v/>
      </c>
      <c r="I850" t="inlineStr"/>
    </row>
    <row r="851">
      <c r="A851" t="inlineStr">
        <is>
          <t>Machinery &amp; electronics</t>
        </is>
      </c>
      <c r="B851" t="inlineStr">
        <is>
          <t>84</t>
        </is>
      </c>
      <c r="C851" t="inlineStr">
        <is>
          <t>84248990</t>
        </is>
      </c>
      <c r="D851" t="inlineStr">
        <is>
          <t>OTHERS-OF-OTHER MECHANICAL APPLIANCES</t>
        </is>
      </c>
      <c r="E851" s="3" t="n">
        <v>0.45</v>
      </c>
      <c r="F851" s="3" t="n">
        <v>0.89</v>
      </c>
      <c r="G851" s="3">
        <f>F851-E851</f>
        <v/>
      </c>
      <c r="H851" s="4">
        <f>IF(E851=0,"",F851/E851-1)</f>
        <v/>
      </c>
      <c r="I851" t="inlineStr"/>
    </row>
    <row r="852">
      <c r="A852" t="inlineStr">
        <is>
          <t>Machinery &amp; electronics</t>
        </is>
      </c>
      <c r="B852" t="inlineStr">
        <is>
          <t>84</t>
        </is>
      </c>
      <c r="C852" t="inlineStr">
        <is>
          <t>84799040</t>
        </is>
      </c>
      <c r="D852" t="inlineStr">
        <is>
          <t>PARTS 0F PLANTS AND MACHINERY FOR CHEMICALS,PHARMACEUTICALS ETC</t>
        </is>
      </c>
      <c r="E852" s="3" t="n">
        <v>1.15</v>
      </c>
      <c r="F852" s="3" t="n">
        <v>0.89</v>
      </c>
      <c r="G852" s="3">
        <f>F852-E852</f>
        <v/>
      </c>
      <c r="H852" s="4">
        <f>IF(E852=0,"",F852/E852-1)</f>
        <v/>
      </c>
      <c r="I852" t="inlineStr"/>
    </row>
    <row r="853">
      <c r="A853" t="inlineStr">
        <is>
          <t>Machinery &amp; electronics</t>
        </is>
      </c>
      <c r="B853" t="inlineStr">
        <is>
          <t>85</t>
        </is>
      </c>
      <c r="C853" t="inlineStr">
        <is>
          <t>85309000</t>
        </is>
      </c>
      <c r="D853" t="inlineStr">
        <is>
          <t>PARTS OF HDNG 8530</t>
        </is>
      </c>
      <c r="E853" s="3" t="n">
        <v>2.57</v>
      </c>
      <c r="F853" s="3" t="n">
        <v>0.88</v>
      </c>
      <c r="G853" s="3">
        <f>F853-E853</f>
        <v/>
      </c>
      <c r="H853" s="4">
        <f>IF(E853=0,"",F853/E853-1)</f>
        <v/>
      </c>
      <c r="I853" t="inlineStr"/>
    </row>
    <row r="854">
      <c r="A854" t="inlineStr">
        <is>
          <t>Machinery &amp; electronics</t>
        </is>
      </c>
      <c r="B854" t="inlineStr">
        <is>
          <t>84</t>
        </is>
      </c>
      <c r="C854" t="inlineStr">
        <is>
          <t>84719000</t>
        </is>
      </c>
      <c r="D854" t="inlineStr">
        <is>
          <t>OTHERS-OF-OTHERS-OF-AUTOMATIC DATA PROCESSING MACHINES ANDUNITS</t>
        </is>
      </c>
      <c r="E854" s="3" t="n">
        <v>0.39</v>
      </c>
      <c r="F854" s="3" t="n">
        <v>0.87</v>
      </c>
      <c r="G854" s="3">
        <f>F854-E854</f>
        <v/>
      </c>
      <c r="H854" s="4">
        <f>IF(E854=0,"",F854/E854-1)</f>
        <v/>
      </c>
      <c r="I854" t="inlineStr"/>
    </row>
    <row r="855">
      <c r="A855" t="inlineStr">
        <is>
          <t>Machinery &amp; electronics</t>
        </is>
      </c>
      <c r="B855" t="inlineStr">
        <is>
          <t>84</t>
        </is>
      </c>
      <c r="C855" t="inlineStr">
        <is>
          <t>84821090</t>
        </is>
      </c>
      <c r="D855" t="inlineStr">
        <is>
          <t>OTHER BALL BEARINGS</t>
        </is>
      </c>
      <c r="E855" s="3" t="n">
        <v>0.85</v>
      </c>
      <c r="F855" s="3" t="n">
        <v>0.87</v>
      </c>
      <c r="G855" s="3">
        <f>F855-E855</f>
        <v/>
      </c>
      <c r="H855" s="4">
        <f>IF(E855=0,"",F855/E855-1)</f>
        <v/>
      </c>
      <c r="I855" t="inlineStr"/>
    </row>
    <row r="856">
      <c r="A856" t="inlineStr">
        <is>
          <t>Machinery &amp; electronics</t>
        </is>
      </c>
      <c r="B856" t="inlineStr">
        <is>
          <t>84</t>
        </is>
      </c>
      <c r="C856" t="inlineStr">
        <is>
          <t>84661010</t>
        </is>
      </c>
      <c r="D856" t="inlineStr">
        <is>
          <t>TOOL HOLDERS OF ANY TYPE OF TOOL OR MACHINE TOOLS FOR WORKING IN THE HAND</t>
        </is>
      </c>
      <c r="E856" s="3" t="n">
        <v>0.5600000000000001</v>
      </c>
      <c r="F856" s="3" t="n">
        <v>0.86</v>
      </c>
      <c r="G856" s="3">
        <f>F856-E856</f>
        <v/>
      </c>
      <c r="H856" s="4">
        <f>IF(E856=0,"",F856/E856-1)</f>
        <v/>
      </c>
      <c r="I856" t="inlineStr"/>
    </row>
    <row r="857">
      <c r="A857" t="inlineStr">
        <is>
          <t>Machinery &amp; electronics</t>
        </is>
      </c>
      <c r="B857" t="inlineStr">
        <is>
          <t>84</t>
        </is>
      </c>
      <c r="C857" t="inlineStr">
        <is>
          <t>84172000</t>
        </is>
      </c>
      <c r="D857" t="inlineStr">
        <is>
          <t>BAKERY OVENS,INCL BISCUIT OVENS</t>
        </is>
      </c>
      <c r="E857" s="3" t="n">
        <v>0.4</v>
      </c>
      <c r="F857" s="3" t="n">
        <v>0.84</v>
      </c>
      <c r="G857" s="3">
        <f>F857-E857</f>
        <v/>
      </c>
      <c r="H857" s="4">
        <f>IF(E857=0,"",F857/E857-1)</f>
        <v/>
      </c>
      <c r="I857" t="inlineStr"/>
    </row>
    <row r="858">
      <c r="A858" t="inlineStr">
        <is>
          <t>Machinery &amp; electronics</t>
        </is>
      </c>
      <c r="B858" t="inlineStr">
        <is>
          <t>85</t>
        </is>
      </c>
      <c r="C858" t="inlineStr">
        <is>
          <t>85078000</t>
        </is>
      </c>
      <c r="D858" t="inlineStr">
        <is>
          <t>OTHER ACCUMULATORS</t>
        </is>
      </c>
      <c r="E858" s="3" t="n">
        <v>2.07</v>
      </c>
      <c r="F858" s="3" t="n">
        <v>0.84</v>
      </c>
      <c r="G858" s="3">
        <f>F858-E858</f>
        <v/>
      </c>
      <c r="H858" s="4">
        <f>IF(E858=0,"",F858/E858-1)</f>
        <v/>
      </c>
      <c r="I858" t="inlineStr"/>
    </row>
    <row r="859">
      <c r="A859" t="inlineStr">
        <is>
          <t>Machinery &amp; electronics</t>
        </is>
      </c>
      <c r="B859" t="inlineStr">
        <is>
          <t>85</t>
        </is>
      </c>
      <c r="C859" t="inlineStr">
        <is>
          <t>85144000</t>
        </is>
      </c>
      <c r="D859" t="inlineStr">
        <is>
          <t>OTHR INDUCTN/DIELCTRC HTNG EQPMNT</t>
        </is>
      </c>
      <c r="E859" s="3" t="n">
        <v>0.75</v>
      </c>
      <c r="F859" s="3" t="n">
        <v>0.82</v>
      </c>
      <c r="G859" s="3">
        <f>F859-E859</f>
        <v/>
      </c>
      <c r="H859" s="4">
        <f>IF(E859=0,"",F859/E859-1)</f>
        <v/>
      </c>
      <c r="I859" t="inlineStr"/>
    </row>
    <row r="860">
      <c r="A860" t="inlineStr">
        <is>
          <t>Machinery &amp; electronics</t>
        </is>
      </c>
      <c r="B860" t="inlineStr">
        <is>
          <t>85</t>
        </is>
      </c>
      <c r="C860" t="inlineStr">
        <is>
          <t>85171890</t>
        </is>
      </c>
      <c r="D860" t="inlineStr">
        <is>
          <t>OTHERS-OF-OTHERS-OF-ELCTRCL APARTS FR LINE TELEPHNY/TELGRPHY, INCL TELPHON SETS WTH CORDLS HANDSETCARIER-CURENT LINE SYSTM; VI</t>
        </is>
      </c>
      <c r="E860" s="3" t="n">
        <v>0</v>
      </c>
      <c r="F860" s="3" t="n">
        <v>0.8100000000000001</v>
      </c>
      <c r="G860" s="3">
        <f>F860-E860</f>
        <v/>
      </c>
      <c r="H860" s="4">
        <f>IF(E860=0,"",F860/E860-1)</f>
        <v/>
      </c>
      <c r="I860" t="inlineStr"/>
    </row>
    <row r="861">
      <c r="A861" t="inlineStr">
        <is>
          <t>Machinery &amp; electronics</t>
        </is>
      </c>
      <c r="B861" t="inlineStr">
        <is>
          <t>85</t>
        </is>
      </c>
      <c r="C861" t="inlineStr">
        <is>
          <t>85444299</t>
        </is>
      </c>
      <c r="D861" t="inlineStr">
        <is>
          <t>OTHR ELCTRC CNDCTRS FITTED WTH CONNCTRS USED IN TELECOM FR &lt;=1000V EXCL PAPR PLSCTIC AND RUBBER INSULATED</t>
        </is>
      </c>
      <c r="E861" s="3" t="n">
        <v>1.5</v>
      </c>
      <c r="F861" s="3" t="n">
        <v>0.8100000000000001</v>
      </c>
      <c r="G861" s="3">
        <f>F861-E861</f>
        <v/>
      </c>
      <c r="H861" s="4">
        <f>IF(E861=0,"",F861/E861-1)</f>
        <v/>
      </c>
      <c r="I861" t="inlineStr"/>
    </row>
    <row r="862">
      <c r="A862" t="inlineStr">
        <is>
          <t>Machinery &amp; electronics</t>
        </is>
      </c>
      <c r="B862" t="inlineStr">
        <is>
          <t>84</t>
        </is>
      </c>
      <c r="C862" t="inlineStr">
        <is>
          <t>84222000</t>
        </is>
      </c>
      <c r="D862" t="inlineStr">
        <is>
          <t>MCHNRY FR CLNG/DRYNG BOTLS/OTHR CNTNRS</t>
        </is>
      </c>
      <c r="E862" s="3" t="n">
        <v>0.01</v>
      </c>
      <c r="F862" s="3" t="n">
        <v>0.8</v>
      </c>
      <c r="G862" s="3">
        <f>F862-E862</f>
        <v/>
      </c>
      <c r="H862" s="4">
        <f>IF(E862=0,"",F862/E862-1)</f>
        <v/>
      </c>
      <c r="I862" t="inlineStr"/>
    </row>
    <row r="863">
      <c r="A863" t="inlineStr">
        <is>
          <t>Machinery &amp; electronics</t>
        </is>
      </c>
      <c r="B863" t="inlineStr">
        <is>
          <t>84</t>
        </is>
      </c>
      <c r="C863" t="inlineStr">
        <is>
          <t>84431600</t>
        </is>
      </c>
      <c r="D863" t="inlineStr">
        <is>
          <t>FLEXOGRAPHIC PRINTING MACHINERY</t>
        </is>
      </c>
      <c r="E863" s="3" t="n">
        <v>0.18</v>
      </c>
      <c r="F863" s="3" t="n">
        <v>0.8</v>
      </c>
      <c r="G863" s="3">
        <f>F863-E863</f>
        <v/>
      </c>
      <c r="H863" s="4">
        <f>IF(E863=0,"",F863/E863-1)</f>
        <v/>
      </c>
      <c r="I863" t="inlineStr"/>
    </row>
    <row r="864">
      <c r="A864" t="inlineStr">
        <is>
          <t>Machinery &amp; electronics</t>
        </is>
      </c>
      <c r="B864" t="inlineStr">
        <is>
          <t>84</t>
        </is>
      </c>
      <c r="C864" t="inlineStr">
        <is>
          <t>84729010</t>
        </is>
      </c>
      <c r="D864" t="inlineStr">
        <is>
          <t>STAPLING MACHINES(STAPLERS)</t>
        </is>
      </c>
      <c r="E864" s="3" t="n">
        <v>0.19</v>
      </c>
      <c r="F864" s="3" t="n">
        <v>0.8</v>
      </c>
      <c r="G864" s="3">
        <f>F864-E864</f>
        <v/>
      </c>
      <c r="H864" s="4">
        <f>IF(E864=0,"",F864/E864-1)</f>
        <v/>
      </c>
      <c r="I864" t="inlineStr"/>
    </row>
    <row r="865">
      <c r="A865" t="inlineStr">
        <is>
          <t>Machinery &amp; electronics</t>
        </is>
      </c>
      <c r="B865" t="inlineStr">
        <is>
          <t>84</t>
        </is>
      </c>
      <c r="C865" t="inlineStr">
        <is>
          <t>84136020</t>
        </is>
      </c>
      <c r="D865" t="inlineStr">
        <is>
          <t>SCREW TYPE PUMPS</t>
        </is>
      </c>
      <c r="E865" s="3" t="n">
        <v>1.08</v>
      </c>
      <c r="F865" s="3" t="n">
        <v>0.79</v>
      </c>
      <c r="G865" s="3">
        <f>F865-E865</f>
        <v/>
      </c>
      <c r="H865" s="4">
        <f>IF(E865=0,"",F865/E865-1)</f>
        <v/>
      </c>
      <c r="I865" t="inlineStr"/>
    </row>
    <row r="866">
      <c r="A866" t="inlineStr">
        <is>
          <t>Machinery &amp; electronics</t>
        </is>
      </c>
      <c r="B866" t="inlineStr">
        <is>
          <t>84</t>
        </is>
      </c>
      <c r="C866" t="inlineStr">
        <is>
          <t>84773000</t>
        </is>
      </c>
      <c r="D866" t="inlineStr">
        <is>
          <t>BLOW MOULDING MACHINES</t>
        </is>
      </c>
      <c r="E866" s="3" t="n">
        <v>1.81</v>
      </c>
      <c r="F866" s="3" t="n">
        <v>0.79</v>
      </c>
      <c r="G866" s="3">
        <f>F866-E866</f>
        <v/>
      </c>
      <c r="H866" s="4">
        <f>IF(E866=0,"",F866/E866-1)</f>
        <v/>
      </c>
      <c r="I866" t="inlineStr"/>
    </row>
    <row r="867">
      <c r="A867" t="inlineStr">
        <is>
          <t>Machinery &amp; electronics</t>
        </is>
      </c>
      <c r="B867" t="inlineStr">
        <is>
          <t>84</t>
        </is>
      </c>
      <c r="C867" t="inlineStr">
        <is>
          <t>84798930</t>
        </is>
      </c>
      <c r="D867" t="inlineStr">
        <is>
          <t>MECHANICAL SHIFTING MACHINES</t>
        </is>
      </c>
      <c r="E867" s="3" t="n">
        <v>0</v>
      </c>
      <c r="F867" s="3" t="n">
        <v>0.79</v>
      </c>
      <c r="G867" s="3">
        <f>F867-E867</f>
        <v/>
      </c>
      <c r="H867" s="4">
        <f>IF(E867=0,"",F867/E867-1)</f>
        <v/>
      </c>
      <c r="I867" t="inlineStr"/>
    </row>
    <row r="868">
      <c r="A868" t="inlineStr">
        <is>
          <t>Machinery &amp; electronics</t>
        </is>
      </c>
      <c r="B868" t="inlineStr">
        <is>
          <t>84</t>
        </is>
      </c>
      <c r="C868" t="inlineStr">
        <is>
          <t>84812000</t>
        </is>
      </c>
      <c r="D868" t="inlineStr">
        <is>
          <t>VALVES FR OLEOHYDRAULIC/PNEUMATIC TRNSMSNS</t>
        </is>
      </c>
      <c r="E868" s="3" t="n">
        <v>0.57</v>
      </c>
      <c r="F868" s="3" t="n">
        <v>0.79</v>
      </c>
      <c r="G868" s="3">
        <f>F868-E868</f>
        <v/>
      </c>
      <c r="H868" s="4">
        <f>IF(E868=0,"",F868/E868-1)</f>
        <v/>
      </c>
      <c r="I868" t="inlineStr"/>
    </row>
    <row r="869">
      <c r="A869" t="inlineStr">
        <is>
          <t>Machinery &amp; electronics</t>
        </is>
      </c>
      <c r="B869" t="inlineStr">
        <is>
          <t>84</t>
        </is>
      </c>
      <c r="C869" t="inlineStr">
        <is>
          <t>84281019</t>
        </is>
      </c>
      <c r="D869" t="inlineStr">
        <is>
          <t>OTHER LIFTS</t>
        </is>
      </c>
      <c r="E869" s="3" t="n">
        <v>0.2</v>
      </c>
      <c r="F869" s="3" t="n">
        <v>0.78</v>
      </c>
      <c r="G869" s="3">
        <f>F869-E869</f>
        <v/>
      </c>
      <c r="H869" s="4">
        <f>IF(E869=0,"",F869/E869-1)</f>
        <v/>
      </c>
      <c r="I869" t="inlineStr"/>
    </row>
    <row r="870">
      <c r="A870" t="inlineStr">
        <is>
          <t>Machinery &amp; electronics</t>
        </is>
      </c>
      <c r="B870" t="inlineStr">
        <is>
          <t>84</t>
        </is>
      </c>
      <c r="C870" t="inlineStr">
        <is>
          <t>84135029</t>
        </is>
      </c>
      <c r="D870" t="inlineStr">
        <is>
          <t>OTHER PUMPS PRIMARILY DESIGNED FOR HANDLING WATER</t>
        </is>
      </c>
      <c r="E870" s="3" t="n">
        <v>0.82</v>
      </c>
      <c r="F870" s="3" t="n">
        <v>0.76</v>
      </c>
      <c r="G870" s="3">
        <f>F870-E870</f>
        <v/>
      </c>
      <c r="H870" s="4">
        <f>IF(E870=0,"",F870/E870-1)</f>
        <v/>
      </c>
      <c r="I870" t="inlineStr"/>
    </row>
    <row r="871">
      <c r="A871" t="inlineStr">
        <is>
          <t>Machinery &amp; electronics</t>
        </is>
      </c>
      <c r="B871" t="inlineStr">
        <is>
          <t>85</t>
        </is>
      </c>
      <c r="C871" t="inlineStr">
        <is>
          <t>85437099</t>
        </is>
      </c>
      <c r="D871" t="inlineStr">
        <is>
          <t>OTHERS-OF-OTHER MACHINES AND APPARATUS:</t>
        </is>
      </c>
      <c r="E871" s="3" t="n">
        <v>2.21</v>
      </c>
      <c r="F871" s="3" t="n">
        <v>0.76</v>
      </c>
      <c r="G871" s="3">
        <f>F871-E871</f>
        <v/>
      </c>
      <c r="H871" s="4">
        <f>IF(E871=0,"",F871/E871-1)</f>
        <v/>
      </c>
      <c r="I871" t="inlineStr"/>
    </row>
    <row r="872">
      <c r="A872" t="inlineStr">
        <is>
          <t>Machinery &amp; electronics</t>
        </is>
      </c>
      <c r="B872" t="inlineStr">
        <is>
          <t>84</t>
        </is>
      </c>
      <c r="C872" t="inlineStr">
        <is>
          <t>84181010</t>
        </is>
      </c>
      <c r="D872" t="inlineStr">
        <is>
          <t>COMMERCIAL TYPE COMBINED REFRIGERATOR FREEZERS ,FITTED WITH SEPARATE EXTERNAL DOORS</t>
        </is>
      </c>
      <c r="E872" s="3" t="n">
        <v>0.08</v>
      </c>
      <c r="F872" s="3" t="n">
        <v>0.75</v>
      </c>
      <c r="G872" s="3">
        <f>F872-E872</f>
        <v/>
      </c>
      <c r="H872" s="4">
        <f>IF(E872=0,"",F872/E872-1)</f>
        <v/>
      </c>
      <c r="I872" t="inlineStr"/>
    </row>
    <row r="873">
      <c r="A873" t="inlineStr">
        <is>
          <t>Machinery &amp; electronics</t>
        </is>
      </c>
      <c r="B873" t="inlineStr">
        <is>
          <t>85</t>
        </is>
      </c>
      <c r="C873" t="inlineStr">
        <is>
          <t>85176220</t>
        </is>
      </c>
      <c r="D873" t="inlineStr">
        <is>
          <t>VOICE FREQUENCY TELEGRAPHY</t>
        </is>
      </c>
      <c r="E873" s="3" t="n">
        <v>0.15</v>
      </c>
      <c r="F873" s="3" t="n">
        <v>0.75</v>
      </c>
      <c r="G873" s="3">
        <f>F873-E873</f>
        <v/>
      </c>
      <c r="H873" s="4">
        <f>IF(E873=0,"",F873/E873-1)</f>
        <v/>
      </c>
      <c r="I873" t="inlineStr"/>
    </row>
    <row r="874">
      <c r="A874" t="inlineStr">
        <is>
          <t>Machinery &amp; electronics</t>
        </is>
      </c>
      <c r="B874" t="inlineStr">
        <is>
          <t>85</t>
        </is>
      </c>
      <c r="C874" t="inlineStr">
        <is>
          <t>85153990</t>
        </is>
      </c>
      <c r="D874" t="inlineStr">
        <is>
          <t>OTHERS-OF-OTHR MCHNS AND APPRTS FR ARC(INCL PLASMAARC)WELDING OF METAL</t>
        </is>
      </c>
      <c r="E874" s="3" t="n">
        <v>0.34</v>
      </c>
      <c r="F874" s="3" t="n">
        <v>0.74</v>
      </c>
      <c r="G874" s="3">
        <f>F874-E874</f>
        <v/>
      </c>
      <c r="H874" s="4">
        <f>IF(E874=0,"",F874/E874-1)</f>
        <v/>
      </c>
      <c r="I874" t="inlineStr"/>
    </row>
    <row r="875">
      <c r="A875" t="inlineStr">
        <is>
          <t>Machinery &amp; electronics</t>
        </is>
      </c>
      <c r="B875" t="inlineStr">
        <is>
          <t>84</t>
        </is>
      </c>
      <c r="C875" t="inlineStr">
        <is>
          <t>84641010</t>
        </is>
      </c>
      <c r="D875" t="inlineStr">
        <is>
          <t>GRANITE CUTTING MACHINES,EQUIPMENT ETC</t>
        </is>
      </c>
      <c r="E875" s="3" t="n">
        <v>0.26</v>
      </c>
      <c r="F875" s="3" t="n">
        <v>0.73</v>
      </c>
      <c r="G875" s="3">
        <f>F875-E875</f>
        <v/>
      </c>
      <c r="H875" s="4">
        <f>IF(E875=0,"",F875/E875-1)</f>
        <v/>
      </c>
      <c r="I875" t="inlineStr"/>
    </row>
    <row r="876">
      <c r="A876" t="inlineStr">
        <is>
          <t>Machinery &amp; electronics</t>
        </is>
      </c>
      <c r="B876" t="inlineStr">
        <is>
          <t>84</t>
        </is>
      </c>
      <c r="C876" t="inlineStr">
        <is>
          <t>84238190</t>
        </is>
      </c>
      <c r="D876" t="inlineStr">
        <is>
          <t>OTHERS-OF-OTHR WEIGHNG MCHNRY HVNG MXM WGHNG CPCTYNOT EXCEEDING 30 KG</t>
        </is>
      </c>
      <c r="E876" s="3" t="n">
        <v>0.72</v>
      </c>
      <c r="F876" s="3" t="n">
        <v>0.72</v>
      </c>
      <c r="G876" s="3">
        <f>F876-E876</f>
        <v/>
      </c>
      <c r="H876" s="4">
        <f>IF(E876=0,"",F876/E876-1)</f>
        <v/>
      </c>
      <c r="I876" t="inlineStr"/>
    </row>
    <row r="877">
      <c r="A877" t="inlineStr">
        <is>
          <t>Machinery &amp; electronics</t>
        </is>
      </c>
      <c r="B877" t="inlineStr">
        <is>
          <t>84</t>
        </is>
      </c>
      <c r="C877" t="inlineStr">
        <is>
          <t>84419000</t>
        </is>
      </c>
      <c r="D877" t="inlineStr">
        <is>
          <t>PARTS OF MACHNRY FOR MKNG UP PAPER PULP, PAPR OR PAPRBRD AND PARTS OF CUTTING MACHNS</t>
        </is>
      </c>
      <c r="E877" s="3" t="n">
        <v>0.18</v>
      </c>
      <c r="F877" s="3" t="n">
        <v>0.72</v>
      </c>
      <c r="G877" s="3">
        <f>F877-E877</f>
        <v/>
      </c>
      <c r="H877" s="4">
        <f>IF(E877=0,"",F877/E877-1)</f>
        <v/>
      </c>
      <c r="I877" t="inlineStr"/>
    </row>
    <row r="878">
      <c r="A878" t="inlineStr">
        <is>
          <t>Machinery &amp; electronics</t>
        </is>
      </c>
      <c r="B878" t="inlineStr">
        <is>
          <t>85</t>
        </is>
      </c>
      <c r="C878" t="inlineStr">
        <is>
          <t>85318000</t>
        </is>
      </c>
      <c r="D878" t="inlineStr">
        <is>
          <t>OTHER ELECTRIC SOUND/VISUAL SIGNLNG APPRTS</t>
        </is>
      </c>
      <c r="E878" s="3" t="n">
        <v>0.21</v>
      </c>
      <c r="F878" s="3" t="n">
        <v>0.72</v>
      </c>
      <c r="G878" s="3">
        <f>F878-E878</f>
        <v/>
      </c>
      <c r="H878" s="4">
        <f>IF(E878=0,"",F878/E878-1)</f>
        <v/>
      </c>
      <c r="I878" t="inlineStr"/>
    </row>
    <row r="879">
      <c r="A879" t="inlineStr">
        <is>
          <t>Machinery &amp; electronics</t>
        </is>
      </c>
      <c r="B879" t="inlineStr">
        <is>
          <t>84</t>
        </is>
      </c>
      <c r="C879" t="inlineStr">
        <is>
          <t>84682010</t>
        </is>
      </c>
      <c r="D879" t="inlineStr">
        <is>
          <t>GAS-OPERATED WELDING/CUTTING MACINES</t>
        </is>
      </c>
      <c r="E879" s="3" t="n">
        <v>0.54</v>
      </c>
      <c r="F879" s="3" t="n">
        <v>0.71</v>
      </c>
      <c r="G879" s="3">
        <f>F879-E879</f>
        <v/>
      </c>
      <c r="H879" s="4">
        <f>IF(E879=0,"",F879/E879-1)</f>
        <v/>
      </c>
      <c r="I879" t="inlineStr"/>
    </row>
    <row r="880">
      <c r="A880" t="inlineStr">
        <is>
          <t>Machinery &amp; electronics</t>
        </is>
      </c>
      <c r="B880" t="inlineStr">
        <is>
          <t>84</t>
        </is>
      </c>
      <c r="C880" t="inlineStr">
        <is>
          <t>84713090</t>
        </is>
      </c>
      <c r="D880" t="inlineStr">
        <is>
          <t>OTHR DGTL AUTOMATC DATA-PROCESNG MACHINE WEGHNG &lt;=10KG WTH A KEYBOARD AND DISPLAY CONSISTNG OF A CENTRAL PROCESNG MA</t>
        </is>
      </c>
      <c r="E880" s="3" t="n">
        <v>0.03</v>
      </c>
      <c r="F880" s="3" t="n">
        <v>0.71</v>
      </c>
      <c r="G880" s="3">
        <f>F880-E880</f>
        <v/>
      </c>
      <c r="H880" s="4">
        <f>IF(E880=0,"",F880/E880-1)</f>
        <v/>
      </c>
      <c r="I880" t="inlineStr"/>
    </row>
    <row r="881">
      <c r="A881" t="inlineStr">
        <is>
          <t>Machinery &amp; electronics</t>
        </is>
      </c>
      <c r="B881" t="inlineStr">
        <is>
          <t>84</t>
        </is>
      </c>
      <c r="C881" t="inlineStr">
        <is>
          <t>84836010</t>
        </is>
      </c>
      <c r="D881" t="inlineStr">
        <is>
          <t>FLEXIBLE COUPLING</t>
        </is>
      </c>
      <c r="E881" s="3" t="n">
        <v>0.41</v>
      </c>
      <c r="F881" s="3" t="n">
        <v>0.71</v>
      </c>
      <c r="G881" s="3">
        <f>F881-E881</f>
        <v/>
      </c>
      <c r="H881" s="4">
        <f>IF(E881=0,"",F881/E881-1)</f>
        <v/>
      </c>
      <c r="I881" t="inlineStr"/>
    </row>
    <row r="882">
      <c r="A882" t="inlineStr">
        <is>
          <t>Machinery &amp; electronics</t>
        </is>
      </c>
      <c r="B882" t="inlineStr">
        <is>
          <t>84</t>
        </is>
      </c>
      <c r="C882" t="inlineStr">
        <is>
          <t>84131191</t>
        </is>
      </c>
      <c r="D882" t="inlineStr">
        <is>
          <t>OTHER PUMPS FOR DISPENSING FUEL</t>
        </is>
      </c>
      <c r="E882" s="3" t="n">
        <v>0.44</v>
      </c>
      <c r="F882" s="3" t="n">
        <v>0.7</v>
      </c>
      <c r="G882" s="3">
        <f>F882-E882</f>
        <v/>
      </c>
      <c r="H882" s="4">
        <f>IF(E882=0,"",F882/E882-1)</f>
        <v/>
      </c>
      <c r="I882" t="inlineStr"/>
    </row>
    <row r="883">
      <c r="A883" t="inlineStr">
        <is>
          <t>Machinery &amp; electronics</t>
        </is>
      </c>
      <c r="B883" t="inlineStr">
        <is>
          <t>84</t>
        </is>
      </c>
      <c r="C883" t="inlineStr">
        <is>
          <t>84314920</t>
        </is>
      </c>
      <c r="D883" t="inlineStr">
        <is>
          <t>PRTS OF SHIPS DERRICKS AND CRANES</t>
        </is>
      </c>
      <c r="E883" s="3" t="n">
        <v>0.5600000000000001</v>
      </c>
      <c r="F883" s="3" t="n">
        <v>0.7</v>
      </c>
      <c r="G883" s="3">
        <f>F883-E883</f>
        <v/>
      </c>
      <c r="H883" s="4">
        <f>IF(E883=0,"",F883/E883-1)</f>
        <v/>
      </c>
      <c r="I883" t="inlineStr"/>
    </row>
    <row r="884">
      <c r="A884" t="inlineStr">
        <is>
          <t>Machinery &amp; electronics</t>
        </is>
      </c>
      <c r="B884" t="inlineStr">
        <is>
          <t>85</t>
        </is>
      </c>
      <c r="C884" t="inlineStr">
        <is>
          <t>85369010</t>
        </is>
      </c>
      <c r="D884" t="inlineStr">
        <is>
          <t>OTHER APPRATUS OF HEADING 8536 SPEED INCL REVRSNG STRTRS AT &lt;=60 VOLTS</t>
        </is>
      </c>
      <c r="E884" s="3" t="n">
        <v>0.83</v>
      </c>
      <c r="F884" s="3" t="n">
        <v>0.7</v>
      </c>
      <c r="G884" s="3">
        <f>F884-E884</f>
        <v/>
      </c>
      <c r="H884" s="4">
        <f>IF(E884=0,"",F884/E884-1)</f>
        <v/>
      </c>
      <c r="I884" t="inlineStr"/>
    </row>
    <row r="885">
      <c r="A885" t="inlineStr">
        <is>
          <t>Machinery &amp; electronics</t>
        </is>
      </c>
      <c r="B885" t="inlineStr">
        <is>
          <t>84</t>
        </is>
      </c>
      <c r="C885" t="inlineStr">
        <is>
          <t>84136090</t>
        </is>
      </c>
      <c r="D885" t="inlineStr">
        <is>
          <t>OTHERS-OF-OTHER ROTARY POSITIVE DISPLACEMENT PUMPS:</t>
        </is>
      </c>
      <c r="E885" s="3" t="n">
        <v>0.36</v>
      </c>
      <c r="F885" s="3" t="n">
        <v>0.6899999999999999</v>
      </c>
      <c r="G885" s="3">
        <f>F885-E885</f>
        <v/>
      </c>
      <c r="H885" s="4">
        <f>IF(E885=0,"",F885/E885-1)</f>
        <v/>
      </c>
      <c r="I885" t="inlineStr"/>
    </row>
    <row r="886">
      <c r="A886" t="inlineStr">
        <is>
          <t>Machinery &amp; electronics</t>
        </is>
      </c>
      <c r="B886" t="inlineStr">
        <is>
          <t>84</t>
        </is>
      </c>
      <c r="C886" t="inlineStr">
        <is>
          <t>84342000</t>
        </is>
      </c>
      <c r="D886" t="inlineStr">
        <is>
          <t>DAIRY MACHINERY</t>
        </is>
      </c>
      <c r="E886" s="3" t="n">
        <v>0.93</v>
      </c>
      <c r="F886" s="3" t="n">
        <v>0.68</v>
      </c>
      <c r="G886" s="3">
        <f>F886-E886</f>
        <v/>
      </c>
      <c r="H886" s="4">
        <f>IF(E886=0,"",F886/E886-1)</f>
        <v/>
      </c>
      <c r="I886" t="inlineStr"/>
    </row>
    <row r="887">
      <c r="A887" t="inlineStr">
        <is>
          <t>Machinery &amp; electronics</t>
        </is>
      </c>
      <c r="B887" t="inlineStr">
        <is>
          <t>84</t>
        </is>
      </c>
      <c r="C887" t="inlineStr">
        <is>
          <t>84385000</t>
        </is>
      </c>
      <c r="D887" t="inlineStr">
        <is>
          <t>MCHNRY FOR PRPRTN OF MEAT/POULTRY</t>
        </is>
      </c>
      <c r="E887" s="3" t="n">
        <v>0.01</v>
      </c>
      <c r="F887" s="3" t="n">
        <v>0.68</v>
      </c>
      <c r="G887" s="3">
        <f>F887-E887</f>
        <v/>
      </c>
      <c r="H887" s="4">
        <f>IF(E887=0,"",F887/E887-1)</f>
        <v/>
      </c>
      <c r="I887" t="inlineStr"/>
    </row>
    <row r="888">
      <c r="A888" t="inlineStr">
        <is>
          <t>Machinery &amp; electronics</t>
        </is>
      </c>
      <c r="B888" t="inlineStr">
        <is>
          <t>85</t>
        </is>
      </c>
      <c r="C888" t="inlineStr">
        <is>
          <t>85311090</t>
        </is>
      </c>
      <c r="D888" t="inlineStr">
        <is>
          <t>OTHR ALARM</t>
        </is>
      </c>
      <c r="E888" s="3" t="n">
        <v>0.66</v>
      </c>
      <c r="F888" s="3" t="n">
        <v>0.68</v>
      </c>
      <c r="G888" s="3">
        <f>F888-E888</f>
        <v/>
      </c>
      <c r="H888" s="4">
        <f>IF(E888=0,"",F888/E888-1)</f>
        <v/>
      </c>
      <c r="I888" t="inlineStr"/>
    </row>
    <row r="889">
      <c r="A889" t="inlineStr">
        <is>
          <t>Machinery &amp; electronics</t>
        </is>
      </c>
      <c r="B889" t="inlineStr">
        <is>
          <t>85</t>
        </is>
      </c>
      <c r="C889" t="inlineStr">
        <is>
          <t>85472000</t>
        </is>
      </c>
      <c r="D889" t="inlineStr">
        <is>
          <t>INSLTNG FTTNGS OF PLASTICS</t>
        </is>
      </c>
      <c r="E889" s="3" t="n">
        <v>1.21</v>
      </c>
      <c r="F889" s="3" t="n">
        <v>0.68</v>
      </c>
      <c r="G889" s="3">
        <f>F889-E889</f>
        <v/>
      </c>
      <c r="H889" s="4">
        <f>IF(E889=0,"",F889/E889-1)</f>
        <v/>
      </c>
      <c r="I889" t="inlineStr"/>
    </row>
    <row r="890">
      <c r="A890" t="inlineStr">
        <is>
          <t>Machinery &amp; electronics</t>
        </is>
      </c>
      <c r="B890" t="inlineStr">
        <is>
          <t>84</t>
        </is>
      </c>
      <c r="C890" t="inlineStr">
        <is>
          <t>84211999</t>
        </is>
      </c>
      <c r="D890" t="inlineStr">
        <is>
          <t>OTHER CENTRIFUGES</t>
        </is>
      </c>
      <c r="E890" s="3" t="n">
        <v>0.75</v>
      </c>
      <c r="F890" s="3" t="n">
        <v>0.65</v>
      </c>
      <c r="G890" s="3">
        <f>F890-E890</f>
        <v/>
      </c>
      <c r="H890" s="4">
        <f>IF(E890=0,"",F890/E890-1)</f>
        <v/>
      </c>
      <c r="I890" t="inlineStr"/>
    </row>
    <row r="891">
      <c r="A891" t="inlineStr">
        <is>
          <t>Machinery &amp; electronics</t>
        </is>
      </c>
      <c r="B891" t="inlineStr">
        <is>
          <t>85</t>
        </is>
      </c>
      <c r="C891" t="inlineStr">
        <is>
          <t>85235910</t>
        </is>
      </c>
      <c r="D891" t="inlineStr">
        <is>
          <t>PROXIMITY CARDS AND TAGS</t>
        </is>
      </c>
      <c r="E891" s="3" t="n">
        <v>0.33</v>
      </c>
      <c r="F891" s="3" t="n">
        <v>0.65</v>
      </c>
      <c r="G891" s="3">
        <f>F891-E891</f>
        <v/>
      </c>
      <c r="H891" s="4">
        <f>IF(E891=0,"",F891/E891-1)</f>
        <v/>
      </c>
      <c r="I891" t="inlineStr"/>
    </row>
    <row r="892">
      <c r="A892" t="inlineStr">
        <is>
          <t>Machinery &amp; electronics</t>
        </is>
      </c>
      <c r="B892" t="inlineStr">
        <is>
          <t>84</t>
        </is>
      </c>
      <c r="C892" t="inlineStr">
        <is>
          <t>84029090</t>
        </is>
      </c>
      <c r="D892" t="inlineStr">
        <is>
          <t>PARTS OF OTHR STEAM AND VAPOUR GNRTNG BOILRS</t>
        </is>
      </c>
      <c r="E892" s="3" t="n">
        <v>0.98</v>
      </c>
      <c r="F892" s="3" t="n">
        <v>0.64</v>
      </c>
      <c r="G892" s="3">
        <f>F892-E892</f>
        <v/>
      </c>
      <c r="H892" s="4">
        <f>IF(E892=0,"",F892/E892-1)</f>
        <v/>
      </c>
      <c r="I892" t="inlineStr"/>
    </row>
    <row r="893">
      <c r="A893" t="inlineStr">
        <is>
          <t>Machinery &amp; electronics</t>
        </is>
      </c>
      <c r="B893" t="inlineStr">
        <is>
          <t>84</t>
        </is>
      </c>
      <c r="C893" t="inlineStr">
        <is>
          <t>84871000</t>
        </is>
      </c>
      <c r="D893" t="inlineStr">
        <is>
          <t>SHIPS PROPELLERS AND BLADES THEREFOR</t>
        </is>
      </c>
      <c r="E893" s="3" t="n">
        <v>0.29</v>
      </c>
      <c r="F893" s="3" t="n">
        <v>0.64</v>
      </c>
      <c r="G893" s="3">
        <f>F893-E893</f>
        <v/>
      </c>
      <c r="H893" s="4">
        <f>IF(E893=0,"",F893/E893-1)</f>
        <v/>
      </c>
      <c r="I893" t="inlineStr"/>
    </row>
    <row r="894">
      <c r="A894" t="inlineStr">
        <is>
          <t>Machinery &amp; electronics</t>
        </is>
      </c>
      <c r="B894" t="inlineStr">
        <is>
          <t>85</t>
        </is>
      </c>
      <c r="C894" t="inlineStr">
        <is>
          <t>85444220</t>
        </is>
      </c>
      <c r="D894" t="inlineStr">
        <is>
          <t>PLSTIC INSLTD CNDCTRS FR &lt;= 1000V FITTED WITH CONNECTORS</t>
        </is>
      </c>
      <c r="E894" s="3" t="n">
        <v>0.06</v>
      </c>
      <c r="F894" s="3" t="n">
        <v>0.64</v>
      </c>
      <c r="G894" s="3">
        <f>F894-E894</f>
        <v/>
      </c>
      <c r="H894" s="4">
        <f>IF(E894=0,"",F894/E894-1)</f>
        <v/>
      </c>
      <c r="I894" t="inlineStr"/>
    </row>
    <row r="895">
      <c r="A895" t="inlineStr">
        <is>
          <t>Machinery &amp; electronics</t>
        </is>
      </c>
      <c r="B895" t="inlineStr">
        <is>
          <t>84</t>
        </is>
      </c>
      <c r="C895" t="inlineStr">
        <is>
          <t>84369900</t>
        </is>
      </c>
      <c r="D895" t="inlineStr">
        <is>
          <t>PARTS OF OTHR AGRICULTUTAL,HORTICULTURAL ANDFORESTRY MACHINE INCL GERMINATION OF PLANT</t>
        </is>
      </c>
      <c r="E895" s="3" t="n">
        <v>0.9</v>
      </c>
      <c r="F895" s="3" t="n">
        <v>0.63</v>
      </c>
      <c r="G895" s="3">
        <f>F895-E895</f>
        <v/>
      </c>
      <c r="H895" s="4">
        <f>IF(E895=0,"",F895/E895-1)</f>
        <v/>
      </c>
      <c r="I895" t="inlineStr"/>
    </row>
    <row r="896">
      <c r="A896" t="inlineStr">
        <is>
          <t>Machinery &amp; electronics</t>
        </is>
      </c>
      <c r="B896" t="inlineStr">
        <is>
          <t>84</t>
        </is>
      </c>
      <c r="C896" t="inlineStr">
        <is>
          <t>84198960</t>
        </is>
      </c>
      <c r="D896" t="inlineStr">
        <is>
          <t>PLNT GRWTH CHMBRS/ROOMS AND TISSUE CLTRE CHMBRS/ROOMS WTH TEMP/HUMDTY/LIGHT CONTL</t>
        </is>
      </c>
      <c r="E896" s="3" t="n">
        <v>0.63</v>
      </c>
      <c r="F896" s="3" t="n">
        <v>0.62</v>
      </c>
      <c r="G896" s="3">
        <f>F896-E896</f>
        <v/>
      </c>
      <c r="H896" s="4">
        <f>IF(E896=0,"",F896/E896-1)</f>
        <v/>
      </c>
      <c r="I896" t="inlineStr"/>
    </row>
    <row r="897">
      <c r="A897" t="inlineStr">
        <is>
          <t>Machinery &amp; electronics</t>
        </is>
      </c>
      <c r="B897" t="inlineStr">
        <is>
          <t>84</t>
        </is>
      </c>
      <c r="C897" t="inlineStr">
        <is>
          <t>84412000</t>
        </is>
      </c>
      <c r="D897" t="inlineStr">
        <is>
          <t>MCHNS FR MKNG BAGS,SACKS/ENVELOPS</t>
        </is>
      </c>
      <c r="E897" s="3" t="n">
        <v>0</v>
      </c>
      <c r="F897" s="3" t="n">
        <v>0.62</v>
      </c>
      <c r="G897" s="3">
        <f>F897-E897</f>
        <v/>
      </c>
      <c r="H897" s="4">
        <f>IF(E897=0,"",F897/E897-1)</f>
        <v/>
      </c>
      <c r="I897" t="inlineStr"/>
    </row>
    <row r="898">
      <c r="A898" t="inlineStr">
        <is>
          <t>Machinery &amp; electronics</t>
        </is>
      </c>
      <c r="B898" t="inlineStr">
        <is>
          <t>84</t>
        </is>
      </c>
      <c r="C898" t="inlineStr">
        <is>
          <t>84418000</t>
        </is>
      </c>
      <c r="D898" t="inlineStr">
        <is>
          <t>OTHER MACHINERY FOR MAKING UP PAPER-PULP, PAPER OR PAPER BOARD</t>
        </is>
      </c>
      <c r="E898" s="3" t="n">
        <v>0.49</v>
      </c>
      <c r="F898" s="3" t="n">
        <v>0.62</v>
      </c>
      <c r="G898" s="3">
        <f>F898-E898</f>
        <v/>
      </c>
      <c r="H898" s="4">
        <f>IF(E898=0,"",F898/E898-1)</f>
        <v/>
      </c>
      <c r="I898" t="inlineStr"/>
    </row>
    <row r="899">
      <c r="A899" t="inlineStr">
        <is>
          <t>Machinery &amp; electronics</t>
        </is>
      </c>
      <c r="B899" t="inlineStr">
        <is>
          <t>84</t>
        </is>
      </c>
      <c r="C899" t="inlineStr">
        <is>
          <t>84823000</t>
        </is>
      </c>
      <c r="D899" t="inlineStr">
        <is>
          <t>SPHERICAL ROLLER BEARINGS</t>
        </is>
      </c>
      <c r="E899" s="3" t="n">
        <v>0.76</v>
      </c>
      <c r="F899" s="3" t="n">
        <v>0.62</v>
      </c>
      <c r="G899" s="3">
        <f>F899-E899</f>
        <v/>
      </c>
      <c r="H899" s="4">
        <f>IF(E899=0,"",F899/E899-1)</f>
        <v/>
      </c>
      <c r="I899" t="inlineStr"/>
    </row>
    <row r="900">
      <c r="A900" t="inlineStr">
        <is>
          <t>Machinery &amp; electronics</t>
        </is>
      </c>
      <c r="B900" t="inlineStr">
        <is>
          <t>85</t>
        </is>
      </c>
      <c r="C900" t="inlineStr">
        <is>
          <t>85353090</t>
        </is>
      </c>
      <c r="D900" t="inlineStr">
        <is>
          <t>ISLTNG AND MAKE-AND-BRK SWTCHS OF OTHR MATRLS</t>
        </is>
      </c>
      <c r="E900" s="3" t="n">
        <v>0.34</v>
      </c>
      <c r="F900" s="3" t="n">
        <v>0.62</v>
      </c>
      <c r="G900" s="3">
        <f>F900-E900</f>
        <v/>
      </c>
      <c r="H900" s="4">
        <f>IF(E900=0,"",F900/E900-1)</f>
        <v/>
      </c>
      <c r="I900" t="inlineStr"/>
    </row>
    <row r="901">
      <c r="A901" t="inlineStr">
        <is>
          <t>Machinery &amp; electronics</t>
        </is>
      </c>
      <c r="B901" t="inlineStr">
        <is>
          <t>85</t>
        </is>
      </c>
      <c r="C901" t="inlineStr">
        <is>
          <t>85367000</t>
        </is>
      </c>
      <c r="D901" t="inlineStr">
        <is>
          <t>CONNECTORS FOR OPTICAL FIBRES, OPTICAL FIBRE BUNDLES OR CABLES</t>
        </is>
      </c>
      <c r="E901" s="3" t="n">
        <v>1.01</v>
      </c>
      <c r="F901" s="3" t="n">
        <v>0.62</v>
      </c>
      <c r="G901" s="3">
        <f>F901-E901</f>
        <v/>
      </c>
      <c r="H901" s="4">
        <f>IF(E901=0,"",F901/E901-1)</f>
        <v/>
      </c>
      <c r="I901" t="inlineStr"/>
    </row>
    <row r="902">
      <c r="A902" t="inlineStr">
        <is>
          <t>Machinery &amp; electronics</t>
        </is>
      </c>
      <c r="B902" t="inlineStr">
        <is>
          <t>84</t>
        </is>
      </c>
      <c r="C902" t="inlineStr">
        <is>
          <t>84129090</t>
        </is>
      </c>
      <c r="D902" t="inlineStr">
        <is>
          <t>PARTS OF OTHER ENGINES AND MOTORS</t>
        </is>
      </c>
      <c r="E902" s="3" t="n">
        <v>0.42</v>
      </c>
      <c r="F902" s="3" t="n">
        <v>0.6</v>
      </c>
      <c r="G902" s="3">
        <f>F902-E902</f>
        <v/>
      </c>
      <c r="H902" s="4">
        <f>IF(E902=0,"",F902/E902-1)</f>
        <v/>
      </c>
      <c r="I902" t="inlineStr"/>
    </row>
    <row r="903">
      <c r="A903" t="inlineStr">
        <is>
          <t>Machinery &amp; electronics</t>
        </is>
      </c>
      <c r="B903" t="inlineStr">
        <is>
          <t>84</t>
        </is>
      </c>
      <c r="C903" t="inlineStr">
        <is>
          <t>84484990</t>
        </is>
      </c>
      <c r="D903" t="inlineStr">
        <is>
          <t>OTHR PRTS AND ACCSSRS OF OTHER WEAVING MCHNS</t>
        </is>
      </c>
      <c r="E903" s="3" t="n">
        <v>0.25</v>
      </c>
      <c r="F903" s="3" t="n">
        <v>0.58</v>
      </c>
      <c r="G903" s="3">
        <f>F903-E903</f>
        <v/>
      </c>
      <c r="H903" s="4">
        <f>IF(E903=0,"",F903/E903-1)</f>
        <v/>
      </c>
      <c r="I903" t="inlineStr"/>
    </row>
    <row r="904">
      <c r="A904" t="inlineStr">
        <is>
          <t>Machinery &amp; electronics</t>
        </is>
      </c>
      <c r="B904" t="inlineStr">
        <is>
          <t>84</t>
        </is>
      </c>
      <c r="C904" t="inlineStr">
        <is>
          <t>84521022</t>
        </is>
      </c>
      <c r="D904" t="inlineStr">
        <is>
          <t>HAND OPERATED SEWNG MCHNS HH TYPE WTHOUT TABLE/STAND</t>
        </is>
      </c>
      <c r="E904" s="3" t="n">
        <v>0.31</v>
      </c>
      <c r="F904" s="3" t="n">
        <v>0.58</v>
      </c>
      <c r="G904" s="3">
        <f>F904-E904</f>
        <v/>
      </c>
      <c r="H904" s="4">
        <f>IF(E904=0,"",F904/E904-1)</f>
        <v/>
      </c>
      <c r="I904" t="inlineStr"/>
    </row>
    <row r="905">
      <c r="A905" t="inlineStr">
        <is>
          <t>Machinery &amp; electronics</t>
        </is>
      </c>
      <c r="B905" t="inlineStr">
        <is>
          <t>84</t>
        </is>
      </c>
      <c r="C905" t="inlineStr">
        <is>
          <t>84615019</t>
        </is>
      </c>
      <c r="D905" t="inlineStr">
        <is>
          <t>OTHER SAWING MACHINES</t>
        </is>
      </c>
      <c r="E905" s="3" t="n">
        <v>0.62</v>
      </c>
      <c r="F905" s="3" t="n">
        <v>0.58</v>
      </c>
      <c r="G905" s="3">
        <f>F905-E905</f>
        <v/>
      </c>
      <c r="H905" s="4">
        <f>IF(E905=0,"",F905/E905-1)</f>
        <v/>
      </c>
      <c r="I905" t="inlineStr"/>
    </row>
    <row r="906">
      <c r="A906" t="inlineStr">
        <is>
          <t>Machinery &amp; electronics</t>
        </is>
      </c>
      <c r="B906" t="inlineStr">
        <is>
          <t>84</t>
        </is>
      </c>
      <c r="C906" t="inlineStr">
        <is>
          <t>84775900</t>
        </is>
      </c>
      <c r="D906" t="inlineStr">
        <is>
          <t>OTHER MACHINERY FR MOULDNG/OTHRWSE FORMNG</t>
        </is>
      </c>
      <c r="E906" s="3" t="n">
        <v>0.02</v>
      </c>
      <c r="F906" s="3" t="n">
        <v>0.58</v>
      </c>
      <c r="G906" s="3">
        <f>F906-E906</f>
        <v/>
      </c>
      <c r="H906" s="4">
        <f>IF(E906=0,"",F906/E906-1)</f>
        <v/>
      </c>
      <c r="I906" t="inlineStr"/>
    </row>
    <row r="907">
      <c r="A907" t="inlineStr">
        <is>
          <t>Machinery &amp; electronics</t>
        </is>
      </c>
      <c r="B907" t="inlineStr">
        <is>
          <t>84</t>
        </is>
      </c>
      <c r="C907" t="inlineStr">
        <is>
          <t>84139130</t>
        </is>
      </c>
      <c r="D907" t="inlineStr">
        <is>
          <t>PARTS FOR DEEP WELL TURBINE PUMPS AND OF OTHER ROTARY PUMPS</t>
        </is>
      </c>
      <c r="E907" s="3" t="n">
        <v>0.78</v>
      </c>
      <c r="F907" s="3" t="n">
        <v>0.57</v>
      </c>
      <c r="G907" s="3">
        <f>F907-E907</f>
        <v/>
      </c>
      <c r="H907" s="4">
        <f>IF(E907=0,"",F907/E907-1)</f>
        <v/>
      </c>
      <c r="I907" t="inlineStr"/>
    </row>
    <row r="908">
      <c r="A908" t="inlineStr">
        <is>
          <t>Machinery &amp; electronics</t>
        </is>
      </c>
      <c r="B908" t="inlineStr">
        <is>
          <t>84</t>
        </is>
      </c>
      <c r="C908" t="inlineStr">
        <is>
          <t>84669310</t>
        </is>
      </c>
      <c r="D908" t="inlineStr">
        <is>
          <t>PRTS AND ACCESSORIES OF MACHINE-TOOLS,FOR WRKNG METALS</t>
        </is>
      </c>
      <c r="E908" s="3" t="n">
        <v>0.26</v>
      </c>
      <c r="F908" s="3" t="n">
        <v>0.57</v>
      </c>
      <c r="G908" s="3">
        <f>F908-E908</f>
        <v/>
      </c>
      <c r="H908" s="4">
        <f>IF(E908=0,"",F908/E908-1)</f>
        <v/>
      </c>
      <c r="I908" t="inlineStr"/>
    </row>
    <row r="909">
      <c r="A909" t="inlineStr">
        <is>
          <t>Machinery &amp; electronics</t>
        </is>
      </c>
      <c r="B909" t="inlineStr">
        <is>
          <t>85</t>
        </is>
      </c>
      <c r="C909" t="inlineStr">
        <is>
          <t>85334090</t>
        </is>
      </c>
      <c r="D909" t="inlineStr">
        <is>
          <t>OTHERS-OF-OTHER VARIABLE RESISTORS, INCLUDING RHEOSTATS AND POTENTIOMETERS :</t>
        </is>
      </c>
      <c r="E909" s="3" t="n">
        <v>0.1</v>
      </c>
      <c r="F909" s="3" t="n">
        <v>0.57</v>
      </c>
      <c r="G909" s="3">
        <f>F909-E909</f>
        <v/>
      </c>
      <c r="H909" s="4">
        <f>IF(E909=0,"",F909/E909-1)</f>
        <v/>
      </c>
      <c r="I909" t="inlineStr"/>
    </row>
    <row r="910">
      <c r="A910" t="inlineStr">
        <is>
          <t>Machinery &amp; electronics</t>
        </is>
      </c>
      <c r="B910" t="inlineStr">
        <is>
          <t>84</t>
        </is>
      </c>
      <c r="C910" t="inlineStr">
        <is>
          <t>84069000</t>
        </is>
      </c>
      <c r="D910" t="inlineStr">
        <is>
          <t>PARTS OF TURBINES</t>
        </is>
      </c>
      <c r="E910" s="3" t="n">
        <v>5.97</v>
      </c>
      <c r="F910" s="3" t="n">
        <v>0.5600000000000001</v>
      </c>
      <c r="G910" s="3">
        <f>F910-E910</f>
        <v/>
      </c>
      <c r="H910" s="4">
        <f>IF(E910=0,"",F910/E910-1)</f>
        <v/>
      </c>
      <c r="I910" t="inlineStr"/>
    </row>
    <row r="911">
      <c r="A911" t="inlineStr">
        <is>
          <t>Machinery &amp; electronics</t>
        </is>
      </c>
      <c r="B911" t="inlineStr">
        <is>
          <t>84</t>
        </is>
      </c>
      <c r="C911" t="inlineStr">
        <is>
          <t>84411090</t>
        </is>
      </c>
      <c r="D911" t="inlineStr">
        <is>
          <t>OTHER CUTTING MACHINES</t>
        </is>
      </c>
      <c r="E911" s="3" t="n">
        <v>0.25</v>
      </c>
      <c r="F911" s="3" t="n">
        <v>0.5600000000000001</v>
      </c>
      <c r="G911" s="3">
        <f>F911-E911</f>
        <v/>
      </c>
      <c r="H911" s="4">
        <f>IF(E911=0,"",F911/E911-1)</f>
        <v/>
      </c>
      <c r="I911" t="inlineStr"/>
    </row>
    <row r="912">
      <c r="A912" t="inlineStr">
        <is>
          <t>Machinery &amp; electronics</t>
        </is>
      </c>
      <c r="B912" t="inlineStr">
        <is>
          <t>84</t>
        </is>
      </c>
      <c r="C912" t="inlineStr">
        <is>
          <t>84669390</t>
        </is>
      </c>
      <c r="D912" t="inlineStr">
        <is>
          <t>OTHR PRTS ACCSSRS, ATTCHMNT FR MCHN-TOOL</t>
        </is>
      </c>
      <c r="E912" s="3" t="n">
        <v>0.47</v>
      </c>
      <c r="F912" s="3" t="n">
        <v>0.5600000000000001</v>
      </c>
      <c r="G912" s="3">
        <f>F912-E912</f>
        <v/>
      </c>
      <c r="H912" s="4">
        <f>IF(E912=0,"",F912/E912-1)</f>
        <v/>
      </c>
      <c r="I912" t="inlineStr"/>
    </row>
    <row r="913">
      <c r="A913" t="inlineStr">
        <is>
          <t>Machinery &amp; electronics</t>
        </is>
      </c>
      <c r="B913" t="inlineStr">
        <is>
          <t>84</t>
        </is>
      </c>
      <c r="C913" t="inlineStr">
        <is>
          <t>84051010</t>
        </is>
      </c>
      <c r="D913" t="inlineStr">
        <is>
          <t>PRODUCER GAS AND WATER GAS GENERATORS</t>
        </is>
      </c>
      <c r="E913" s="3" t="n">
        <v>4.51</v>
      </c>
      <c r="F913" s="3" t="n">
        <v>0.55</v>
      </c>
      <c r="G913" s="3">
        <f>F913-E913</f>
        <v/>
      </c>
      <c r="H913" s="4">
        <f>IF(E913=0,"",F913/E913-1)</f>
        <v/>
      </c>
      <c r="I913" t="inlineStr"/>
    </row>
    <row r="914">
      <c r="A914" t="inlineStr">
        <is>
          <t>Machinery &amp; electronics</t>
        </is>
      </c>
      <c r="B914" t="inlineStr">
        <is>
          <t>84</t>
        </is>
      </c>
      <c r="C914" t="inlineStr">
        <is>
          <t>84254100</t>
        </is>
      </c>
      <c r="D914" t="inlineStr">
        <is>
          <t>BUILT-IN JACKNG SYSTM USED IN GARAGE ETC</t>
        </is>
      </c>
      <c r="E914" s="3" t="n">
        <v>0.66</v>
      </c>
      <c r="F914" s="3" t="n">
        <v>0.55</v>
      </c>
      <c r="G914" s="3">
        <f>F914-E914</f>
        <v/>
      </c>
      <c r="H914" s="4">
        <f>IF(E914=0,"",F914/E914-1)</f>
        <v/>
      </c>
      <c r="I914" t="inlineStr"/>
    </row>
    <row r="915">
      <c r="A915" t="inlineStr">
        <is>
          <t>Machinery &amp; electronics</t>
        </is>
      </c>
      <c r="B915" t="inlineStr">
        <is>
          <t>84</t>
        </is>
      </c>
      <c r="C915" t="inlineStr">
        <is>
          <t>84705010</t>
        </is>
      </c>
      <c r="D915" t="inlineStr">
        <is>
          <t>ELECTRICALLY OPERATED CASH REGISTRS</t>
        </is>
      </c>
      <c r="E915" s="3" t="n">
        <v>1.12</v>
      </c>
      <c r="F915" s="3" t="n">
        <v>0.55</v>
      </c>
      <c r="G915" s="3">
        <f>F915-E915</f>
        <v/>
      </c>
      <c r="H915" s="4">
        <f>IF(E915=0,"",F915/E915-1)</f>
        <v/>
      </c>
      <c r="I915" t="inlineStr"/>
    </row>
    <row r="916">
      <c r="A916" t="inlineStr">
        <is>
          <t>Machinery &amp; electronics</t>
        </is>
      </c>
      <c r="B916" t="inlineStr">
        <is>
          <t>85</t>
        </is>
      </c>
      <c r="C916" t="inlineStr">
        <is>
          <t>85013310</t>
        </is>
      </c>
      <c r="D916" t="inlineStr">
        <is>
          <t>D.C.MOTORS</t>
        </is>
      </c>
      <c r="E916" s="3" t="n">
        <v>2.1</v>
      </c>
      <c r="F916" s="3" t="n">
        <v>0.55</v>
      </c>
      <c r="G916" s="3">
        <f>F916-E916</f>
        <v/>
      </c>
      <c r="H916" s="4">
        <f>IF(E916=0,"",F916/E916-1)</f>
        <v/>
      </c>
      <c r="I916" t="inlineStr"/>
    </row>
    <row r="917">
      <c r="A917" t="inlineStr">
        <is>
          <t>Machinery &amp; electronics</t>
        </is>
      </c>
      <c r="B917" t="inlineStr">
        <is>
          <t>85</t>
        </is>
      </c>
      <c r="C917" t="inlineStr">
        <is>
          <t>85462090</t>
        </is>
      </c>
      <c r="D917" t="inlineStr">
        <is>
          <t>OTHR INSULATORS OF CERAMIC</t>
        </is>
      </c>
      <c r="E917" s="3" t="n">
        <v>0.23</v>
      </c>
      <c r="F917" s="3" t="n">
        <v>0.55</v>
      </c>
      <c r="G917" s="3">
        <f>F917-E917</f>
        <v/>
      </c>
      <c r="H917" s="4">
        <f>IF(E917=0,"",F917/E917-1)</f>
        <v/>
      </c>
      <c r="I917" t="inlineStr"/>
    </row>
    <row r="918">
      <c r="A918" t="inlineStr">
        <is>
          <t>Machinery &amp; electronics</t>
        </is>
      </c>
      <c r="B918" t="inlineStr">
        <is>
          <t>84</t>
        </is>
      </c>
      <c r="C918" t="inlineStr">
        <is>
          <t>84135090</t>
        </is>
      </c>
      <c r="D918" t="inlineStr">
        <is>
          <t>OTHERS-OF-OTHER RECIPROCATING POSITIVE DISPLACEMENT PUMPS :</t>
        </is>
      </c>
      <c r="E918" s="3" t="n">
        <v>0.7</v>
      </c>
      <c r="F918" s="3" t="n">
        <v>0.54</v>
      </c>
      <c r="G918" s="3">
        <f>F918-E918</f>
        <v/>
      </c>
      <c r="H918" s="4">
        <f>IF(E918=0,"",F918/E918-1)</f>
        <v/>
      </c>
      <c r="I918" t="inlineStr"/>
    </row>
    <row r="919">
      <c r="A919" t="inlineStr">
        <is>
          <t>Machinery &amp; electronics</t>
        </is>
      </c>
      <c r="B919" t="inlineStr">
        <is>
          <t>84</t>
        </is>
      </c>
      <c r="C919" t="inlineStr">
        <is>
          <t>84659990</t>
        </is>
      </c>
      <c r="D919" t="inlineStr">
        <is>
          <t>OTHERS-OF-OTHER MACHINE-TOOLS OF HDG 8465</t>
        </is>
      </c>
      <c r="E919" s="3" t="n">
        <v>0.11</v>
      </c>
      <c r="F919" s="3" t="n">
        <v>0.54</v>
      </c>
      <c r="G919" s="3">
        <f>F919-E919</f>
        <v/>
      </c>
      <c r="H919" s="4">
        <f>IF(E919=0,"",F919/E919-1)</f>
        <v/>
      </c>
      <c r="I919" t="inlineStr"/>
    </row>
    <row r="920">
      <c r="A920" t="inlineStr">
        <is>
          <t>Machinery &amp; electronics</t>
        </is>
      </c>
      <c r="B920" t="inlineStr">
        <is>
          <t>84</t>
        </is>
      </c>
      <c r="C920" t="inlineStr">
        <is>
          <t>84123100</t>
        </is>
      </c>
      <c r="D920" t="inlineStr">
        <is>
          <t>LINEAR ACTING (CYLINDERS),PNEUMATIC POWER ENGINES AND MOTORS</t>
        </is>
      </c>
      <c r="E920" s="3" t="n">
        <v>0.3</v>
      </c>
      <c r="F920" s="3" t="n">
        <v>0.53</v>
      </c>
      <c r="G920" s="3">
        <f>F920-E920</f>
        <v/>
      </c>
      <c r="H920" s="4">
        <f>IF(E920=0,"",F920/E920-1)</f>
        <v/>
      </c>
      <c r="I920" t="inlineStr"/>
    </row>
    <row r="921">
      <c r="A921" t="inlineStr">
        <is>
          <t>Machinery &amp; electronics</t>
        </is>
      </c>
      <c r="B921" t="inlineStr">
        <is>
          <t>84</t>
        </is>
      </c>
      <c r="C921" t="inlineStr">
        <is>
          <t>84743900</t>
        </is>
      </c>
      <c r="D921" t="inlineStr">
        <is>
          <t>OTHR MXNG/KNEADNG MACHINES</t>
        </is>
      </c>
      <c r="E921" s="3" t="n">
        <v>0.03</v>
      </c>
      <c r="F921" s="3" t="n">
        <v>0.53</v>
      </c>
      <c r="G921" s="3">
        <f>F921-E921</f>
        <v/>
      </c>
      <c r="H921" s="4">
        <f>IF(E921=0,"",F921/E921-1)</f>
        <v/>
      </c>
      <c r="I921" t="inlineStr"/>
    </row>
    <row r="922">
      <c r="A922" t="inlineStr">
        <is>
          <t>Machinery &amp; electronics</t>
        </is>
      </c>
      <c r="B922" t="inlineStr">
        <is>
          <t>85</t>
        </is>
      </c>
      <c r="C922" t="inlineStr">
        <is>
          <t>85258900</t>
        </is>
      </c>
      <c r="D922" t="inlineStr">
        <is>
          <t>Television cameras, digital cameras and vidcamera recorders others</t>
        </is>
      </c>
      <c r="E922" s="3" t="n">
        <v>2.54</v>
      </c>
      <c r="F922" s="3" t="n">
        <v>0.53</v>
      </c>
      <c r="G922" s="3">
        <f>F922-E922</f>
        <v/>
      </c>
      <c r="H922" s="4">
        <f>IF(E922=0,"",F922/E922-1)</f>
        <v/>
      </c>
      <c r="I922" t="inlineStr"/>
    </row>
    <row r="923">
      <c r="A923" t="inlineStr">
        <is>
          <t>Machinery &amp; electronics</t>
        </is>
      </c>
      <c r="B923" t="inlineStr">
        <is>
          <t>85</t>
        </is>
      </c>
      <c r="C923" t="inlineStr">
        <is>
          <t>85443000</t>
        </is>
      </c>
      <c r="D923" t="inlineStr">
        <is>
          <t>IGNTN WIRING SETS AND OTHR WIRING SETS OF A KIND USED IN VEHICLES AIRCRAFT/SHIPS</t>
        </is>
      </c>
      <c r="E923" s="3" t="n">
        <v>0.45</v>
      </c>
      <c r="F923" s="3" t="n">
        <v>0.53</v>
      </c>
      <c r="G923" s="3">
        <f>F923-E923</f>
        <v/>
      </c>
      <c r="H923" s="4">
        <f>IF(E923=0,"",F923/E923-1)</f>
        <v/>
      </c>
      <c r="I923" t="inlineStr"/>
    </row>
    <row r="924">
      <c r="A924" t="inlineStr">
        <is>
          <t>Machinery &amp; electronics</t>
        </is>
      </c>
      <c r="B924" t="inlineStr">
        <is>
          <t>84</t>
        </is>
      </c>
      <c r="C924" t="inlineStr">
        <is>
          <t>84248910</t>
        </is>
      </c>
      <c r="D924" t="inlineStr">
        <is>
          <t>PAINTNG EQPMNT INCL ELECTROSTATIC PHOSPHTNG,PWDR COATNG EQPMNT AND OTHR EQPMNT</t>
        </is>
      </c>
      <c r="E924" s="3" t="n">
        <v>0.92</v>
      </c>
      <c r="F924" s="3" t="n">
        <v>0.52</v>
      </c>
      <c r="G924" s="3">
        <f>F924-E924</f>
        <v/>
      </c>
      <c r="H924" s="4">
        <f>IF(E924=0,"",F924/E924-1)</f>
        <v/>
      </c>
      <c r="I924" t="inlineStr"/>
    </row>
    <row r="925">
      <c r="A925" t="inlineStr">
        <is>
          <t>Machinery &amp; electronics</t>
        </is>
      </c>
      <c r="B925" t="inlineStr">
        <is>
          <t>84</t>
        </is>
      </c>
      <c r="C925" t="inlineStr">
        <is>
          <t>84639090</t>
        </is>
      </c>
      <c r="D925" t="inlineStr">
        <is>
          <t>OTHERS-OF-OTHER MACHINE TOOLS OF HEADING 8463</t>
        </is>
      </c>
      <c r="E925" s="3" t="n">
        <v>0</v>
      </c>
      <c r="F925" s="3" t="n">
        <v>0.52</v>
      </c>
      <c r="G925" s="3">
        <f>F925-E925</f>
        <v/>
      </c>
      <c r="H925" s="4">
        <f>IF(E925=0,"",F925/E925-1)</f>
        <v/>
      </c>
      <c r="I925" t="inlineStr"/>
    </row>
    <row r="926">
      <c r="A926" t="inlineStr">
        <is>
          <t>Machinery &amp; electronics</t>
        </is>
      </c>
      <c r="B926" t="inlineStr">
        <is>
          <t>84</t>
        </is>
      </c>
      <c r="C926" t="inlineStr">
        <is>
          <t>84829900</t>
        </is>
      </c>
      <c r="D926" t="inlineStr">
        <is>
          <t>OTHER BALL/RLR BEARNG PARTS</t>
        </is>
      </c>
      <c r="E926" s="3" t="n">
        <v>0.66</v>
      </c>
      <c r="F926" s="3" t="n">
        <v>0.52</v>
      </c>
      <c r="G926" s="3">
        <f>F926-E926</f>
        <v/>
      </c>
      <c r="H926" s="4">
        <f>IF(E926=0,"",F926/E926-1)</f>
        <v/>
      </c>
      <c r="I926" t="inlineStr"/>
    </row>
    <row r="927">
      <c r="A927" t="inlineStr">
        <is>
          <t>Machinery &amp; electronics</t>
        </is>
      </c>
      <c r="B927" t="inlineStr">
        <is>
          <t>84</t>
        </is>
      </c>
      <c r="C927" t="inlineStr">
        <is>
          <t>84144010</t>
        </is>
      </c>
      <c r="D927" t="inlineStr">
        <is>
          <t>RECIPROCATING AIR COMPRESSORS</t>
        </is>
      </c>
      <c r="E927" s="3" t="n">
        <v>0.26</v>
      </c>
      <c r="F927" s="3" t="n">
        <v>0.51</v>
      </c>
      <c r="G927" s="3">
        <f>F927-E927</f>
        <v/>
      </c>
      <c r="H927" s="4">
        <f>IF(E927=0,"",F927/E927-1)</f>
        <v/>
      </c>
      <c r="I927" t="inlineStr"/>
    </row>
    <row r="928">
      <c r="A928" t="inlineStr">
        <is>
          <t>Machinery &amp; electronics</t>
        </is>
      </c>
      <c r="B928" t="inlineStr">
        <is>
          <t>84</t>
        </is>
      </c>
      <c r="C928" t="inlineStr">
        <is>
          <t>84328020</t>
        </is>
      </c>
      <c r="D928" t="inlineStr">
        <is>
          <t>ROTARY TILLER</t>
        </is>
      </c>
      <c r="E928" s="3" t="n">
        <v>0.1</v>
      </c>
      <c r="F928" s="3" t="n">
        <v>0.51</v>
      </c>
      <c r="G928" s="3">
        <f>F928-E928</f>
        <v/>
      </c>
      <c r="H928" s="4">
        <f>IF(E928=0,"",F928/E928-1)</f>
        <v/>
      </c>
      <c r="I928" t="inlineStr"/>
    </row>
    <row r="929">
      <c r="A929" t="inlineStr">
        <is>
          <t>Machinery &amp; electronics</t>
        </is>
      </c>
      <c r="B929" t="inlineStr">
        <is>
          <t>84</t>
        </is>
      </c>
      <c r="C929" t="inlineStr">
        <is>
          <t>84399900</t>
        </is>
      </c>
      <c r="D929" t="inlineStr">
        <is>
          <t>PRTS OF MCHNRY FR MKNG/FNSHNG PAPR/PAPRBRD</t>
        </is>
      </c>
      <c r="E929" s="3" t="n">
        <v>0.22</v>
      </c>
      <c r="F929" s="3" t="n">
        <v>0.51</v>
      </c>
      <c r="G929" s="3">
        <f>F929-E929</f>
        <v/>
      </c>
      <c r="H929" s="4">
        <f>IF(E929=0,"",F929/E929-1)</f>
        <v/>
      </c>
      <c r="I929" t="inlineStr"/>
    </row>
    <row r="930">
      <c r="A930" t="inlineStr">
        <is>
          <t>Machinery &amp; electronics</t>
        </is>
      </c>
      <c r="B930" t="inlineStr">
        <is>
          <t>85</t>
        </is>
      </c>
      <c r="C930" t="inlineStr">
        <is>
          <t>85167100</t>
        </is>
      </c>
      <c r="D930" t="inlineStr">
        <is>
          <t>COFFEE/TEA MAKERS</t>
        </is>
      </c>
      <c r="E930" s="3" t="n">
        <v>0.5</v>
      </c>
      <c r="F930" s="3" t="n">
        <v>0.51</v>
      </c>
      <c r="G930" s="3">
        <f>F930-E930</f>
        <v/>
      </c>
      <c r="H930" s="4">
        <f>IF(E930=0,"",F930/E930-1)</f>
        <v/>
      </c>
      <c r="I930" t="inlineStr"/>
    </row>
    <row r="931">
      <c r="A931" t="inlineStr">
        <is>
          <t>Machinery &amp; electronics</t>
        </is>
      </c>
      <c r="B931" t="inlineStr">
        <is>
          <t>84</t>
        </is>
      </c>
      <c r="C931" t="inlineStr">
        <is>
          <t>84589990</t>
        </is>
      </c>
      <c r="D931" t="inlineStr">
        <is>
          <t>ALL OTHER LATHES EXCL CENTRE LATHES</t>
        </is>
      </c>
      <c r="E931" s="3" t="n">
        <v>0.44</v>
      </c>
      <c r="F931" s="3" t="n">
        <v>0.5</v>
      </c>
      <c r="G931" s="3">
        <f>F931-E931</f>
        <v/>
      </c>
      <c r="H931" s="4">
        <f>IF(E931=0,"",F931/E931-1)</f>
        <v/>
      </c>
      <c r="I931" t="inlineStr"/>
    </row>
    <row r="932">
      <c r="A932" t="inlineStr">
        <is>
          <t>Machinery &amp; electronics</t>
        </is>
      </c>
      <c r="B932" t="inlineStr">
        <is>
          <t>84</t>
        </is>
      </c>
      <c r="C932" t="inlineStr">
        <is>
          <t>84733099</t>
        </is>
      </c>
      <c r="D932" t="inlineStr">
        <is>
          <t>OTHERS-OF-PRTS AND ACCSSRS OF MCHNS OF HDG NO.8471</t>
        </is>
      </c>
      <c r="E932" s="3" t="n">
        <v>0.07000000000000001</v>
      </c>
      <c r="F932" s="3" t="n">
        <v>0.5</v>
      </c>
      <c r="G932" s="3">
        <f>F932-E932</f>
        <v/>
      </c>
      <c r="H932" s="4">
        <f>IF(E932=0,"",F932/E932-1)</f>
        <v/>
      </c>
      <c r="I932" t="inlineStr"/>
    </row>
    <row r="933">
      <c r="A933" t="inlineStr">
        <is>
          <t>Machinery &amp; electronics</t>
        </is>
      </c>
      <c r="B933" t="inlineStr">
        <is>
          <t>84</t>
        </is>
      </c>
      <c r="C933" t="inlineStr">
        <is>
          <t>84031000</t>
        </is>
      </c>
      <c r="D933" t="inlineStr">
        <is>
          <t>CENTRAL HEATNG BOILERS</t>
        </is>
      </c>
      <c r="E933" s="3" t="n">
        <v>0</v>
      </c>
      <c r="F933" s="3" t="n">
        <v>0.49</v>
      </c>
      <c r="G933" s="3">
        <f>F933-E933</f>
        <v/>
      </c>
      <c r="H933" s="4">
        <f>IF(E933=0,"",F933/E933-1)</f>
        <v/>
      </c>
      <c r="I933" t="inlineStr"/>
    </row>
    <row r="934">
      <c r="A934" t="inlineStr">
        <is>
          <t>Machinery &amp; electronics</t>
        </is>
      </c>
      <c r="B934" t="inlineStr">
        <is>
          <t>84</t>
        </is>
      </c>
      <c r="C934" t="inlineStr">
        <is>
          <t>84729099</t>
        </is>
      </c>
      <c r="D934" t="inlineStr">
        <is>
          <t>OTHERS-OF-OTHR OFFICE MACHINES</t>
        </is>
      </c>
      <c r="E934" s="3" t="n">
        <v>0.16</v>
      </c>
      <c r="F934" s="3" t="n">
        <v>0.49</v>
      </c>
      <c r="G934" s="3">
        <f>F934-E934</f>
        <v/>
      </c>
      <c r="H934" s="4">
        <f>IF(E934=0,"",F934/E934-1)</f>
        <v/>
      </c>
      <c r="I934" t="inlineStr"/>
    </row>
    <row r="935">
      <c r="A935" t="inlineStr">
        <is>
          <t>Machinery &amp; electronics</t>
        </is>
      </c>
      <c r="B935" t="inlineStr">
        <is>
          <t>85</t>
        </is>
      </c>
      <c r="C935" t="inlineStr">
        <is>
          <t>85381090</t>
        </is>
      </c>
      <c r="D935" t="inlineStr">
        <is>
          <t>BORDS,PANELS,CONSOLES ETC.FR OTHR USE</t>
        </is>
      </c>
      <c r="E935" s="3" t="n">
        <v>0.92</v>
      </c>
      <c r="F935" s="3" t="n">
        <v>0.49</v>
      </c>
      <c r="G935" s="3">
        <f>F935-E935</f>
        <v/>
      </c>
      <c r="H935" s="4">
        <f>IF(E935=0,"",F935/E935-1)</f>
        <v/>
      </c>
      <c r="I935" t="inlineStr"/>
    </row>
    <row r="936">
      <c r="A936" t="inlineStr">
        <is>
          <t>Machinery &amp; electronics</t>
        </is>
      </c>
      <c r="B936" t="inlineStr">
        <is>
          <t>84</t>
        </is>
      </c>
      <c r="C936" t="inlineStr">
        <is>
          <t>84304130</t>
        </is>
      </c>
      <c r="D936" t="inlineStr">
        <is>
          <t>ROCK DRLLNG MCHNRY(INCL DIAMOND DRILLNG)</t>
        </is>
      </c>
      <c r="E936" s="3" t="n">
        <v>0.59</v>
      </c>
      <c r="F936" s="3" t="n">
        <v>0.48</v>
      </c>
      <c r="G936" s="3">
        <f>F936-E936</f>
        <v/>
      </c>
      <c r="H936" s="4">
        <f>IF(E936=0,"",F936/E936-1)</f>
        <v/>
      </c>
      <c r="I936" t="inlineStr"/>
    </row>
    <row r="937">
      <c r="A937" t="inlineStr">
        <is>
          <t>Machinery &amp; electronics</t>
        </is>
      </c>
      <c r="B937" t="inlineStr">
        <is>
          <t>84</t>
        </is>
      </c>
      <c r="C937" t="inlineStr">
        <is>
          <t>84425020</t>
        </is>
      </c>
      <c r="D937" t="inlineStr">
        <is>
          <t>LITHOGRAPHIC PLATES</t>
        </is>
      </c>
      <c r="E937" s="3" t="n">
        <v>0.39</v>
      </c>
      <c r="F937" s="3" t="n">
        <v>0.48</v>
      </c>
      <c r="G937" s="3">
        <f>F937-E937</f>
        <v/>
      </c>
      <c r="H937" s="4">
        <f>IF(E937=0,"",F937/E937-1)</f>
        <v/>
      </c>
      <c r="I937" t="inlineStr"/>
    </row>
    <row r="938">
      <c r="A938" t="inlineStr">
        <is>
          <t>Machinery &amp; electronics</t>
        </is>
      </c>
      <c r="B938" t="inlineStr">
        <is>
          <t>84</t>
        </is>
      </c>
      <c r="C938" t="inlineStr">
        <is>
          <t>84663020</t>
        </is>
      </c>
      <c r="D938" t="inlineStr">
        <is>
          <t>JIGS AND FIXTURES FR MACHINE-TOOLS</t>
        </is>
      </c>
      <c r="E938" s="3" t="n">
        <v>0.13</v>
      </c>
      <c r="F938" s="3" t="n">
        <v>0.48</v>
      </c>
      <c r="G938" s="3">
        <f>F938-E938</f>
        <v/>
      </c>
      <c r="H938" s="4">
        <f>IF(E938=0,"",F938/E938-1)</f>
        <v/>
      </c>
      <c r="I938" t="inlineStr"/>
    </row>
    <row r="939">
      <c r="A939" t="inlineStr">
        <is>
          <t>Machinery &amp; electronics</t>
        </is>
      </c>
      <c r="B939" t="inlineStr">
        <is>
          <t>85</t>
        </is>
      </c>
      <c r="C939" t="inlineStr">
        <is>
          <t>85437069</t>
        </is>
      </c>
      <c r="D939" t="inlineStr">
        <is>
          <t>OTHER AMPLIFIER</t>
        </is>
      </c>
      <c r="E939" s="3" t="n">
        <v>0.03</v>
      </c>
      <c r="F939" s="3" t="n">
        <v>0.48</v>
      </c>
      <c r="G939" s="3">
        <f>F939-E939</f>
        <v/>
      </c>
      <c r="H939" s="4">
        <f>IF(E939=0,"",F939/E939-1)</f>
        <v/>
      </c>
      <c r="I939" t="inlineStr"/>
    </row>
    <row r="940">
      <c r="A940" t="inlineStr">
        <is>
          <t>Machinery &amp; electronics</t>
        </is>
      </c>
      <c r="B940" t="inlineStr">
        <is>
          <t>84</t>
        </is>
      </c>
      <c r="C940" t="inlineStr">
        <is>
          <t>84239010</t>
        </is>
      </c>
      <c r="D940" t="inlineStr">
        <is>
          <t>WEIGHING MACHINE WEIGHT OF ALL KINDS</t>
        </is>
      </c>
      <c r="E940" s="3" t="n">
        <v>0.65</v>
      </c>
      <c r="F940" s="3" t="n">
        <v>0.47</v>
      </c>
      <c r="G940" s="3">
        <f>F940-E940</f>
        <v/>
      </c>
      <c r="H940" s="4">
        <f>IF(E940=0,"",F940/E940-1)</f>
        <v/>
      </c>
      <c r="I940" t="inlineStr"/>
    </row>
    <row r="941">
      <c r="A941" t="inlineStr">
        <is>
          <t>Machinery &amp; electronics</t>
        </is>
      </c>
      <c r="B941" t="inlineStr">
        <is>
          <t>84</t>
        </is>
      </c>
      <c r="C941" t="inlineStr">
        <is>
          <t>84264900</t>
        </is>
      </c>
      <c r="D941" t="inlineStr">
        <is>
          <t>OTHR MCHNRY OF HDG 8426,SLF-PRPLD</t>
        </is>
      </c>
      <c r="E941" s="3" t="n">
        <v>0.09</v>
      </c>
      <c r="F941" s="3" t="n">
        <v>0.46</v>
      </c>
      <c r="G941" s="3">
        <f>F941-E941</f>
        <v/>
      </c>
      <c r="H941" s="4">
        <f>IF(E941=0,"",F941/E941-1)</f>
        <v/>
      </c>
      <c r="I941" t="inlineStr"/>
    </row>
    <row r="942">
      <c r="A942" t="inlineStr">
        <is>
          <t>Machinery &amp; electronics</t>
        </is>
      </c>
      <c r="B942" t="inlineStr">
        <is>
          <t>85</t>
        </is>
      </c>
      <c r="C942" t="inlineStr">
        <is>
          <t>85362090</t>
        </is>
      </c>
      <c r="D942" t="inlineStr">
        <is>
          <t>OTHERS-OF-AUTMTC CIRCUIT BREAKERS</t>
        </is>
      </c>
      <c r="E942" s="3" t="n">
        <v>0.25</v>
      </c>
      <c r="F942" s="3" t="n">
        <v>0.46</v>
      </c>
      <c r="G942" s="3">
        <f>F942-E942</f>
        <v/>
      </c>
      <c r="H942" s="4">
        <f>IF(E942=0,"",F942/E942-1)</f>
        <v/>
      </c>
      <c r="I942" t="inlineStr"/>
    </row>
    <row r="943">
      <c r="A943" t="inlineStr">
        <is>
          <t>Machinery &amp; electronics</t>
        </is>
      </c>
      <c r="B943" t="inlineStr">
        <is>
          <t>84</t>
        </is>
      </c>
      <c r="C943" t="inlineStr">
        <is>
          <t>84669100</t>
        </is>
      </c>
      <c r="D943" t="inlineStr">
        <is>
          <t>PRTS AND ACCSSRS FOR MCHNS OF HDG NO. 8464</t>
        </is>
      </c>
      <c r="E943" s="3" t="n">
        <v>0.32</v>
      </c>
      <c r="F943" s="3" t="n">
        <v>0.45</v>
      </c>
      <c r="G943" s="3">
        <f>F943-E943</f>
        <v/>
      </c>
      <c r="H943" s="4">
        <f>IF(E943=0,"",F943/E943-1)</f>
        <v/>
      </c>
      <c r="I943" t="inlineStr"/>
    </row>
    <row r="944">
      <c r="A944" t="inlineStr">
        <is>
          <t>Machinery &amp; electronics</t>
        </is>
      </c>
      <c r="B944" t="inlineStr">
        <is>
          <t>85</t>
        </is>
      </c>
      <c r="C944" t="inlineStr">
        <is>
          <t>85412900</t>
        </is>
      </c>
      <c r="D944" t="inlineStr">
        <is>
          <t>OTHER TRANSISTOR,OTHER THAN PHOTOSENSITIVE TRANSISTORS</t>
        </is>
      </c>
      <c r="E944" s="3" t="n">
        <v>0.08</v>
      </c>
      <c r="F944" s="3" t="n">
        <v>0.45</v>
      </c>
      <c r="G944" s="3">
        <f>F944-E944</f>
        <v/>
      </c>
      <c r="H944" s="4">
        <f>IF(E944=0,"",F944/E944-1)</f>
        <v/>
      </c>
      <c r="I944" t="inlineStr"/>
    </row>
    <row r="945">
      <c r="A945" t="inlineStr">
        <is>
          <t>Machinery &amp; electronics</t>
        </is>
      </c>
      <c r="B945" t="inlineStr">
        <is>
          <t>84</t>
        </is>
      </c>
      <c r="C945" t="inlineStr">
        <is>
          <t>84131110</t>
        </is>
      </c>
      <c r="D945" t="inlineStr">
        <is>
          <t>HAND PUMPS FOR DSPNSNG FUEL/LUBRICANTS,OF THE TYPE USD IN FILLNG STATIONS/IN GARAGES</t>
        </is>
      </c>
      <c r="E945" s="3" t="n">
        <v>0.3</v>
      </c>
      <c r="F945" s="3" t="n">
        <v>0.44</v>
      </c>
      <c r="G945" s="3">
        <f>F945-E945</f>
        <v/>
      </c>
      <c r="H945" s="4">
        <f>IF(E945=0,"",F945/E945-1)</f>
        <v/>
      </c>
      <c r="I945" t="inlineStr"/>
    </row>
    <row r="946">
      <c r="A946" t="inlineStr">
        <is>
          <t>Machinery &amp; electronics</t>
        </is>
      </c>
      <c r="B946" t="inlineStr">
        <is>
          <t>84</t>
        </is>
      </c>
      <c r="C946" t="inlineStr">
        <is>
          <t>84195019</t>
        </is>
      </c>
      <c r="D946" t="inlineStr">
        <is>
          <t>OTHERS-OF-HEAT EXCHANGE UNIT</t>
        </is>
      </c>
      <c r="E946" s="3" t="n">
        <v>0.36</v>
      </c>
      <c r="F946" s="3" t="n">
        <v>0.44</v>
      </c>
      <c r="G946" s="3">
        <f>F946-E946</f>
        <v/>
      </c>
      <c r="H946" s="4">
        <f>IF(E946=0,"",F946/E946-1)</f>
        <v/>
      </c>
      <c r="I946" t="inlineStr"/>
    </row>
    <row r="947">
      <c r="A947" t="inlineStr">
        <is>
          <t>Machinery &amp; electronics</t>
        </is>
      </c>
      <c r="B947" t="inlineStr">
        <is>
          <t>84</t>
        </is>
      </c>
      <c r="C947" t="inlineStr">
        <is>
          <t>84431990</t>
        </is>
      </c>
      <c r="D947" t="inlineStr">
        <is>
          <t>OTHERS-OF-OTHER OFFSET PRINTING MACHINERY</t>
        </is>
      </c>
      <c r="E947" s="3" t="n">
        <v>0.45</v>
      </c>
      <c r="F947" s="3" t="n">
        <v>0.44</v>
      </c>
      <c r="G947" s="3">
        <f>F947-E947</f>
        <v/>
      </c>
      <c r="H947" s="4">
        <f>IF(E947=0,"",F947/E947-1)</f>
        <v/>
      </c>
      <c r="I947" t="inlineStr"/>
    </row>
    <row r="948">
      <c r="A948" t="inlineStr">
        <is>
          <t>Machinery &amp; electronics</t>
        </is>
      </c>
      <c r="B948" t="inlineStr">
        <is>
          <t>85</t>
        </is>
      </c>
      <c r="C948" t="inlineStr">
        <is>
          <t>85162900</t>
        </is>
      </c>
      <c r="D948" t="inlineStr">
        <is>
          <t>OTHR ELCTRC SPACE HEATING APPRTS AND ELECTRIC SOIL HEATING APPRATS</t>
        </is>
      </c>
      <c r="E948" s="3" t="n">
        <v>0.21</v>
      </c>
      <c r="F948" s="3" t="n">
        <v>0.44</v>
      </c>
      <c r="G948" s="3">
        <f>F948-E948</f>
        <v/>
      </c>
      <c r="H948" s="4">
        <f>IF(E948=0,"",F948/E948-1)</f>
        <v/>
      </c>
      <c r="I948" t="inlineStr"/>
    </row>
    <row r="949">
      <c r="A949" t="inlineStr">
        <is>
          <t>Machinery &amp; electronics</t>
        </is>
      </c>
      <c r="B949" t="inlineStr">
        <is>
          <t>85</t>
        </is>
      </c>
      <c r="C949" t="inlineStr">
        <is>
          <t>85433000</t>
        </is>
      </c>
      <c r="D949" t="inlineStr">
        <is>
          <t>MACHINES AND APPARATUS FOR ELECTRO-PLATING, ELECTROLYSIS/ELECTROPHORESIS</t>
        </is>
      </c>
      <c r="E949" s="3" t="n">
        <v>0.82</v>
      </c>
      <c r="F949" s="3" t="n">
        <v>0.44</v>
      </c>
      <c r="G949" s="3">
        <f>F949-E949</f>
        <v/>
      </c>
      <c r="H949" s="4">
        <f>IF(E949=0,"",F949/E949-1)</f>
        <v/>
      </c>
      <c r="I949" t="inlineStr"/>
    </row>
    <row r="950">
      <c r="A950" t="inlineStr">
        <is>
          <t>Machinery &amp; electronics</t>
        </is>
      </c>
      <c r="B950" t="inlineStr">
        <is>
          <t>84</t>
        </is>
      </c>
      <c r="C950" t="inlineStr">
        <is>
          <t>84439100</t>
        </is>
      </c>
      <c r="D950" t="inlineStr">
        <is>
          <t>PARTS AND ACCESSORIES OF PRINTING MACHINERY USED FOR PRINTING BY MEANS OF PLATES, CYLINDERS AND OTHER PRINTING</t>
        </is>
      </c>
      <c r="E950" s="3" t="n">
        <v>0.44</v>
      </c>
      <c r="F950" s="3" t="n">
        <v>0.43</v>
      </c>
      <c r="G950" s="3">
        <f>F950-E950</f>
        <v/>
      </c>
      <c r="H950" s="4">
        <f>IF(E950=0,"",F950/E950-1)</f>
        <v/>
      </c>
      <c r="I950" t="inlineStr"/>
    </row>
    <row r="951">
      <c r="A951" t="inlineStr">
        <is>
          <t>Machinery &amp; electronics</t>
        </is>
      </c>
      <c r="B951" t="inlineStr">
        <is>
          <t>84</t>
        </is>
      </c>
      <c r="C951" t="inlineStr">
        <is>
          <t>84619000</t>
        </is>
      </c>
      <c r="D951" t="inlineStr">
        <is>
          <t>0THER MACHINE TOOLS OF HDG NO 8461</t>
        </is>
      </c>
      <c r="E951" s="3" t="n">
        <v>0.13</v>
      </c>
      <c r="F951" s="3" t="n">
        <v>0.43</v>
      </c>
      <c r="G951" s="3">
        <f>F951-E951</f>
        <v/>
      </c>
      <c r="H951" s="4">
        <f>IF(E951=0,"",F951/E951-1)</f>
        <v/>
      </c>
      <c r="I951" t="inlineStr"/>
    </row>
    <row r="952">
      <c r="A952" t="inlineStr">
        <is>
          <t>Machinery &amp; electronics</t>
        </is>
      </c>
      <c r="B952" t="inlineStr">
        <is>
          <t>84</t>
        </is>
      </c>
      <c r="C952" t="inlineStr">
        <is>
          <t>84671190</t>
        </is>
      </c>
      <c r="D952" t="inlineStr">
        <is>
          <t>OTHER PNEUMTC RTRY TP TLS FR WRKNG IN HND</t>
        </is>
      </c>
      <c r="E952" s="3" t="n">
        <v>0.04</v>
      </c>
      <c r="F952" s="3" t="n">
        <v>0.43</v>
      </c>
      <c r="G952" s="3">
        <f>F952-E952</f>
        <v/>
      </c>
      <c r="H952" s="4">
        <f>IF(E952=0,"",F952/E952-1)</f>
        <v/>
      </c>
      <c r="I952" t="inlineStr"/>
    </row>
    <row r="953">
      <c r="A953" t="inlineStr">
        <is>
          <t>Machinery &amp; electronics</t>
        </is>
      </c>
      <c r="B953" t="inlineStr">
        <is>
          <t>84</t>
        </is>
      </c>
      <c r="C953" t="inlineStr">
        <is>
          <t>84818049</t>
        </is>
      </c>
      <c r="D953" t="inlineStr">
        <is>
          <t>OTHER INNER TUBE VALVES</t>
        </is>
      </c>
      <c r="E953" s="3" t="n">
        <v>0.18</v>
      </c>
      <c r="F953" s="3" t="n">
        <v>0.43</v>
      </c>
      <c r="G953" s="3">
        <f>F953-E953</f>
        <v/>
      </c>
      <c r="H953" s="4">
        <f>IF(E953=0,"",F953/E953-1)</f>
        <v/>
      </c>
      <c r="I953" t="inlineStr"/>
    </row>
    <row r="954">
      <c r="A954" t="inlineStr">
        <is>
          <t>Machinery &amp; electronics</t>
        </is>
      </c>
      <c r="B954" t="inlineStr">
        <is>
          <t>85</t>
        </is>
      </c>
      <c r="C954" t="inlineStr">
        <is>
          <t>85141900</t>
        </is>
      </c>
      <c r="D954" t="inlineStr">
        <is>
          <t>OTHERS-OF-OTHERS-OF-INDSTRL/LABORATORY ELCTRC(INCL INDUCTN/ DIELCTRC)FURNACES ETC;OTHR INDSTRL/ LABORATORY INDUCTN/DIELCTRC HT</t>
        </is>
      </c>
      <c r="E954" s="3" t="n">
        <v>4.28</v>
      </c>
      <c r="F954" s="3" t="n">
        <v>0.43</v>
      </c>
      <c r="G954" s="3">
        <f>F954-E954</f>
        <v/>
      </c>
      <c r="H954" s="4">
        <f>IF(E954=0,"",F954/E954-1)</f>
        <v/>
      </c>
      <c r="I954" t="inlineStr"/>
    </row>
    <row r="955">
      <c r="A955" t="inlineStr">
        <is>
          <t>Machinery &amp; electronics</t>
        </is>
      </c>
      <c r="B955" t="inlineStr">
        <is>
          <t>84</t>
        </is>
      </c>
      <c r="C955" t="inlineStr">
        <is>
          <t>84021200</t>
        </is>
      </c>
      <c r="D955" t="inlineStr">
        <is>
          <t>WTRTUBE BOILRS WTH A STM PRDCTN&lt;=45T/HR</t>
        </is>
      </c>
      <c r="E955" s="3" t="n">
        <v>4.15</v>
      </c>
      <c r="F955" s="3" t="n">
        <v>0.42</v>
      </c>
      <c r="G955" s="3">
        <f>F955-E955</f>
        <v/>
      </c>
      <c r="H955" s="4">
        <f>IF(E955=0,"",F955/E955-1)</f>
        <v/>
      </c>
      <c r="I955" t="inlineStr"/>
    </row>
    <row r="956">
      <c r="A956" t="inlineStr">
        <is>
          <t>Machinery &amp; electronics</t>
        </is>
      </c>
      <c r="B956" t="inlineStr">
        <is>
          <t>84</t>
        </is>
      </c>
      <c r="C956" t="inlineStr">
        <is>
          <t>84543020</t>
        </is>
      </c>
      <c r="D956" t="inlineStr">
        <is>
          <t>CONTINUOUS CASTING MCHINES</t>
        </is>
      </c>
      <c r="E956" s="3" t="n">
        <v>1.57</v>
      </c>
      <c r="F956" s="3" t="n">
        <v>0.42</v>
      </c>
      <c r="G956" s="3">
        <f>F956-E956</f>
        <v/>
      </c>
      <c r="H956" s="4">
        <f>IF(E956=0,"",F956/E956-1)</f>
        <v/>
      </c>
      <c r="I956" t="inlineStr"/>
    </row>
    <row r="957">
      <c r="A957" t="inlineStr">
        <is>
          <t>Machinery &amp; electronics</t>
        </is>
      </c>
      <c r="B957" t="inlineStr">
        <is>
          <t>85</t>
        </is>
      </c>
      <c r="C957" t="inlineStr">
        <is>
          <t>85176230</t>
        </is>
      </c>
      <c r="D957" t="inlineStr">
        <is>
          <t>Modems (modulators-demodulators) for xDSL based Wireline Telephony</t>
        </is>
      </c>
      <c r="E957" s="3" t="n">
        <v>0.01</v>
      </c>
      <c r="F957" s="3" t="n">
        <v>0.42</v>
      </c>
      <c r="G957" s="3">
        <f>F957-E957</f>
        <v/>
      </c>
      <c r="H957" s="4">
        <f>IF(E957=0,"",F957/E957-1)</f>
        <v/>
      </c>
      <c r="I957" t="inlineStr"/>
    </row>
    <row r="958">
      <c r="A958" t="inlineStr">
        <is>
          <t>Machinery &amp; electronics</t>
        </is>
      </c>
      <c r="B958" t="inlineStr">
        <is>
          <t>85</t>
        </is>
      </c>
      <c r="C958" t="inlineStr">
        <is>
          <t>85352113</t>
        </is>
      </c>
      <c r="D958" t="inlineStr">
        <is>
          <t>SF6 CIRCUIT BREAKERS 66 KV</t>
        </is>
      </c>
      <c r="E958" s="3" t="n">
        <v>0</v>
      </c>
      <c r="F958" s="3" t="n">
        <v>0.42</v>
      </c>
      <c r="G958" s="3">
        <f>F958-E958</f>
        <v/>
      </c>
      <c r="H958" s="4">
        <f>IF(E958=0,"",F958/E958-1)</f>
        <v/>
      </c>
      <c r="I958" t="inlineStr"/>
    </row>
    <row r="959">
      <c r="A959" t="inlineStr">
        <is>
          <t>Machinery &amp; electronics</t>
        </is>
      </c>
      <c r="B959" t="inlineStr">
        <is>
          <t>84</t>
        </is>
      </c>
      <c r="C959" t="inlineStr">
        <is>
          <t>84186100</t>
        </is>
      </c>
      <c r="D959" t="inlineStr">
        <is>
          <t>COMPRESSION TYPE UNITS WHOSE CONDENSERS ARE HEAT EXCHANGERS</t>
        </is>
      </c>
      <c r="E959" s="3" t="n">
        <v>0.93</v>
      </c>
      <c r="F959" s="3" t="n">
        <v>0.41</v>
      </c>
      <c r="G959" s="3">
        <f>F959-E959</f>
        <v/>
      </c>
      <c r="H959" s="4">
        <f>IF(E959=0,"",F959/E959-1)</f>
        <v/>
      </c>
      <c r="I959" t="inlineStr"/>
    </row>
    <row r="960">
      <c r="A960" t="inlineStr">
        <is>
          <t>Machinery &amp; electronics</t>
        </is>
      </c>
      <c r="B960" t="inlineStr">
        <is>
          <t>84</t>
        </is>
      </c>
      <c r="C960" t="inlineStr">
        <is>
          <t>84311010</t>
        </is>
      </c>
      <c r="D960" t="inlineStr">
        <is>
          <t>PRTS OF PULLEY TCKL,HOISTS,WNCHS/CPSTNS</t>
        </is>
      </c>
      <c r="E960" s="3" t="n">
        <v>4.22</v>
      </c>
      <c r="F960" s="3" t="n">
        <v>0.41</v>
      </c>
      <c r="G960" s="3">
        <f>F960-E960</f>
        <v/>
      </c>
      <c r="H960" s="4">
        <f>IF(E960=0,"",F960/E960-1)</f>
        <v/>
      </c>
      <c r="I960" t="inlineStr"/>
    </row>
    <row r="961">
      <c r="A961" t="inlineStr">
        <is>
          <t>Machinery &amp; electronics</t>
        </is>
      </c>
      <c r="B961" t="inlineStr">
        <is>
          <t>84</t>
        </is>
      </c>
      <c r="C961" t="inlineStr">
        <is>
          <t>84671900</t>
        </is>
      </c>
      <c r="D961" t="inlineStr">
        <is>
          <t>OTHERS PNEUMATIC TOOLS</t>
        </is>
      </c>
      <c r="E961" s="3" t="n">
        <v>0.17</v>
      </c>
      <c r="F961" s="3" t="n">
        <v>0.41</v>
      </c>
      <c r="G961" s="3">
        <f>F961-E961</f>
        <v/>
      </c>
      <c r="H961" s="4">
        <f>IF(E961=0,"",F961/E961-1)</f>
        <v/>
      </c>
      <c r="I961" t="inlineStr"/>
    </row>
    <row r="962">
      <c r="A962" t="inlineStr">
        <is>
          <t>Machinery &amp; electronics</t>
        </is>
      </c>
      <c r="B962" t="inlineStr">
        <is>
          <t>85</t>
        </is>
      </c>
      <c r="C962" t="inlineStr">
        <is>
          <t>85176990</t>
        </is>
      </c>
      <c r="D962" t="inlineStr">
        <is>
          <t>OTHR APARTUS,FR CARRIER/DIGITAL LINE SYSTM</t>
        </is>
      </c>
      <c r="E962" s="3" t="n">
        <v>1.41</v>
      </c>
      <c r="F962" s="3" t="n">
        <v>0.41</v>
      </c>
      <c r="G962" s="3">
        <f>F962-E962</f>
        <v/>
      </c>
      <c r="H962" s="4">
        <f>IF(E962=0,"",F962/E962-1)</f>
        <v/>
      </c>
      <c r="I962" t="inlineStr"/>
    </row>
    <row r="963">
      <c r="A963" t="inlineStr">
        <is>
          <t>Machinery &amp; electronics</t>
        </is>
      </c>
      <c r="B963" t="inlineStr">
        <is>
          <t>84</t>
        </is>
      </c>
      <c r="C963" t="inlineStr">
        <is>
          <t>84239020</t>
        </is>
      </c>
      <c r="D963" t="inlineStr">
        <is>
          <t>PARTS OF WEIGHING MACHINERY</t>
        </is>
      </c>
      <c r="E963" s="3" t="n">
        <v>0.36</v>
      </c>
      <c r="F963" s="3" t="n">
        <v>0.4</v>
      </c>
      <c r="G963" s="3">
        <f>F963-E963</f>
        <v/>
      </c>
      <c r="H963" s="4">
        <f>IF(E963=0,"",F963/E963-1)</f>
        <v/>
      </c>
      <c r="I963" t="inlineStr"/>
    </row>
    <row r="964">
      <c r="A964" t="inlineStr">
        <is>
          <t>Machinery &amp; electronics</t>
        </is>
      </c>
      <c r="B964" t="inlineStr">
        <is>
          <t>84</t>
        </is>
      </c>
      <c r="C964" t="inlineStr">
        <is>
          <t>84561100</t>
        </is>
      </c>
      <c r="D964" t="inlineStr">
        <is>
          <t>MCHN-TOLLS FR WRKNG ANY MATRL BY RMVL OF MATRL OPERATED BY LASER</t>
        </is>
      </c>
      <c r="E964" s="3" t="n">
        <v>0.07000000000000001</v>
      </c>
      <c r="F964" s="3" t="n">
        <v>0.4</v>
      </c>
      <c r="G964" s="3">
        <f>F964-E964</f>
        <v/>
      </c>
      <c r="H964" s="4">
        <f>IF(E964=0,"",F964/E964-1)</f>
        <v/>
      </c>
      <c r="I964" t="inlineStr"/>
    </row>
    <row r="965">
      <c r="A965" t="inlineStr">
        <is>
          <t>Machinery &amp; electronics</t>
        </is>
      </c>
      <c r="B965" t="inlineStr">
        <is>
          <t>85</t>
        </is>
      </c>
      <c r="C965" t="inlineStr">
        <is>
          <t>85122010</t>
        </is>
      </c>
      <c r="D965" t="inlineStr">
        <is>
          <t>HEAD LAMPS,TAIL LAMP,STOP LAMP, SIDE LAMP,BLINKERS</t>
        </is>
      </c>
      <c r="E965" s="3" t="n">
        <v>0.29</v>
      </c>
      <c r="F965" s="3" t="n">
        <v>0.4</v>
      </c>
      <c r="G965" s="3">
        <f>F965-E965</f>
        <v/>
      </c>
      <c r="H965" s="4">
        <f>IF(E965=0,"",F965/E965-1)</f>
        <v/>
      </c>
      <c r="I965" t="inlineStr"/>
    </row>
    <row r="966">
      <c r="A966" t="inlineStr">
        <is>
          <t>Machinery &amp; electronics</t>
        </is>
      </c>
      <c r="B966" t="inlineStr">
        <is>
          <t>84</t>
        </is>
      </c>
      <c r="C966" t="inlineStr">
        <is>
          <t>84158290</t>
        </is>
      </c>
      <c r="D966" t="inlineStr">
        <is>
          <t>OTHR AIR CNDTNG MCHNS INCRPRTNG A RFRGRTNGUNIT</t>
        </is>
      </c>
      <c r="E966" s="3" t="n">
        <v>0.26</v>
      </c>
      <c r="F966" s="3" t="n">
        <v>0.39</v>
      </c>
      <c r="G966" s="3">
        <f>F966-E966</f>
        <v/>
      </c>
      <c r="H966" s="4">
        <f>IF(E966=0,"",F966/E966-1)</f>
        <v/>
      </c>
      <c r="I966" t="inlineStr"/>
    </row>
    <row r="967">
      <c r="A967" t="inlineStr">
        <is>
          <t>Machinery &amp; electronics</t>
        </is>
      </c>
      <c r="B967" t="inlineStr">
        <is>
          <t>84</t>
        </is>
      </c>
      <c r="C967" t="inlineStr">
        <is>
          <t>84514099</t>
        </is>
      </c>
      <c r="D967" t="inlineStr">
        <is>
          <t>OTHR WASHING,CLEANING AND DRYING MACHINES</t>
        </is>
      </c>
      <c r="E967" s="3" t="n">
        <v>0.06</v>
      </c>
      <c r="F967" s="3" t="n">
        <v>0.39</v>
      </c>
      <c r="G967" s="3">
        <f>F967-E967</f>
        <v/>
      </c>
      <c r="H967" s="4">
        <f>IF(E967=0,"",F967/E967-1)</f>
        <v/>
      </c>
      <c r="I967" t="inlineStr"/>
    </row>
    <row r="968">
      <c r="A968" t="inlineStr">
        <is>
          <t>Machinery &amp; electronics</t>
        </is>
      </c>
      <c r="B968" t="inlineStr">
        <is>
          <t>84</t>
        </is>
      </c>
      <c r="C968" t="inlineStr">
        <is>
          <t>84672900</t>
        </is>
      </c>
      <c r="D968" t="inlineStr">
        <is>
          <t>OTHER MACHNS WTH SELF CONTAINED ELEC. MOTO</t>
        </is>
      </c>
      <c r="E968" s="3" t="n">
        <v>0.27</v>
      </c>
      <c r="F968" s="3" t="n">
        <v>0.39</v>
      </c>
      <c r="G968" s="3">
        <f>F968-E968</f>
        <v/>
      </c>
      <c r="H968" s="4">
        <f>IF(E968=0,"",F968/E968-1)</f>
        <v/>
      </c>
      <c r="I968" t="inlineStr"/>
    </row>
    <row r="969">
      <c r="A969" t="inlineStr">
        <is>
          <t>Machinery &amp; electronics</t>
        </is>
      </c>
      <c r="B969" t="inlineStr">
        <is>
          <t>85</t>
        </is>
      </c>
      <c r="C969" t="inlineStr">
        <is>
          <t>85041010</t>
        </is>
      </c>
      <c r="D969" t="inlineStr">
        <is>
          <t>CONVENTIONAL TYPE BALLASTS FR DISCHARGE LAMPS/TUBES</t>
        </is>
      </c>
      <c r="E969" s="3" t="n">
        <v>0.01</v>
      </c>
      <c r="F969" s="3" t="n">
        <v>0.39</v>
      </c>
      <c r="G969" s="3">
        <f>F969-E969</f>
        <v/>
      </c>
      <c r="H969" s="4">
        <f>IF(E969=0,"",F969/E969-1)</f>
        <v/>
      </c>
      <c r="I969" t="inlineStr"/>
    </row>
    <row r="970">
      <c r="A970" t="inlineStr">
        <is>
          <t>Machinery &amp; electronics</t>
        </is>
      </c>
      <c r="B970" t="inlineStr">
        <is>
          <t>85</t>
        </is>
      </c>
      <c r="C970" t="inlineStr">
        <is>
          <t>85354030</t>
        </is>
      </c>
      <c r="D970" t="inlineStr">
        <is>
          <t>SURGE SUPPRESSORS</t>
        </is>
      </c>
      <c r="E970" s="3" t="n">
        <v>0</v>
      </c>
      <c r="F970" s="3" t="n">
        <v>0.39</v>
      </c>
      <c r="G970" s="3">
        <f>F970-E970</f>
        <v/>
      </c>
      <c r="H970" s="4">
        <f>IF(E970=0,"",F970/E970-1)</f>
        <v/>
      </c>
      <c r="I970" t="inlineStr"/>
    </row>
    <row r="971">
      <c r="A971" t="inlineStr">
        <is>
          <t>Machinery &amp; electronics</t>
        </is>
      </c>
      <c r="B971" t="inlineStr">
        <is>
          <t>84</t>
        </is>
      </c>
      <c r="C971" t="inlineStr">
        <is>
          <t>84263000</t>
        </is>
      </c>
      <c r="D971" t="inlineStr">
        <is>
          <t>PORTAL/PEDESTAL JIB CRANES</t>
        </is>
      </c>
      <c r="E971" s="3" t="n">
        <v>0.12</v>
      </c>
      <c r="F971" s="3" t="n">
        <v>0.38</v>
      </c>
      <c r="G971" s="3">
        <f>F971-E971</f>
        <v/>
      </c>
      <c r="H971" s="4">
        <f>IF(E971=0,"",F971/E971-1)</f>
        <v/>
      </c>
      <c r="I971" t="inlineStr"/>
    </row>
    <row r="972">
      <c r="A972" t="inlineStr">
        <is>
          <t>Machinery &amp; electronics</t>
        </is>
      </c>
      <c r="B972" t="inlineStr">
        <is>
          <t>84</t>
        </is>
      </c>
      <c r="C972" t="inlineStr">
        <is>
          <t>84592930</t>
        </is>
      </c>
      <c r="D972" t="inlineStr">
        <is>
          <t>RADIAL</t>
        </is>
      </c>
      <c r="E972" s="3" t="n">
        <v>0.12</v>
      </c>
      <c r="F972" s="3" t="n">
        <v>0.38</v>
      </c>
      <c r="G972" s="3">
        <f>F972-E972</f>
        <v/>
      </c>
      <c r="H972" s="4">
        <f>IF(E972=0,"",F972/E972-1)</f>
        <v/>
      </c>
      <c r="I972" t="inlineStr"/>
    </row>
    <row r="973">
      <c r="A973" t="inlineStr">
        <is>
          <t>Machinery &amp; electronics</t>
        </is>
      </c>
      <c r="B973" t="inlineStr">
        <is>
          <t>84</t>
        </is>
      </c>
      <c r="C973" t="inlineStr">
        <is>
          <t>84615029</t>
        </is>
      </c>
      <c r="D973" t="inlineStr">
        <is>
          <t>OTHER CUTTING-OFF MACHINES</t>
        </is>
      </c>
      <c r="E973" s="3" t="n">
        <v>0.03</v>
      </c>
      <c r="F973" s="3" t="n">
        <v>0.38</v>
      </c>
      <c r="G973" s="3">
        <f>F973-E973</f>
        <v/>
      </c>
      <c r="H973" s="4">
        <f>IF(E973=0,"",F973/E973-1)</f>
        <v/>
      </c>
      <c r="I973" t="inlineStr"/>
    </row>
    <row r="974">
      <c r="A974" t="inlineStr">
        <is>
          <t>Machinery &amp; electronics</t>
        </is>
      </c>
      <c r="B974" t="inlineStr">
        <is>
          <t>85</t>
        </is>
      </c>
      <c r="C974" t="inlineStr">
        <is>
          <t>85362040</t>
        </is>
      </c>
      <c r="D974" t="inlineStr">
        <is>
          <t>EARTH LEAK CIRCUIT BREAKERS</t>
        </is>
      </c>
      <c r="E974" s="3" t="n">
        <v>0.07000000000000001</v>
      </c>
      <c r="F974" s="3" t="n">
        <v>0.38</v>
      </c>
      <c r="G974" s="3">
        <f>F974-E974</f>
        <v/>
      </c>
      <c r="H974" s="4">
        <f>IF(E974=0,"",F974/E974-1)</f>
        <v/>
      </c>
      <c r="I974" t="inlineStr"/>
    </row>
    <row r="975">
      <c r="A975" t="inlineStr">
        <is>
          <t>Machinery &amp; electronics</t>
        </is>
      </c>
      <c r="B975" t="inlineStr">
        <is>
          <t>85</t>
        </is>
      </c>
      <c r="C975" t="inlineStr">
        <is>
          <t>85442010</t>
        </is>
      </c>
      <c r="D975" t="inlineStr">
        <is>
          <t>CO-AXIAL CABLE</t>
        </is>
      </c>
      <c r="E975" s="3" t="n">
        <v>0.18</v>
      </c>
      <c r="F975" s="3" t="n">
        <v>0.38</v>
      </c>
      <c r="G975" s="3">
        <f>F975-E975</f>
        <v/>
      </c>
      <c r="H975" s="4">
        <f>IF(E975=0,"",F975/E975-1)</f>
        <v/>
      </c>
      <c r="I975" t="inlineStr"/>
    </row>
    <row r="976">
      <c r="A976" t="inlineStr">
        <is>
          <t>Machinery &amp; electronics</t>
        </is>
      </c>
      <c r="B976" t="inlineStr">
        <is>
          <t>84</t>
        </is>
      </c>
      <c r="C976" t="inlineStr">
        <is>
          <t>84271000</t>
        </is>
      </c>
      <c r="D976" t="inlineStr">
        <is>
          <t>SLF-PRPLD TRUCKS PWRD BY AN ELCTRC MOTOR</t>
        </is>
      </c>
      <c r="E976" s="3" t="n">
        <v>0.85</v>
      </c>
      <c r="F976" s="3" t="n">
        <v>0.37</v>
      </c>
      <c r="G976" s="3">
        <f>F976-E976</f>
        <v/>
      </c>
      <c r="H976" s="4">
        <f>IF(E976=0,"",F976/E976-1)</f>
        <v/>
      </c>
      <c r="I976" t="inlineStr"/>
    </row>
    <row r="977">
      <c r="A977" t="inlineStr">
        <is>
          <t>Machinery &amp; electronics</t>
        </is>
      </c>
      <c r="B977" t="inlineStr">
        <is>
          <t>84</t>
        </is>
      </c>
      <c r="C977" t="inlineStr">
        <is>
          <t>84391000</t>
        </is>
      </c>
      <c r="D977" t="inlineStr">
        <is>
          <t>MCHNRY FR MKNG PULP OF FIBRS CLLSC MTRL</t>
        </is>
      </c>
      <c r="E977" s="3" t="n">
        <v>0</v>
      </c>
      <c r="F977" s="3" t="n">
        <v>0.37</v>
      </c>
      <c r="G977" s="3">
        <f>F977-E977</f>
        <v/>
      </c>
      <c r="H977" s="4">
        <f>IF(E977=0,"",F977/E977-1)</f>
        <v/>
      </c>
      <c r="I977" t="inlineStr"/>
    </row>
    <row r="978">
      <c r="A978" t="inlineStr">
        <is>
          <t>Machinery &amp; electronics</t>
        </is>
      </c>
      <c r="B978" t="inlineStr">
        <is>
          <t>84</t>
        </is>
      </c>
      <c r="C978" t="inlineStr">
        <is>
          <t>84439990</t>
        </is>
      </c>
      <c r="D978" t="inlineStr">
        <is>
          <t>PRTS OF OTHR PRNTNG MCHNRY AND MCHNS FR USES ANCILLARY TO PRINTING</t>
        </is>
      </c>
      <c r="E978" s="3" t="n">
        <v>0.45</v>
      </c>
      <c r="F978" s="3" t="n">
        <v>0.37</v>
      </c>
      <c r="G978" s="3">
        <f>F978-E978</f>
        <v/>
      </c>
      <c r="H978" s="4">
        <f>IF(E978=0,"",F978/E978-1)</f>
        <v/>
      </c>
      <c r="I978" t="inlineStr"/>
    </row>
    <row r="979">
      <c r="A979" t="inlineStr">
        <is>
          <t>Machinery &amp; electronics</t>
        </is>
      </c>
      <c r="B979" t="inlineStr">
        <is>
          <t>84</t>
        </is>
      </c>
      <c r="C979" t="inlineStr">
        <is>
          <t>84601900</t>
        </is>
      </c>
      <c r="D979" t="inlineStr">
        <is>
          <t>OTHER FLAT-SURFACE GRINDING MACHINES</t>
        </is>
      </c>
      <c r="E979" s="3" t="n">
        <v>0.66</v>
      </c>
      <c r="F979" s="3" t="n">
        <v>0.37</v>
      </c>
      <c r="G979" s="3">
        <f>F979-E979</f>
        <v/>
      </c>
      <c r="H979" s="4">
        <f>IF(E979=0,"",F979/E979-1)</f>
        <v/>
      </c>
      <c r="I979" t="inlineStr"/>
    </row>
    <row r="980">
      <c r="A980" t="inlineStr">
        <is>
          <t>Machinery &amp; electronics</t>
        </is>
      </c>
      <c r="B980" t="inlineStr">
        <is>
          <t>84</t>
        </is>
      </c>
      <c r="C980" t="inlineStr">
        <is>
          <t>84832000</t>
        </is>
      </c>
      <c r="D980" t="inlineStr">
        <is>
          <t>BEARNG HOUSNG,INCORPORTNG BALL/RLLR BEARN</t>
        </is>
      </c>
      <c r="E980" s="3" t="n">
        <v>0.21</v>
      </c>
      <c r="F980" s="3" t="n">
        <v>0.37</v>
      </c>
      <c r="G980" s="3">
        <f>F980-E980</f>
        <v/>
      </c>
      <c r="H980" s="4">
        <f>IF(E980=0,"",F980/E980-1)</f>
        <v/>
      </c>
      <c r="I980" t="inlineStr"/>
    </row>
    <row r="981">
      <c r="A981" t="inlineStr">
        <is>
          <t>Machinery &amp; electronics</t>
        </is>
      </c>
      <c r="B981" t="inlineStr">
        <is>
          <t>85</t>
        </is>
      </c>
      <c r="C981" t="inlineStr">
        <is>
          <t>85362010</t>
        </is>
      </c>
      <c r="D981" t="inlineStr">
        <is>
          <t>AIR CIRCUIT BREAKERS</t>
        </is>
      </c>
      <c r="E981" s="3" t="n">
        <v>1.65</v>
      </c>
      <c r="F981" s="3" t="n">
        <v>0.37</v>
      </c>
      <c r="G981" s="3">
        <f>F981-E981</f>
        <v/>
      </c>
      <c r="H981" s="4">
        <f>IF(E981=0,"",F981/E981-1)</f>
        <v/>
      </c>
      <c r="I981" t="inlineStr"/>
    </row>
    <row r="982">
      <c r="A982" t="inlineStr">
        <is>
          <t>Machinery &amp; electronics</t>
        </is>
      </c>
      <c r="B982" t="inlineStr">
        <is>
          <t>85</t>
        </is>
      </c>
      <c r="C982" t="inlineStr">
        <is>
          <t>85366990</t>
        </is>
      </c>
      <c r="D982" t="inlineStr">
        <is>
          <t>PLUGS AND SOCKETS OF OTHER MATERIALS</t>
        </is>
      </c>
      <c r="E982" s="3" t="n">
        <v>0.5600000000000001</v>
      </c>
      <c r="F982" s="3" t="n">
        <v>0.37</v>
      </c>
      <c r="G982" s="3">
        <f>F982-E982</f>
        <v/>
      </c>
      <c r="H982" s="4">
        <f>IF(E982=0,"",F982/E982-1)</f>
        <v/>
      </c>
      <c r="I982" t="inlineStr"/>
    </row>
    <row r="983">
      <c r="A983" t="inlineStr">
        <is>
          <t>Machinery &amp; electronics</t>
        </is>
      </c>
      <c r="B983" t="inlineStr">
        <is>
          <t>85</t>
        </is>
      </c>
      <c r="C983" t="inlineStr">
        <is>
          <t>85447090</t>
        </is>
      </c>
      <c r="D983" t="inlineStr">
        <is>
          <t>OPTICAL FIBRE CABLES OTHER THN LEAD ALLOY SHEATHD CABLES</t>
        </is>
      </c>
      <c r="E983" s="3" t="n">
        <v>0.36</v>
      </c>
      <c r="F983" s="3" t="n">
        <v>0.37</v>
      </c>
      <c r="G983" s="3">
        <f>F983-E983</f>
        <v/>
      </c>
      <c r="H983" s="4">
        <f>IF(E983=0,"",F983/E983-1)</f>
        <v/>
      </c>
      <c r="I983" t="inlineStr"/>
    </row>
    <row r="984">
      <c r="A984" t="inlineStr">
        <is>
          <t>Machinery &amp; electronics</t>
        </is>
      </c>
      <c r="B984" t="inlineStr">
        <is>
          <t>84</t>
        </is>
      </c>
      <c r="C984" t="inlineStr">
        <is>
          <t>84123900</t>
        </is>
      </c>
      <c r="D984" t="inlineStr">
        <is>
          <t>OTHR PNEUMATIC POWER ENGINES AND MOTORS</t>
        </is>
      </c>
      <c r="E984" s="3" t="n">
        <v>0.21</v>
      </c>
      <c r="F984" s="3" t="n">
        <v>0.36</v>
      </c>
      <c r="G984" s="3">
        <f>F984-E984</f>
        <v/>
      </c>
      <c r="H984" s="4">
        <f>IF(E984=0,"",F984/E984-1)</f>
        <v/>
      </c>
      <c r="I984" t="inlineStr"/>
    </row>
    <row r="985">
      <c r="A985" t="inlineStr">
        <is>
          <t>Machinery &amp; electronics</t>
        </is>
      </c>
      <c r="B985" t="inlineStr">
        <is>
          <t>85</t>
        </is>
      </c>
      <c r="C985" t="inlineStr">
        <is>
          <t>85351040</t>
        </is>
      </c>
      <c r="D985" t="inlineStr">
        <is>
          <t>HIGH RUPTURING CAPACITY FUSES</t>
        </is>
      </c>
      <c r="E985" s="3" t="n">
        <v>0.41</v>
      </c>
      <c r="F985" s="3" t="n">
        <v>0.36</v>
      </c>
      <c r="G985" s="3">
        <f>F985-E985</f>
        <v/>
      </c>
      <c r="H985" s="4">
        <f>IF(E985=0,"",F985/E985-1)</f>
        <v/>
      </c>
      <c r="I985" t="inlineStr"/>
    </row>
    <row r="986">
      <c r="A986" t="inlineStr">
        <is>
          <t>Machinery &amp; electronics</t>
        </is>
      </c>
      <c r="B986" t="inlineStr">
        <is>
          <t>84</t>
        </is>
      </c>
      <c r="C986" t="inlineStr">
        <is>
          <t>84328090</t>
        </is>
      </c>
      <c r="D986" t="inlineStr">
        <is>
          <t>OTHERS-OF-OTHER MACHINERY :</t>
        </is>
      </c>
      <c r="E986" s="3" t="n">
        <v>0.15</v>
      </c>
      <c r="F986" s="3" t="n">
        <v>0.35</v>
      </c>
      <c r="G986" s="3">
        <f>F986-E986</f>
        <v/>
      </c>
      <c r="H986" s="4">
        <f>IF(E986=0,"",F986/E986-1)</f>
        <v/>
      </c>
      <c r="I986" t="inlineStr"/>
    </row>
    <row r="987">
      <c r="A987" t="inlineStr">
        <is>
          <t>Machinery &amp; electronics</t>
        </is>
      </c>
      <c r="B987" t="inlineStr">
        <is>
          <t>84</t>
        </is>
      </c>
      <c r="C987" t="inlineStr">
        <is>
          <t>84778010</t>
        </is>
      </c>
      <c r="D987" t="inlineStr">
        <is>
          <t>MACHINERY FOR MAKING RUBBER GOODS</t>
        </is>
      </c>
      <c r="E987" s="3" t="n">
        <v>0.07000000000000001</v>
      </c>
      <c r="F987" s="3" t="n">
        <v>0.35</v>
      </c>
      <c r="G987" s="3">
        <f>F987-E987</f>
        <v/>
      </c>
      <c r="H987" s="4">
        <f>IF(E987=0,"",F987/E987-1)</f>
        <v/>
      </c>
      <c r="I987" t="inlineStr"/>
    </row>
    <row r="988">
      <c r="A988" t="inlineStr">
        <is>
          <t>Machinery &amp; electronics</t>
        </is>
      </c>
      <c r="B988" t="inlineStr">
        <is>
          <t>84</t>
        </is>
      </c>
      <c r="C988" t="inlineStr">
        <is>
          <t>84835090</t>
        </is>
      </c>
      <c r="D988" t="inlineStr">
        <is>
          <t>OTHERS-OF-FLY WHEELS AND PULLEYS,INCL PULLEY BLOCKS</t>
        </is>
      </c>
      <c r="E988" s="3" t="n">
        <v>0.18</v>
      </c>
      <c r="F988" s="3" t="n">
        <v>0.35</v>
      </c>
      <c r="G988" s="3">
        <f>F988-E988</f>
        <v/>
      </c>
      <c r="H988" s="4">
        <f>IF(E988=0,"",F988/E988-1)</f>
        <v/>
      </c>
      <c r="I988" t="inlineStr"/>
    </row>
    <row r="989">
      <c r="A989" t="inlineStr">
        <is>
          <t>Machinery &amp; electronics</t>
        </is>
      </c>
      <c r="B989" t="inlineStr">
        <is>
          <t>85</t>
        </is>
      </c>
      <c r="C989" t="inlineStr">
        <is>
          <t>85299090</t>
        </is>
      </c>
      <c r="D989" t="inlineStr">
        <is>
          <t>OTHE PARTS FR OTHR USE</t>
        </is>
      </c>
      <c r="E989" s="3" t="n">
        <v>0.34</v>
      </c>
      <c r="F989" s="3" t="n">
        <v>0.35</v>
      </c>
      <c r="G989" s="3">
        <f>F989-E989</f>
        <v/>
      </c>
      <c r="H989" s="4">
        <f>IF(E989=0,"",F989/E989-1)</f>
        <v/>
      </c>
      <c r="I989" t="inlineStr"/>
    </row>
    <row r="990">
      <c r="A990" t="inlineStr">
        <is>
          <t>Machinery &amp; electronics</t>
        </is>
      </c>
      <c r="B990" t="inlineStr">
        <is>
          <t>84</t>
        </is>
      </c>
      <c r="C990" t="inlineStr">
        <is>
          <t>84369100</t>
        </is>
      </c>
      <c r="D990" t="inlineStr">
        <is>
          <t>PARTS OF POULTRY-KEEPING MACHINERY/ POULTRYINCUBATORS AND BROODERS</t>
        </is>
      </c>
      <c r="E990" s="3" t="n">
        <v>0.15</v>
      </c>
      <c r="F990" s="3" t="n">
        <v>0.34</v>
      </c>
      <c r="G990" s="3">
        <f>F990-E990</f>
        <v/>
      </c>
      <c r="H990" s="4">
        <f>IF(E990=0,"",F990/E990-1)</f>
        <v/>
      </c>
      <c r="I990" t="inlineStr"/>
    </row>
    <row r="991">
      <c r="A991" t="inlineStr">
        <is>
          <t>Machinery &amp; electronics</t>
        </is>
      </c>
      <c r="B991" t="inlineStr">
        <is>
          <t>84</t>
        </is>
      </c>
      <c r="C991" t="inlineStr">
        <is>
          <t>84818050</t>
        </is>
      </c>
      <c r="D991" t="inlineStr">
        <is>
          <t>EXPANSION VALVES</t>
        </is>
      </c>
      <c r="E991" s="3" t="n">
        <v>0.19</v>
      </c>
      <c r="F991" s="3" t="n">
        <v>0.34</v>
      </c>
      <c r="G991" s="3">
        <f>F991-E991</f>
        <v/>
      </c>
      <c r="H991" s="4">
        <f>IF(E991=0,"",F991/E991-1)</f>
        <v/>
      </c>
      <c r="I991" t="inlineStr"/>
    </row>
    <row r="992">
      <c r="A992" t="inlineStr">
        <is>
          <t>Machinery &amp; electronics</t>
        </is>
      </c>
      <c r="B992" t="inlineStr">
        <is>
          <t>85</t>
        </is>
      </c>
      <c r="C992" t="inlineStr">
        <is>
          <t>85161000</t>
        </is>
      </c>
      <c r="D992" t="inlineStr">
        <is>
          <t>ELCTRC INSTANTANEOUS OR STORAGE WATER HEATERS AND IMMERSION HEATERS</t>
        </is>
      </c>
      <c r="E992" s="3" t="n">
        <v>0.76</v>
      </c>
      <c r="F992" s="3" t="n">
        <v>0.34</v>
      </c>
      <c r="G992" s="3">
        <f>F992-E992</f>
        <v/>
      </c>
      <c r="H992" s="4">
        <f>IF(E992=0,"",F992/E992-1)</f>
        <v/>
      </c>
      <c r="I992" t="inlineStr"/>
    </row>
    <row r="993">
      <c r="A993" t="inlineStr">
        <is>
          <t>Machinery &amp; electronics</t>
        </is>
      </c>
      <c r="B993" t="inlineStr">
        <is>
          <t>85</t>
        </is>
      </c>
      <c r="C993" t="inlineStr">
        <is>
          <t>85319000</t>
        </is>
      </c>
      <c r="D993" t="inlineStr">
        <is>
          <t>PARTS OF SIGNALING/TRAFFIC CONTROL EQPMNT</t>
        </is>
      </c>
      <c r="E993" s="3" t="n">
        <v>0.22</v>
      </c>
      <c r="F993" s="3" t="n">
        <v>0.34</v>
      </c>
      <c r="G993" s="3">
        <f>F993-E993</f>
        <v/>
      </c>
      <c r="H993" s="4">
        <f>IF(E993=0,"",F993/E993-1)</f>
        <v/>
      </c>
      <c r="I993" t="inlineStr"/>
    </row>
    <row r="994">
      <c r="A994" t="inlineStr">
        <is>
          <t>Machinery &amp; electronics</t>
        </is>
      </c>
      <c r="B994" t="inlineStr">
        <is>
          <t>84</t>
        </is>
      </c>
      <c r="C994" t="inlineStr">
        <is>
          <t>84099111</t>
        </is>
      </c>
      <c r="D994" t="inlineStr">
        <is>
          <t>VALVES,INLET AND EXHAUST</t>
        </is>
      </c>
      <c r="E994" s="3" t="n">
        <v>0.23</v>
      </c>
      <c r="F994" s="3" t="n">
        <v>0.33</v>
      </c>
      <c r="G994" s="3">
        <f>F994-E994</f>
        <v/>
      </c>
      <c r="H994" s="4">
        <f>IF(E994=0,"",F994/E994-1)</f>
        <v/>
      </c>
      <c r="I994" t="inlineStr"/>
    </row>
    <row r="995">
      <c r="A995" t="inlineStr">
        <is>
          <t>Machinery &amp; electronics</t>
        </is>
      </c>
      <c r="B995" t="inlineStr">
        <is>
          <t>85</t>
        </is>
      </c>
      <c r="C995" t="inlineStr">
        <is>
          <t>85111000</t>
        </is>
      </c>
      <c r="D995" t="inlineStr">
        <is>
          <t>SPARKLING PLUGS</t>
        </is>
      </c>
      <c r="E995" s="3" t="n">
        <v>0.07000000000000001</v>
      </c>
      <c r="F995" s="3" t="n">
        <v>0.33</v>
      </c>
      <c r="G995" s="3">
        <f>F995-E995</f>
        <v/>
      </c>
      <c r="H995" s="4">
        <f>IF(E995=0,"",F995/E995-1)</f>
        <v/>
      </c>
      <c r="I995" t="inlineStr"/>
    </row>
    <row r="996">
      <c r="A996" t="inlineStr">
        <is>
          <t>Machinery &amp; electronics</t>
        </is>
      </c>
      <c r="B996" t="inlineStr">
        <is>
          <t>84</t>
        </is>
      </c>
      <c r="C996" t="inlineStr">
        <is>
          <t>84589959</t>
        </is>
      </c>
      <c r="D996" t="inlineStr">
        <is>
          <t>CENTRE LATHES,OTHERS</t>
        </is>
      </c>
      <c r="E996" s="3" t="n">
        <v>0.09</v>
      </c>
      <c r="F996" s="3" t="n">
        <v>0.32</v>
      </c>
      <c r="G996" s="3">
        <f>F996-E996</f>
        <v/>
      </c>
      <c r="H996" s="4">
        <f>IF(E996=0,"",F996/E996-1)</f>
        <v/>
      </c>
      <c r="I996" t="inlineStr"/>
    </row>
    <row r="997">
      <c r="A997" t="inlineStr">
        <is>
          <t>Machinery &amp; electronics</t>
        </is>
      </c>
      <c r="B997" t="inlineStr">
        <is>
          <t>85</t>
        </is>
      </c>
      <c r="C997" t="inlineStr">
        <is>
          <t>85322500</t>
        </is>
      </c>
      <c r="D997" t="inlineStr">
        <is>
          <t>OTHR FXD CAPACTRS DIELCTRC OF PAPR/PLSTCS</t>
        </is>
      </c>
      <c r="E997" s="3" t="n">
        <v>0.93</v>
      </c>
      <c r="F997" s="3" t="n">
        <v>0.32</v>
      </c>
      <c r="G997" s="3">
        <f>F997-E997</f>
        <v/>
      </c>
      <c r="H997" s="4">
        <f>IF(E997=0,"",F997/E997-1)</f>
        <v/>
      </c>
      <c r="I997" t="inlineStr"/>
    </row>
    <row r="998">
      <c r="A998" t="inlineStr">
        <is>
          <t>Machinery &amp; electronics</t>
        </is>
      </c>
      <c r="B998" t="inlineStr">
        <is>
          <t>85</t>
        </is>
      </c>
      <c r="C998" t="inlineStr">
        <is>
          <t>85354010</t>
        </is>
      </c>
      <c r="D998" t="inlineStr">
        <is>
          <t>LIGHTNING ARRESTERS</t>
        </is>
      </c>
      <c r="E998" s="3" t="n">
        <v>0.09</v>
      </c>
      <c r="F998" s="3" t="n">
        <v>0.32</v>
      </c>
      <c r="G998" s="3">
        <f>F998-E998</f>
        <v/>
      </c>
      <c r="H998" s="4">
        <f>IF(E998=0,"",F998/E998-1)</f>
        <v/>
      </c>
      <c r="I998" t="inlineStr"/>
    </row>
    <row r="999">
      <c r="A999" t="inlineStr">
        <is>
          <t>Machinery &amp; electronics</t>
        </is>
      </c>
      <c r="B999" t="inlineStr">
        <is>
          <t>84</t>
        </is>
      </c>
      <c r="C999" t="inlineStr">
        <is>
          <t>84196000</t>
        </is>
      </c>
      <c r="D999" t="inlineStr">
        <is>
          <t>MACHINERY FOR LIQUEFYING AIR/OTHR GASES</t>
        </is>
      </c>
      <c r="E999" s="3" t="n">
        <v>0.82</v>
      </c>
      <c r="F999" s="3" t="n">
        <v>0.31</v>
      </c>
      <c r="G999" s="3">
        <f>F999-E999</f>
        <v/>
      </c>
      <c r="H999" s="4">
        <f>IF(E999=0,"",F999/E999-1)</f>
        <v/>
      </c>
      <c r="I999" t="inlineStr"/>
    </row>
    <row r="1000">
      <c r="A1000" t="inlineStr">
        <is>
          <t>Machinery &amp; electronics</t>
        </is>
      </c>
      <c r="B1000" t="inlineStr">
        <is>
          <t>84</t>
        </is>
      </c>
      <c r="C1000" t="inlineStr">
        <is>
          <t>84381020</t>
        </is>
      </c>
      <c r="D1000" t="inlineStr">
        <is>
          <t>MCHNRY FR MNFCTR OF MACARONI/SMLR PRDCTS</t>
        </is>
      </c>
      <c r="E1000" s="3" t="n">
        <v>0.12</v>
      </c>
      <c r="F1000" s="3" t="n">
        <v>0.31</v>
      </c>
      <c r="G1000" s="3">
        <f>F1000-E1000</f>
        <v/>
      </c>
      <c r="H1000" s="4">
        <f>IF(E1000=0,"",F1000/E1000-1)</f>
        <v/>
      </c>
      <c r="I1000" t="inlineStr"/>
    </row>
    <row r="1001">
      <c r="A1001" t="inlineStr">
        <is>
          <t>Machinery &amp; electronics</t>
        </is>
      </c>
      <c r="B1001" t="inlineStr">
        <is>
          <t>84</t>
        </is>
      </c>
      <c r="C1001" t="inlineStr">
        <is>
          <t>84609010</t>
        </is>
      </c>
      <c r="D1001" t="inlineStr">
        <is>
          <t>POLISHING AND BAFFING MACHINES</t>
        </is>
      </c>
      <c r="E1001" s="3" t="n">
        <v>0.03</v>
      </c>
      <c r="F1001" s="3" t="n">
        <v>0.31</v>
      </c>
      <c r="G1001" s="3">
        <f>F1001-E1001</f>
        <v/>
      </c>
      <c r="H1001" s="4">
        <f>IF(E1001=0,"",F1001/E1001-1)</f>
        <v/>
      </c>
      <c r="I1001" t="inlineStr"/>
    </row>
    <row r="1002">
      <c r="A1002" t="inlineStr">
        <is>
          <t>Machinery &amp; electronics</t>
        </is>
      </c>
      <c r="B1002" t="inlineStr">
        <is>
          <t>85</t>
        </is>
      </c>
      <c r="C1002" t="inlineStr">
        <is>
          <t>85065000</t>
        </is>
      </c>
      <c r="D1002" t="inlineStr">
        <is>
          <t>LITHIUM</t>
        </is>
      </c>
      <c r="E1002" s="3" t="n">
        <v>0</v>
      </c>
      <c r="F1002" s="3" t="n">
        <v>0.31</v>
      </c>
      <c r="G1002" s="3">
        <f>F1002-E1002</f>
        <v/>
      </c>
      <c r="H1002" s="4">
        <f>IF(E1002=0,"",F1002/E1002-1)</f>
        <v/>
      </c>
      <c r="I1002" t="inlineStr"/>
    </row>
    <row r="1003">
      <c r="A1003" t="inlineStr">
        <is>
          <t>Machinery &amp; electronics</t>
        </is>
      </c>
      <c r="B1003" t="inlineStr">
        <is>
          <t>85</t>
        </is>
      </c>
      <c r="C1003" t="inlineStr">
        <is>
          <t>85122090</t>
        </is>
      </c>
      <c r="D1003" t="inlineStr">
        <is>
          <t>OTHERS-OF-OTHER LIGHTING OR VISUAL SIGNALLING EQUIPMENT :</t>
        </is>
      </c>
      <c r="E1003" s="3" t="n">
        <v>0.8</v>
      </c>
      <c r="F1003" s="3" t="n">
        <v>0.31</v>
      </c>
      <c r="G1003" s="3">
        <f>F1003-E1003</f>
        <v/>
      </c>
      <c r="H1003" s="4">
        <f>IF(E1003=0,"",F1003/E1003-1)</f>
        <v/>
      </c>
      <c r="I1003" t="inlineStr"/>
    </row>
    <row r="1004">
      <c r="A1004" t="inlineStr">
        <is>
          <t>Machinery &amp; electronics</t>
        </is>
      </c>
      <c r="B1004" t="inlineStr">
        <is>
          <t>84</t>
        </is>
      </c>
      <c r="C1004" t="inlineStr">
        <is>
          <t>84351000</t>
        </is>
      </c>
      <c r="D1004" t="inlineStr">
        <is>
          <t>MACHINERY USED IN MANUFACTURE OF WINE,CIDER,FRUIT JUICES/SMLR BVRGS</t>
        </is>
      </c>
      <c r="E1004" s="3" t="n">
        <v>0.6899999999999999</v>
      </c>
      <c r="F1004" s="3" t="n">
        <v>0.3</v>
      </c>
      <c r="G1004" s="3">
        <f>F1004-E1004</f>
        <v/>
      </c>
      <c r="H1004" s="4">
        <f>IF(E1004=0,"",F1004/E1004-1)</f>
        <v/>
      </c>
      <c r="I1004" t="inlineStr"/>
    </row>
    <row r="1005">
      <c r="A1005" t="inlineStr">
        <is>
          <t>Machinery &amp; electronics</t>
        </is>
      </c>
      <c r="B1005" t="inlineStr">
        <is>
          <t>84</t>
        </is>
      </c>
      <c r="C1005" t="inlineStr">
        <is>
          <t>84678100</t>
        </is>
      </c>
      <c r="D1005" t="inlineStr">
        <is>
          <t>CHAIN SAWS FOR WORKING IN HAND</t>
        </is>
      </c>
      <c r="E1005" s="3" t="n">
        <v>2.32</v>
      </c>
      <c r="F1005" s="3" t="n">
        <v>0.3</v>
      </c>
      <c r="G1005" s="3">
        <f>F1005-E1005</f>
        <v/>
      </c>
      <c r="H1005" s="4">
        <f>IF(E1005=0,"",F1005/E1005-1)</f>
        <v/>
      </c>
      <c r="I1005" t="inlineStr"/>
    </row>
    <row r="1006">
      <c r="A1006" t="inlineStr">
        <is>
          <t>Machinery &amp; electronics</t>
        </is>
      </c>
      <c r="B1006" t="inlineStr">
        <is>
          <t>85</t>
        </is>
      </c>
      <c r="C1006" t="inlineStr">
        <is>
          <t>85361010</t>
        </is>
      </c>
      <c r="D1006" t="inlineStr">
        <is>
          <t>SWTCH FUSE UNITS OF SWTCH RATING UPTO 15 AMPS,REWIREABLE</t>
        </is>
      </c>
      <c r="E1006" s="3" t="n">
        <v>0.2</v>
      </c>
      <c r="F1006" s="3" t="n">
        <v>0.3</v>
      </c>
      <c r="G1006" s="3">
        <f>F1006-E1006</f>
        <v/>
      </c>
      <c r="H1006" s="4">
        <f>IF(E1006=0,"",F1006/E1006-1)</f>
        <v/>
      </c>
      <c r="I1006" t="inlineStr"/>
    </row>
    <row r="1007">
      <c r="A1007" t="inlineStr">
        <is>
          <t>Machinery &amp; electronics</t>
        </is>
      </c>
      <c r="B1007" t="inlineStr">
        <is>
          <t>85</t>
        </is>
      </c>
      <c r="C1007" t="inlineStr">
        <is>
          <t>85452000</t>
        </is>
      </c>
      <c r="D1007" t="inlineStr">
        <is>
          <t>BRUSHES</t>
        </is>
      </c>
      <c r="E1007" s="3" t="n">
        <v>0.25</v>
      </c>
      <c r="F1007" s="3" t="n">
        <v>0.3</v>
      </c>
      <c r="G1007" s="3">
        <f>F1007-E1007</f>
        <v/>
      </c>
      <c r="H1007" s="4">
        <f>IF(E1007=0,"",F1007/E1007-1)</f>
        <v/>
      </c>
      <c r="I1007" t="inlineStr"/>
    </row>
    <row r="1008">
      <c r="A1008" t="inlineStr">
        <is>
          <t>Machinery &amp; electronics</t>
        </is>
      </c>
      <c r="B1008" t="inlineStr">
        <is>
          <t>84</t>
        </is>
      </c>
      <c r="C1008" t="inlineStr">
        <is>
          <t>84039000</t>
        </is>
      </c>
      <c r="D1008" t="inlineStr">
        <is>
          <t>PARTS OF CENTRAL HEATING BOILERS</t>
        </is>
      </c>
      <c r="E1008" s="3" t="n">
        <v>0.13</v>
      </c>
      <c r="F1008" s="3" t="n">
        <v>0.29</v>
      </c>
      <c r="G1008" s="3">
        <f>F1008-E1008</f>
        <v/>
      </c>
      <c r="H1008" s="4">
        <f>IF(E1008=0,"",F1008/E1008-1)</f>
        <v/>
      </c>
      <c r="I1008" t="inlineStr"/>
    </row>
    <row r="1009">
      <c r="A1009" t="inlineStr">
        <is>
          <t>Machinery &amp; electronics</t>
        </is>
      </c>
      <c r="B1009" t="inlineStr">
        <is>
          <t>84</t>
        </is>
      </c>
      <c r="C1009" t="inlineStr">
        <is>
          <t>84626100</t>
        </is>
      </c>
      <c r="D1009" t="inlineStr">
        <is>
          <t>Hydraulic presses</t>
        </is>
      </c>
      <c r="E1009" s="3" t="n">
        <v>0.7</v>
      </c>
      <c r="F1009" s="3" t="n">
        <v>0.29</v>
      </c>
      <c r="G1009" s="3">
        <f>F1009-E1009</f>
        <v/>
      </c>
      <c r="H1009" s="4">
        <f>IF(E1009=0,"",F1009/E1009-1)</f>
        <v/>
      </c>
      <c r="I1009" t="inlineStr"/>
    </row>
    <row r="1010">
      <c r="A1010" t="inlineStr">
        <is>
          <t>Machinery &amp; electronics</t>
        </is>
      </c>
      <c r="B1010" t="inlineStr">
        <is>
          <t>84</t>
        </is>
      </c>
      <c r="C1010" t="inlineStr">
        <is>
          <t>84762120</t>
        </is>
      </c>
      <c r="D1010" t="inlineStr">
        <is>
          <t>AUTOMATC BEVEREG-VENDNG MACHNS INCORPORATING HEATING DEVICES</t>
        </is>
      </c>
      <c r="E1010" s="3" t="n">
        <v>0.06</v>
      </c>
      <c r="F1010" s="3" t="n">
        <v>0.29</v>
      </c>
      <c r="G1010" s="3">
        <f>F1010-E1010</f>
        <v/>
      </c>
      <c r="H1010" s="4">
        <f>IF(E1010=0,"",F1010/E1010-1)</f>
        <v/>
      </c>
      <c r="I1010" t="inlineStr"/>
    </row>
    <row r="1011">
      <c r="A1011" t="inlineStr">
        <is>
          <t>Machinery &amp; electronics</t>
        </is>
      </c>
      <c r="B1011" t="inlineStr">
        <is>
          <t>85</t>
        </is>
      </c>
      <c r="C1011" t="inlineStr">
        <is>
          <t>85311020</t>
        </is>
      </c>
      <c r="D1011" t="inlineStr">
        <is>
          <t>FIRE ALARM</t>
        </is>
      </c>
      <c r="E1011" s="3" t="n">
        <v>0.07000000000000001</v>
      </c>
      <c r="F1011" s="3" t="n">
        <v>0.29</v>
      </c>
      <c r="G1011" s="3">
        <f>F1011-E1011</f>
        <v/>
      </c>
      <c r="H1011" s="4">
        <f>IF(E1011=0,"",F1011/E1011-1)</f>
        <v/>
      </c>
      <c r="I1011" t="inlineStr"/>
    </row>
    <row r="1012">
      <c r="A1012" t="inlineStr">
        <is>
          <t>Machinery &amp; electronics</t>
        </is>
      </c>
      <c r="B1012" t="inlineStr">
        <is>
          <t>85</t>
        </is>
      </c>
      <c r="C1012" t="inlineStr">
        <is>
          <t>85444930</t>
        </is>
      </c>
      <c r="D1012" t="inlineStr">
        <is>
          <t>RUBBER INSLTD CNDCTRS FR &lt;= 1000V USED FOR NOT FITTED WITH CONNECTORS</t>
        </is>
      </c>
      <c r="E1012" s="3" t="n">
        <v>0</v>
      </c>
      <c r="F1012" s="3" t="n">
        <v>0.29</v>
      </c>
      <c r="G1012" s="3">
        <f>F1012-E1012</f>
        <v/>
      </c>
      <c r="H1012" s="4">
        <f>IF(E1012=0,"",F1012/E1012-1)</f>
        <v/>
      </c>
      <c r="I1012" t="inlineStr"/>
    </row>
    <row r="1013">
      <c r="A1013" t="inlineStr">
        <is>
          <t>Machinery &amp; electronics</t>
        </is>
      </c>
      <c r="B1013" t="inlineStr">
        <is>
          <t>85</t>
        </is>
      </c>
      <c r="C1013" t="inlineStr">
        <is>
          <t>85437049</t>
        </is>
      </c>
      <c r="D1013" t="inlineStr">
        <is>
          <t>OTHER EDIT CONTROL UNITS</t>
        </is>
      </c>
      <c r="E1013" s="3" t="n">
        <v>0</v>
      </c>
      <c r="F1013" s="3" t="n">
        <v>0.28</v>
      </c>
      <c r="G1013" s="3">
        <f>F1013-E1013</f>
        <v/>
      </c>
      <c r="H1013" s="4">
        <f>IF(E1013=0,"",F1013/E1013-1)</f>
        <v/>
      </c>
      <c r="I1013" t="inlineStr"/>
    </row>
    <row r="1014">
      <c r="A1014" t="inlineStr">
        <is>
          <t>Machinery &amp; electronics</t>
        </is>
      </c>
      <c r="B1014" t="inlineStr">
        <is>
          <t>85</t>
        </is>
      </c>
      <c r="C1014" t="inlineStr">
        <is>
          <t>85444230</t>
        </is>
      </c>
      <c r="D1014" t="inlineStr">
        <is>
          <t>RUBBER INSLTD CNDCTRS FR &lt;= 1000V USED FOR FITTED WITH CONNECTORS</t>
        </is>
      </c>
      <c r="E1014" s="3" t="n">
        <v>0.41</v>
      </c>
      <c r="F1014" s="3" t="n">
        <v>0.28</v>
      </c>
      <c r="G1014" s="3">
        <f>F1014-E1014</f>
        <v/>
      </c>
      <c r="H1014" s="4">
        <f>IF(E1014=0,"",F1014/E1014-1)</f>
        <v/>
      </c>
      <c r="I1014" t="inlineStr"/>
    </row>
    <row r="1015">
      <c r="A1015" t="inlineStr">
        <is>
          <t>Machinery &amp; electronics</t>
        </is>
      </c>
      <c r="B1015" t="inlineStr">
        <is>
          <t>84</t>
        </is>
      </c>
      <c r="C1015" t="inlineStr">
        <is>
          <t>84139110</t>
        </is>
      </c>
      <c r="D1015" t="inlineStr">
        <is>
          <t>PARTS FOR RECIPROCATING PUMPS</t>
        </is>
      </c>
      <c r="E1015" s="3" t="n">
        <v>0.26</v>
      </c>
      <c r="F1015" s="3" t="n">
        <v>0.27</v>
      </c>
      <c r="G1015" s="3">
        <f>F1015-E1015</f>
        <v/>
      </c>
      <c r="H1015" s="4">
        <f>IF(E1015=0,"",F1015/E1015-1)</f>
        <v/>
      </c>
      <c r="I1015" t="inlineStr"/>
    </row>
    <row r="1016">
      <c r="A1016" t="inlineStr">
        <is>
          <t>Machinery &amp; electronics</t>
        </is>
      </c>
      <c r="B1016" t="inlineStr">
        <is>
          <t>84</t>
        </is>
      </c>
      <c r="C1016" t="inlineStr">
        <is>
          <t>84146000</t>
        </is>
      </c>
      <c r="D1016" t="inlineStr">
        <is>
          <t>HOODS HVNG MAXIMUM HORIZNTAL SIDE&lt;=120 CM</t>
        </is>
      </c>
      <c r="E1016" s="3" t="n">
        <v>0.29</v>
      </c>
      <c r="F1016" s="3" t="n">
        <v>0.27</v>
      </c>
      <c r="G1016" s="3">
        <f>F1016-E1016</f>
        <v/>
      </c>
      <c r="H1016" s="4">
        <f>IF(E1016=0,"",F1016/E1016-1)</f>
        <v/>
      </c>
      <c r="I1016" t="inlineStr"/>
    </row>
    <row r="1017">
      <c r="A1017" t="inlineStr">
        <is>
          <t>Machinery &amp; electronics</t>
        </is>
      </c>
      <c r="B1017" t="inlineStr">
        <is>
          <t>84</t>
        </is>
      </c>
      <c r="C1017" t="inlineStr">
        <is>
          <t>84362900</t>
        </is>
      </c>
      <c r="D1017" t="inlineStr">
        <is>
          <t>OTHR POULTRY-KEEPING MACHINERY</t>
        </is>
      </c>
      <c r="E1017" s="3" t="n">
        <v>0.32</v>
      </c>
      <c r="F1017" s="3" t="n">
        <v>0.27</v>
      </c>
      <c r="G1017" s="3">
        <f>F1017-E1017</f>
        <v/>
      </c>
      <c r="H1017" s="4">
        <f>IF(E1017=0,"",F1017/E1017-1)</f>
        <v/>
      </c>
      <c r="I1017" t="inlineStr"/>
    </row>
    <row r="1018">
      <c r="A1018" t="inlineStr">
        <is>
          <t>Machinery &amp; electronics</t>
        </is>
      </c>
      <c r="B1018" t="inlineStr">
        <is>
          <t>84</t>
        </is>
      </c>
      <c r="C1018" t="inlineStr">
        <is>
          <t>84748090</t>
        </is>
      </c>
      <c r="D1018" t="inlineStr">
        <is>
          <t>MCHNRY FR AGGLMRTNG,MOULDNG/SHAPNG, PLASTRNG MTRLS/OTHR MNRL PRDCTS,N.E.S.</t>
        </is>
      </c>
      <c r="E1018" s="3" t="n">
        <v>0.43</v>
      </c>
      <c r="F1018" s="3" t="n">
        <v>0.27</v>
      </c>
      <c r="G1018" s="3">
        <f>F1018-E1018</f>
        <v/>
      </c>
      <c r="H1018" s="4">
        <f>IF(E1018=0,"",F1018/E1018-1)</f>
        <v/>
      </c>
      <c r="I1018" t="inlineStr"/>
    </row>
    <row r="1019">
      <c r="A1019" t="inlineStr">
        <is>
          <t>Machinery &amp; electronics</t>
        </is>
      </c>
      <c r="B1019" t="inlineStr">
        <is>
          <t>84</t>
        </is>
      </c>
      <c r="C1019" t="inlineStr">
        <is>
          <t>84805000</t>
        </is>
      </c>
      <c r="D1019" t="inlineStr">
        <is>
          <t>MOULDS FOR GLASS</t>
        </is>
      </c>
      <c r="E1019" s="3" t="n">
        <v>0.27</v>
      </c>
      <c r="F1019" s="3" t="n">
        <v>0.27</v>
      </c>
      <c r="G1019" s="3">
        <f>F1019-E1019</f>
        <v/>
      </c>
      <c r="H1019" s="4">
        <f>IF(E1019=0,"",F1019/E1019-1)</f>
        <v/>
      </c>
      <c r="I1019" t="inlineStr"/>
    </row>
    <row r="1020">
      <c r="A1020" t="inlineStr">
        <is>
          <t>Machinery &amp; electronics</t>
        </is>
      </c>
      <c r="B1020" t="inlineStr">
        <is>
          <t>84</t>
        </is>
      </c>
      <c r="C1020" t="inlineStr">
        <is>
          <t>84835010</t>
        </is>
      </c>
      <c r="D1020" t="inlineStr">
        <is>
          <t>PULLEYS,POWER TRANSMISSION</t>
        </is>
      </c>
      <c r="E1020" s="3" t="n">
        <v>0.5</v>
      </c>
      <c r="F1020" s="3" t="n">
        <v>0.27</v>
      </c>
      <c r="G1020" s="3">
        <f>F1020-E1020</f>
        <v/>
      </c>
      <c r="H1020" s="4">
        <f>IF(E1020=0,"",F1020/E1020-1)</f>
        <v/>
      </c>
      <c r="I1020" t="inlineStr"/>
    </row>
    <row r="1021">
      <c r="A1021" t="inlineStr">
        <is>
          <t>Machinery &amp; electronics</t>
        </is>
      </c>
      <c r="B1021" t="inlineStr">
        <is>
          <t>85</t>
        </is>
      </c>
      <c r="C1021" t="inlineStr">
        <is>
          <t>85051900</t>
        </is>
      </c>
      <c r="D1021" t="inlineStr">
        <is>
          <t>PERMANENT MGNTS AND ARTCLS INTNDED TO BECOMEPERMANENT MGNTS AFTER MGNTSN;OF OTHR MTRL</t>
        </is>
      </c>
      <c r="E1021" s="3" t="n">
        <v>0.03</v>
      </c>
      <c r="F1021" s="3" t="n">
        <v>0.27</v>
      </c>
      <c r="G1021" s="3">
        <f>F1021-E1021</f>
        <v/>
      </c>
      <c r="H1021" s="4">
        <f>IF(E1021=0,"",F1021/E1021-1)</f>
        <v/>
      </c>
      <c r="I1021" t="inlineStr"/>
    </row>
    <row r="1022">
      <c r="A1022" t="inlineStr">
        <is>
          <t>Machinery &amp; electronics</t>
        </is>
      </c>
      <c r="B1022" t="inlineStr">
        <is>
          <t>85</t>
        </is>
      </c>
      <c r="C1022" t="inlineStr">
        <is>
          <t>85079090</t>
        </is>
      </c>
      <c r="D1022" t="inlineStr">
        <is>
          <t>OTHER PARTS: OTHER THAN ACCUMULATOR CASES MADE OF HARD RUBBER/BATTERY SEPARATORS</t>
        </is>
      </c>
      <c r="E1022" s="3" t="n">
        <v>0.08</v>
      </c>
      <c r="F1022" s="3" t="n">
        <v>0.27</v>
      </c>
      <c r="G1022" s="3">
        <f>F1022-E1022</f>
        <v/>
      </c>
      <c r="H1022" s="4">
        <f>IF(E1022=0,"",F1022/E1022-1)</f>
        <v/>
      </c>
      <c r="I1022" t="inlineStr"/>
    </row>
    <row r="1023">
      <c r="A1023" t="inlineStr">
        <is>
          <t>Machinery &amp; electronics</t>
        </is>
      </c>
      <c r="B1023" t="inlineStr">
        <is>
          <t>85</t>
        </is>
      </c>
      <c r="C1023" t="inlineStr">
        <is>
          <t>85123090</t>
        </is>
      </c>
      <c r="D1023" t="inlineStr">
        <is>
          <t>OTHERS-OF-SOUND SIGNALLING EQPMNT</t>
        </is>
      </c>
      <c r="E1023" s="3" t="n">
        <v>0</v>
      </c>
      <c r="F1023" s="3" t="n">
        <v>0.27</v>
      </c>
      <c r="G1023" s="3">
        <f>F1023-E1023</f>
        <v/>
      </c>
      <c r="H1023" s="4">
        <f>IF(E1023=0,"",F1023/E1023-1)</f>
        <v/>
      </c>
      <c r="I1023" t="inlineStr"/>
    </row>
    <row r="1024">
      <c r="A1024" t="inlineStr">
        <is>
          <t>Machinery &amp; electronics</t>
        </is>
      </c>
      <c r="B1024" t="inlineStr">
        <is>
          <t>85</t>
        </is>
      </c>
      <c r="C1024" t="inlineStr">
        <is>
          <t>85142000</t>
        </is>
      </c>
      <c r="D1024" t="inlineStr">
        <is>
          <t>INDCTN/DIELCTRC FURNACES AND OVENS</t>
        </is>
      </c>
      <c r="E1024" s="3" t="n">
        <v>23.26</v>
      </c>
      <c r="F1024" s="3" t="n">
        <v>0.27</v>
      </c>
      <c r="G1024" s="3">
        <f>F1024-E1024</f>
        <v/>
      </c>
      <c r="H1024" s="4">
        <f>IF(E1024=0,"",F1024/E1024-1)</f>
        <v/>
      </c>
      <c r="I1024" t="inlineStr"/>
    </row>
    <row r="1025">
      <c r="A1025" t="inlineStr">
        <is>
          <t>Machinery &amp; electronics</t>
        </is>
      </c>
      <c r="B1025" t="inlineStr">
        <is>
          <t>85</t>
        </is>
      </c>
      <c r="C1025" t="inlineStr">
        <is>
          <t>85361050</t>
        </is>
      </c>
      <c r="D1025" t="inlineStr">
        <is>
          <t>FUSES GEAR</t>
        </is>
      </c>
      <c r="E1025" s="3" t="n">
        <v>1.84</v>
      </c>
      <c r="F1025" s="3" t="n">
        <v>0.27</v>
      </c>
      <c r="G1025" s="3">
        <f>F1025-E1025</f>
        <v/>
      </c>
      <c r="H1025" s="4">
        <f>IF(E1025=0,"",F1025/E1025-1)</f>
        <v/>
      </c>
      <c r="I1025" t="inlineStr"/>
    </row>
    <row r="1026">
      <c r="A1026" t="inlineStr">
        <is>
          <t>Machinery &amp; electronics</t>
        </is>
      </c>
      <c r="B1026" t="inlineStr">
        <is>
          <t>85</t>
        </is>
      </c>
      <c r="C1026" t="inlineStr">
        <is>
          <t>85439000</t>
        </is>
      </c>
      <c r="D1026" t="inlineStr">
        <is>
          <t>PARTS OF ARTICLES OF HEADING 8543</t>
        </is>
      </c>
      <c r="E1026" s="3" t="n">
        <v>0.74</v>
      </c>
      <c r="F1026" s="3" t="n">
        <v>0.27</v>
      </c>
      <c r="G1026" s="3">
        <f>F1026-E1026</f>
        <v/>
      </c>
      <c r="H1026" s="4">
        <f>IF(E1026=0,"",F1026/E1026-1)</f>
        <v/>
      </c>
      <c r="I1026" t="inlineStr"/>
    </row>
    <row r="1027">
      <c r="A1027" t="inlineStr">
        <is>
          <t>Machinery &amp; electronics</t>
        </is>
      </c>
      <c r="B1027" t="inlineStr">
        <is>
          <t>84</t>
        </is>
      </c>
      <c r="C1027" t="inlineStr">
        <is>
          <t>84029020</t>
        </is>
      </c>
      <c r="D1027" t="inlineStr">
        <is>
          <t>PARTS OF WATER TUBE BOILERS</t>
        </is>
      </c>
      <c r="E1027" s="3" t="n">
        <v>1.28</v>
      </c>
      <c r="F1027" s="3" t="n">
        <v>0.26</v>
      </c>
      <c r="G1027" s="3">
        <f>F1027-E1027</f>
        <v/>
      </c>
      <c r="H1027" s="4">
        <f>IF(E1027=0,"",F1027/E1027-1)</f>
        <v/>
      </c>
      <c r="I1027" t="inlineStr"/>
    </row>
    <row r="1028">
      <c r="A1028" t="inlineStr">
        <is>
          <t>Machinery &amp; electronics</t>
        </is>
      </c>
      <c r="B1028" t="inlineStr">
        <is>
          <t>84</t>
        </is>
      </c>
      <c r="C1028" t="inlineStr">
        <is>
          <t>84198950</t>
        </is>
      </c>
      <c r="D1028" t="inlineStr">
        <is>
          <t>PASTEURIZERS</t>
        </is>
      </c>
      <c r="E1028" s="3" t="n">
        <v>0</v>
      </c>
      <c r="F1028" s="3" t="n">
        <v>0.26</v>
      </c>
      <c r="G1028" s="3">
        <f>F1028-E1028</f>
        <v/>
      </c>
      <c r="H1028" s="4">
        <f>IF(E1028=0,"",F1028/E1028-1)</f>
        <v/>
      </c>
      <c r="I1028" t="inlineStr"/>
    </row>
    <row r="1029">
      <c r="A1029" t="inlineStr">
        <is>
          <t>Machinery &amp; electronics</t>
        </is>
      </c>
      <c r="B1029" t="inlineStr">
        <is>
          <t>85</t>
        </is>
      </c>
      <c r="C1029" t="inlineStr">
        <is>
          <t>85014090</t>
        </is>
      </c>
      <c r="D1029" t="inlineStr">
        <is>
          <t>OTHER A.C.MOTORS,SINGLE PHASE</t>
        </is>
      </c>
      <c r="E1029" s="3" t="n">
        <v>0.07000000000000001</v>
      </c>
      <c r="F1029" s="3" t="n">
        <v>0.26</v>
      </c>
      <c r="G1029" s="3">
        <f>F1029-E1029</f>
        <v/>
      </c>
      <c r="H1029" s="4">
        <f>IF(E1029=0,"",F1029/E1029-1)</f>
        <v/>
      </c>
      <c r="I1029" t="inlineStr"/>
    </row>
    <row r="1030">
      <c r="A1030" t="inlineStr">
        <is>
          <t>Machinery &amp; electronics</t>
        </is>
      </c>
      <c r="B1030" t="inlineStr">
        <is>
          <t>85</t>
        </is>
      </c>
      <c r="C1030" t="inlineStr">
        <is>
          <t>85079010</t>
        </is>
      </c>
      <c r="D1030" t="inlineStr">
        <is>
          <t>ACCUMULATOR CASES MADE OF HARD RUBBER</t>
        </is>
      </c>
      <c r="E1030" s="3" t="n">
        <v>0.17</v>
      </c>
      <c r="F1030" s="3" t="n">
        <v>0.26</v>
      </c>
      <c r="G1030" s="3">
        <f>F1030-E1030</f>
        <v/>
      </c>
      <c r="H1030" s="4">
        <f>IF(E1030=0,"",F1030/E1030-1)</f>
        <v/>
      </c>
      <c r="I1030" t="inlineStr"/>
    </row>
    <row r="1031">
      <c r="A1031" t="inlineStr">
        <is>
          <t>Machinery &amp; electronics</t>
        </is>
      </c>
      <c r="B1031" t="inlineStr">
        <is>
          <t>85</t>
        </is>
      </c>
      <c r="C1031" t="inlineStr">
        <is>
          <t>85219020</t>
        </is>
      </c>
      <c r="D1031" t="inlineStr">
        <is>
          <t>DVD PLAYER</t>
        </is>
      </c>
      <c r="E1031" s="3" t="n">
        <v>0</v>
      </c>
      <c r="F1031" s="3" t="n">
        <v>0.26</v>
      </c>
      <c r="G1031" s="3">
        <f>F1031-E1031</f>
        <v/>
      </c>
      <c r="H1031" s="4">
        <f>IF(E1031=0,"",F1031/E1031-1)</f>
        <v/>
      </c>
      <c r="I1031" t="inlineStr"/>
    </row>
    <row r="1032">
      <c r="A1032" t="inlineStr">
        <is>
          <t>Machinery &amp; electronics</t>
        </is>
      </c>
      <c r="B1032" t="inlineStr">
        <is>
          <t>85</t>
        </is>
      </c>
      <c r="C1032" t="inlineStr">
        <is>
          <t>85352121</t>
        </is>
      </c>
      <c r="D1032" t="inlineStr">
        <is>
          <t>VACUUM CIRCUIT BREAKERS 11 KV</t>
        </is>
      </c>
      <c r="E1032" s="3" t="n">
        <v>0.09</v>
      </c>
      <c r="F1032" s="3" t="n">
        <v>0.26</v>
      </c>
      <c r="G1032" s="3">
        <f>F1032-E1032</f>
        <v/>
      </c>
      <c r="H1032" s="4">
        <f>IF(E1032=0,"",F1032/E1032-1)</f>
        <v/>
      </c>
      <c r="I1032" t="inlineStr"/>
    </row>
    <row r="1033">
      <c r="A1033" t="inlineStr">
        <is>
          <t>Machinery &amp; electronics</t>
        </is>
      </c>
      <c r="B1033" t="inlineStr">
        <is>
          <t>84</t>
        </is>
      </c>
      <c r="C1033" t="inlineStr">
        <is>
          <t>84198190</t>
        </is>
      </c>
      <c r="D1033" t="inlineStr">
        <is>
          <t>OTHR MACHINRY,PLANT AND EQUIPMENT FOR MAKINGHOT DRINKS OR FOR COOKING/HEATING FOOD</t>
        </is>
      </c>
      <c r="E1033" s="3" t="n">
        <v>0.07000000000000001</v>
      </c>
      <c r="F1033" s="3" t="n">
        <v>0.25</v>
      </c>
      <c r="G1033" s="3">
        <f>F1033-E1033</f>
        <v/>
      </c>
      <c r="H1033" s="4">
        <f>IF(E1033=0,"",F1033/E1033-1)</f>
        <v/>
      </c>
      <c r="I1033" t="inlineStr"/>
    </row>
    <row r="1034">
      <c r="A1034" t="inlineStr">
        <is>
          <t>Machinery &amp; electronics</t>
        </is>
      </c>
      <c r="B1034" t="inlineStr">
        <is>
          <t>84</t>
        </is>
      </c>
      <c r="C1034" t="inlineStr">
        <is>
          <t>84213100</t>
        </is>
      </c>
      <c r="D1034" t="inlineStr">
        <is>
          <t>INTAKE AIR FLTRS FR INTRNL CMBSTN ENGNS</t>
        </is>
      </c>
      <c r="E1034" s="3" t="n">
        <v>0.19</v>
      </c>
      <c r="F1034" s="3" t="n">
        <v>0.25</v>
      </c>
      <c r="G1034" s="3">
        <f>F1034-E1034</f>
        <v/>
      </c>
      <c r="H1034" s="4">
        <f>IF(E1034=0,"",F1034/E1034-1)</f>
        <v/>
      </c>
      <c r="I1034" t="inlineStr"/>
    </row>
    <row r="1035">
      <c r="A1035" t="inlineStr">
        <is>
          <t>Machinery &amp; electronics</t>
        </is>
      </c>
      <c r="B1035" t="inlineStr">
        <is>
          <t>84</t>
        </is>
      </c>
      <c r="C1035" t="inlineStr">
        <is>
          <t>84361000</t>
        </is>
      </c>
      <c r="D1035" t="inlineStr">
        <is>
          <t>MCHNRY FR PRPRNG ANML FEEDNG STUFFS</t>
        </is>
      </c>
      <c r="E1035" s="3" t="n">
        <v>0.25</v>
      </c>
      <c r="F1035" s="3" t="n">
        <v>0.25</v>
      </c>
      <c r="G1035" s="3">
        <f>F1035-E1035</f>
        <v/>
      </c>
      <c r="H1035" s="4">
        <f>IF(E1035=0,"",F1035/E1035-1)</f>
        <v/>
      </c>
      <c r="I1035" t="inlineStr"/>
    </row>
    <row r="1036">
      <c r="A1036" t="inlineStr">
        <is>
          <t>Machinery &amp; electronics</t>
        </is>
      </c>
      <c r="B1036" t="inlineStr">
        <is>
          <t>84</t>
        </is>
      </c>
      <c r="C1036" t="inlineStr">
        <is>
          <t>84798920</t>
        </is>
      </c>
      <c r="D1036" t="inlineStr">
        <is>
          <t>AIR HMDFCATN AND DE-HMDFCTN EQPMNTS/PLNT</t>
        </is>
      </c>
      <c r="E1036" s="3" t="n">
        <v>1.75</v>
      </c>
      <c r="F1036" s="3" t="n">
        <v>0.25</v>
      </c>
      <c r="G1036" s="3">
        <f>F1036-E1036</f>
        <v/>
      </c>
      <c r="H1036" s="4">
        <f>IF(E1036=0,"",F1036/E1036-1)</f>
        <v/>
      </c>
      <c r="I1036" t="inlineStr"/>
    </row>
    <row r="1037">
      <c r="A1037" t="inlineStr">
        <is>
          <t>Machinery &amp; electronics</t>
        </is>
      </c>
      <c r="B1037" t="inlineStr">
        <is>
          <t>84</t>
        </is>
      </c>
      <c r="C1037" t="inlineStr">
        <is>
          <t>84836020</t>
        </is>
      </c>
      <c r="D1037" t="inlineStr">
        <is>
          <t>FLUID COUPLING</t>
        </is>
      </c>
      <c r="E1037" s="3" t="n">
        <v>0.13</v>
      </c>
      <c r="F1037" s="3" t="n">
        <v>0.25</v>
      </c>
      <c r="G1037" s="3">
        <f>F1037-E1037</f>
        <v/>
      </c>
      <c r="H1037" s="4">
        <f>IF(E1037=0,"",F1037/E1037-1)</f>
        <v/>
      </c>
      <c r="I1037" t="inlineStr"/>
    </row>
    <row r="1038">
      <c r="A1038" t="inlineStr">
        <is>
          <t>Machinery &amp; electronics</t>
        </is>
      </c>
      <c r="B1038" t="inlineStr">
        <is>
          <t>85</t>
        </is>
      </c>
      <c r="C1038" t="inlineStr">
        <is>
          <t>85166000</t>
        </is>
      </c>
      <c r="D1038" t="inlineStr">
        <is>
          <t>OTHR OVNS;COOKERS,COOKING PLATES BOILING RINGS,GRILLERS AND ROASTERS</t>
        </is>
      </c>
      <c r="E1038" s="3" t="n">
        <v>0.25</v>
      </c>
      <c r="F1038" s="3" t="n">
        <v>0.25</v>
      </c>
      <c r="G1038" s="3">
        <f>F1038-E1038</f>
        <v/>
      </c>
      <c r="H1038" s="4">
        <f>IF(E1038=0,"",F1038/E1038-1)</f>
        <v/>
      </c>
      <c r="I1038" t="inlineStr"/>
    </row>
    <row r="1039">
      <c r="A1039" t="inlineStr">
        <is>
          <t>Machinery &amp; electronics</t>
        </is>
      </c>
      <c r="B1039" t="inlineStr">
        <is>
          <t>85</t>
        </is>
      </c>
      <c r="C1039" t="inlineStr">
        <is>
          <t>85234910</t>
        </is>
      </c>
      <c r="D1039" t="inlineStr">
        <is>
          <t>COMPACT DISC (AUDIO)</t>
        </is>
      </c>
      <c r="E1039" s="3" t="n">
        <v>0.16</v>
      </c>
      <c r="F1039" s="3" t="n">
        <v>0.25</v>
      </c>
      <c r="G1039" s="3">
        <f>F1039-E1039</f>
        <v/>
      </c>
      <c r="H1039" s="4">
        <f>IF(E1039=0,"",F1039/E1039-1)</f>
        <v/>
      </c>
      <c r="I1039" t="inlineStr"/>
    </row>
    <row r="1040">
      <c r="A1040" t="inlineStr">
        <is>
          <t>Machinery &amp; electronics</t>
        </is>
      </c>
      <c r="B1040" t="inlineStr">
        <is>
          <t>85</t>
        </is>
      </c>
      <c r="C1040" t="inlineStr">
        <is>
          <t>85365020</t>
        </is>
      </c>
      <c r="D1040" t="inlineStr">
        <is>
          <t>OTHER SWITCHES OF PLASTICS</t>
        </is>
      </c>
      <c r="E1040" s="3" t="n">
        <v>0.04</v>
      </c>
      <c r="F1040" s="3" t="n">
        <v>0.25</v>
      </c>
      <c r="G1040" s="3">
        <f>F1040-E1040</f>
        <v/>
      </c>
      <c r="H1040" s="4">
        <f>IF(E1040=0,"",F1040/E1040-1)</f>
        <v/>
      </c>
      <c r="I1040" t="inlineStr"/>
    </row>
    <row r="1041">
      <c r="A1041" t="inlineStr">
        <is>
          <t>Machinery &amp; electronics</t>
        </is>
      </c>
      <c r="B1041" t="inlineStr">
        <is>
          <t>84</t>
        </is>
      </c>
      <c r="C1041" t="inlineStr">
        <is>
          <t>84679200</t>
        </is>
      </c>
      <c r="D1041" t="inlineStr">
        <is>
          <t>PARTS OF PNEUMATIC TOOLS</t>
        </is>
      </c>
      <c r="E1041" s="3" t="n">
        <v>0.49</v>
      </c>
      <c r="F1041" s="3" t="n">
        <v>0.24</v>
      </c>
      <c r="G1041" s="3">
        <f>F1041-E1041</f>
        <v/>
      </c>
      <c r="H1041" s="4">
        <f>IF(E1041=0,"",F1041/E1041-1)</f>
        <v/>
      </c>
      <c r="I1041" t="inlineStr"/>
    </row>
    <row r="1042">
      <c r="A1042" t="inlineStr">
        <is>
          <t>Machinery &amp; electronics</t>
        </is>
      </c>
      <c r="B1042" t="inlineStr">
        <is>
          <t>84</t>
        </is>
      </c>
      <c r="C1042" t="inlineStr">
        <is>
          <t>84821011</t>
        </is>
      </c>
      <c r="D1042" t="inlineStr">
        <is>
          <t>ADAPTER BALL BEARINGS(RADIAL TYPE) &lt;=50MM OR 2 INCHES BORE DIAMETER</t>
        </is>
      </c>
      <c r="E1042" s="3" t="n">
        <v>0.17</v>
      </c>
      <c r="F1042" s="3" t="n">
        <v>0.24</v>
      </c>
      <c r="G1042" s="3">
        <f>F1042-E1042</f>
        <v/>
      </c>
      <c r="H1042" s="4">
        <f>IF(E1042=0,"",F1042/E1042-1)</f>
        <v/>
      </c>
      <c r="I1042" t="inlineStr"/>
    </row>
    <row r="1043">
      <c r="A1043" t="inlineStr">
        <is>
          <t>Machinery &amp; electronics</t>
        </is>
      </c>
      <c r="B1043" t="inlineStr">
        <is>
          <t>85</t>
        </is>
      </c>
      <c r="C1043" t="inlineStr">
        <is>
          <t>85041090</t>
        </is>
      </c>
      <c r="D1043" t="inlineStr">
        <is>
          <t>OTHR BALLASTS FR DISCHARGE LAMPS/TUBES</t>
        </is>
      </c>
      <c r="E1043" s="3" t="n">
        <v>1.13</v>
      </c>
      <c r="F1043" s="3" t="n">
        <v>0.24</v>
      </c>
      <c r="G1043" s="3">
        <f>F1043-E1043</f>
        <v/>
      </c>
      <c r="H1043" s="4">
        <f>IF(E1043=0,"",F1043/E1043-1)</f>
        <v/>
      </c>
      <c r="I1043" t="inlineStr"/>
    </row>
    <row r="1044">
      <c r="A1044" t="inlineStr">
        <is>
          <t>Machinery &amp; electronics</t>
        </is>
      </c>
      <c r="B1044" t="inlineStr">
        <is>
          <t>85</t>
        </is>
      </c>
      <c r="C1044" t="inlineStr">
        <is>
          <t>85176260</t>
        </is>
      </c>
      <c r="D1044" t="inlineStr">
        <is>
          <t>SYNCHRONOUS DIGITAL HIERARCHY SYSTEM (SDH)</t>
        </is>
      </c>
      <c r="E1044" s="3" t="n">
        <v>3.64</v>
      </c>
      <c r="F1044" s="3" t="n">
        <v>0.24</v>
      </c>
      <c r="G1044" s="3">
        <f>F1044-E1044</f>
        <v/>
      </c>
      <c r="H1044" s="4">
        <f>IF(E1044=0,"",F1044/E1044-1)</f>
        <v/>
      </c>
      <c r="I1044" t="inlineStr"/>
    </row>
    <row r="1045">
      <c r="A1045" t="inlineStr">
        <is>
          <t>Machinery &amp; electronics</t>
        </is>
      </c>
      <c r="B1045" t="inlineStr">
        <is>
          <t>84</t>
        </is>
      </c>
      <c r="C1045" t="inlineStr">
        <is>
          <t>84099949</t>
        </is>
      </c>
      <c r="D1045" t="inlineStr">
        <is>
          <t>OTHER PARTS OF DIESEL/SEMI DIESEL ENGINES</t>
        </is>
      </c>
      <c r="E1045" s="3" t="n">
        <v>0.16</v>
      </c>
      <c r="F1045" s="3" t="n">
        <v>0.23</v>
      </c>
      <c r="G1045" s="3">
        <f>F1045-E1045</f>
        <v/>
      </c>
      <c r="H1045" s="4">
        <f>IF(E1045=0,"",F1045/E1045-1)</f>
        <v/>
      </c>
      <c r="I1045" t="inlineStr"/>
    </row>
    <row r="1046">
      <c r="A1046" t="inlineStr">
        <is>
          <t>Machinery &amp; electronics</t>
        </is>
      </c>
      <c r="B1046" t="inlineStr">
        <is>
          <t>85</t>
        </is>
      </c>
      <c r="C1046" t="inlineStr">
        <is>
          <t>85169000</t>
        </is>
      </c>
      <c r="D1046" t="inlineStr">
        <is>
          <t>PARTS OF ARTCLS IN HDNG 8516</t>
        </is>
      </c>
      <c r="E1046" s="3" t="n">
        <v>0.53</v>
      </c>
      <c r="F1046" s="3" t="n">
        <v>0.23</v>
      </c>
      <c r="G1046" s="3">
        <f>F1046-E1046</f>
        <v/>
      </c>
      <c r="H1046" s="4">
        <f>IF(E1046=0,"",F1046/E1046-1)</f>
        <v/>
      </c>
      <c r="I1046" t="inlineStr"/>
    </row>
    <row r="1047">
      <c r="A1047" t="inlineStr">
        <is>
          <t>Machinery &amp; electronics</t>
        </is>
      </c>
      <c r="B1047" t="inlineStr">
        <is>
          <t>85</t>
        </is>
      </c>
      <c r="C1047" t="inlineStr">
        <is>
          <t>85393190</t>
        </is>
      </c>
      <c r="D1047" t="inlineStr">
        <is>
          <t>OTHR FLUORESCENT,HOT CATHODE</t>
        </is>
      </c>
      <c r="E1047" s="3" t="n">
        <v>0.01</v>
      </c>
      <c r="F1047" s="3" t="n">
        <v>0.23</v>
      </c>
      <c r="G1047" s="3">
        <f>F1047-E1047</f>
        <v/>
      </c>
      <c r="H1047" s="4">
        <f>IF(E1047=0,"",F1047/E1047-1)</f>
        <v/>
      </c>
      <c r="I1047" t="inlineStr"/>
    </row>
    <row r="1048">
      <c r="A1048" t="inlineStr">
        <is>
          <t>Machinery &amp; electronics</t>
        </is>
      </c>
      <c r="B1048" t="inlineStr">
        <is>
          <t>84</t>
        </is>
      </c>
      <c r="C1048" t="inlineStr">
        <is>
          <t>84059000</t>
        </is>
      </c>
      <c r="D1048" t="inlineStr">
        <is>
          <t>PARTS OF GAS GENERATORS</t>
        </is>
      </c>
      <c r="E1048" s="3" t="n">
        <v>0.28</v>
      </c>
      <c r="F1048" s="3" t="n">
        <v>0.22</v>
      </c>
      <c r="G1048" s="3">
        <f>F1048-E1048</f>
        <v/>
      </c>
      <c r="H1048" s="4">
        <f>IF(E1048=0,"",F1048/E1048-1)</f>
        <v/>
      </c>
      <c r="I1048" t="inlineStr"/>
    </row>
    <row r="1049">
      <c r="A1049" t="inlineStr">
        <is>
          <t>Machinery &amp; electronics</t>
        </is>
      </c>
      <c r="B1049" t="inlineStr">
        <is>
          <t>84</t>
        </is>
      </c>
      <c r="C1049" t="inlineStr">
        <is>
          <t>84144090</t>
        </is>
      </c>
      <c r="D1049" t="inlineStr">
        <is>
          <t>OTHERS-OF-AIR CMPRSRS MOUNTD ON WHELD CHASIS FR TWNG</t>
        </is>
      </c>
      <c r="E1049" s="3" t="n">
        <v>2.66</v>
      </c>
      <c r="F1049" s="3" t="n">
        <v>0.22</v>
      </c>
      <c r="G1049" s="3">
        <f>F1049-E1049</f>
        <v/>
      </c>
      <c r="H1049" s="4">
        <f>IF(E1049=0,"",F1049/E1049-1)</f>
        <v/>
      </c>
      <c r="I1049" t="inlineStr"/>
    </row>
    <row r="1050">
      <c r="A1050" t="inlineStr">
        <is>
          <t>Machinery &amp; electronics</t>
        </is>
      </c>
      <c r="B1050" t="inlineStr">
        <is>
          <t>84</t>
        </is>
      </c>
      <c r="C1050" t="inlineStr">
        <is>
          <t>84485110</t>
        </is>
      </c>
      <c r="D1050" t="inlineStr">
        <is>
          <t>SNKRS,NEDL ETC. OF COTTON HOSIERY MCHNS</t>
        </is>
      </c>
      <c r="E1050" s="3" t="n">
        <v>0.08</v>
      </c>
      <c r="F1050" s="3" t="n">
        <v>0.22</v>
      </c>
      <c r="G1050" s="3">
        <f>F1050-E1050</f>
        <v/>
      </c>
      <c r="H1050" s="4">
        <f>IF(E1050=0,"",F1050/E1050-1)</f>
        <v/>
      </c>
      <c r="I1050" t="inlineStr"/>
    </row>
    <row r="1051">
      <c r="A1051" t="inlineStr">
        <is>
          <t>Machinery &amp; electronics</t>
        </is>
      </c>
      <c r="B1051" t="inlineStr">
        <is>
          <t>84</t>
        </is>
      </c>
      <c r="C1051" t="inlineStr">
        <is>
          <t>84631020</t>
        </is>
      </c>
      <c r="D1051" t="inlineStr">
        <is>
          <t>WIRE MAKING MACHINES</t>
        </is>
      </c>
      <c r="E1051" s="3" t="n">
        <v>0.13</v>
      </c>
      <c r="F1051" s="3" t="n">
        <v>0.22</v>
      </c>
      <c r="G1051" s="3">
        <f>F1051-E1051</f>
        <v/>
      </c>
      <c r="H1051" s="4">
        <f>IF(E1051=0,"",F1051/E1051-1)</f>
        <v/>
      </c>
      <c r="I1051" t="inlineStr"/>
    </row>
    <row r="1052">
      <c r="A1052" t="inlineStr">
        <is>
          <t>Machinery &amp; electronics</t>
        </is>
      </c>
      <c r="B1052" t="inlineStr">
        <is>
          <t>84</t>
        </is>
      </c>
      <c r="C1052" t="inlineStr">
        <is>
          <t>84688000</t>
        </is>
      </c>
      <c r="D1052" t="inlineStr">
        <is>
          <t>OTHER MACHINERY AND APPARATUS OF HDG 8468</t>
        </is>
      </c>
      <c r="E1052" s="3" t="n">
        <v>0.41</v>
      </c>
      <c r="F1052" s="3" t="n">
        <v>0.22</v>
      </c>
      <c r="G1052" s="3">
        <f>F1052-E1052</f>
        <v/>
      </c>
      <c r="H1052" s="4">
        <f>IF(E1052=0,"",F1052/E1052-1)</f>
        <v/>
      </c>
      <c r="I1052" t="inlineStr"/>
    </row>
    <row r="1053">
      <c r="A1053" t="inlineStr">
        <is>
          <t>Machinery &amp; electronics</t>
        </is>
      </c>
      <c r="B1053" t="inlineStr">
        <is>
          <t>84</t>
        </is>
      </c>
      <c r="C1053" t="inlineStr">
        <is>
          <t>84829119</t>
        </is>
      </c>
      <c r="D1053" t="inlineStr">
        <is>
          <t>OTHER BALLS</t>
        </is>
      </c>
      <c r="E1053" s="3" t="n">
        <v>0.11</v>
      </c>
      <c r="F1053" s="3" t="n">
        <v>0.22</v>
      </c>
      <c r="G1053" s="3">
        <f>F1053-E1053</f>
        <v/>
      </c>
      <c r="H1053" s="4">
        <f>IF(E1053=0,"",F1053/E1053-1)</f>
        <v/>
      </c>
      <c r="I1053" t="inlineStr"/>
    </row>
    <row r="1054">
      <c r="A1054" t="inlineStr">
        <is>
          <t>Machinery &amp; electronics</t>
        </is>
      </c>
      <c r="B1054" t="inlineStr">
        <is>
          <t>85</t>
        </is>
      </c>
      <c r="C1054" t="inlineStr">
        <is>
          <t>85168000</t>
        </is>
      </c>
      <c r="D1054" t="inlineStr">
        <is>
          <t>ELECTRIC HEATING RESISTORS</t>
        </is>
      </c>
      <c r="E1054" s="3" t="n">
        <v>0.14</v>
      </c>
      <c r="F1054" s="3" t="n">
        <v>0.22</v>
      </c>
      <c r="G1054" s="3">
        <f>F1054-E1054</f>
        <v/>
      </c>
      <c r="H1054" s="4">
        <f>IF(E1054=0,"",F1054/E1054-1)</f>
        <v/>
      </c>
      <c r="I1054" t="inlineStr"/>
    </row>
    <row r="1055">
      <c r="A1055" t="inlineStr">
        <is>
          <t>Machinery &amp; electronics</t>
        </is>
      </c>
      <c r="B1055" t="inlineStr">
        <is>
          <t>85</t>
        </is>
      </c>
      <c r="C1055" t="inlineStr">
        <is>
          <t>85176250</t>
        </is>
      </c>
      <c r="D1055" t="inlineStr">
        <is>
          <t>DIGITAL LOOP CARRIER SYSTEM (DLC)</t>
        </is>
      </c>
      <c r="E1055" s="3" t="n">
        <v>0.12</v>
      </c>
      <c r="F1055" s="3" t="n">
        <v>0.22</v>
      </c>
      <c r="G1055" s="3">
        <f>F1055-E1055</f>
        <v/>
      </c>
      <c r="H1055" s="4">
        <f>IF(E1055=0,"",F1055/E1055-1)</f>
        <v/>
      </c>
      <c r="I1055" t="inlineStr"/>
    </row>
    <row r="1056">
      <c r="A1056" t="inlineStr">
        <is>
          <t>Machinery &amp; electronics</t>
        </is>
      </c>
      <c r="B1056" t="inlineStr">
        <is>
          <t>85</t>
        </is>
      </c>
      <c r="C1056" t="inlineStr">
        <is>
          <t>85182190</t>
        </is>
      </c>
      <c r="D1056" t="inlineStr">
        <is>
          <t>OTHER SINGLE LOUDSPEKERS,MOUNTD IN THR ENCLSRS</t>
        </is>
      </c>
      <c r="E1056" s="3" t="n">
        <v>0</v>
      </c>
      <c r="F1056" s="3" t="n">
        <v>0.22</v>
      </c>
      <c r="G1056" s="3">
        <f>F1056-E1056</f>
        <v/>
      </c>
      <c r="H1056" s="4">
        <f>IF(E1056=0,"",F1056/E1056-1)</f>
        <v/>
      </c>
      <c r="I1056" t="inlineStr"/>
    </row>
    <row r="1057">
      <c r="A1057" t="inlineStr">
        <is>
          <t>Machinery &amp; electronics</t>
        </is>
      </c>
      <c r="B1057" t="inlineStr">
        <is>
          <t>85</t>
        </is>
      </c>
      <c r="C1057" t="inlineStr">
        <is>
          <t>85322200</t>
        </is>
      </c>
      <c r="D1057" t="inlineStr">
        <is>
          <t>OTHR FXD CAPACITORS,ALMNM ELECTRLYTC</t>
        </is>
      </c>
      <c r="E1057" s="3" t="n">
        <v>0.1</v>
      </c>
      <c r="F1057" s="3" t="n">
        <v>0.22</v>
      </c>
      <c r="G1057" s="3">
        <f>F1057-E1057</f>
        <v/>
      </c>
      <c r="H1057" s="4">
        <f>IF(E1057=0,"",F1057/E1057-1)</f>
        <v/>
      </c>
      <c r="I1057" t="inlineStr"/>
    </row>
    <row r="1058">
      <c r="A1058" t="inlineStr">
        <is>
          <t>Machinery &amp; electronics</t>
        </is>
      </c>
      <c r="B1058" t="inlineStr">
        <is>
          <t>85</t>
        </is>
      </c>
      <c r="C1058" t="inlineStr">
        <is>
          <t>85129000</t>
        </is>
      </c>
      <c r="D1058" t="inlineStr">
        <is>
          <t>PARTS OF ELCTRCL LIGHTNG/SIGNALNG EQUIP</t>
        </is>
      </c>
      <c r="E1058" s="3" t="n">
        <v>0.59</v>
      </c>
      <c r="F1058" s="3" t="n">
        <v>0.21</v>
      </c>
      <c r="G1058" s="3">
        <f>F1058-E1058</f>
        <v/>
      </c>
      <c r="H1058" s="4">
        <f>IF(E1058=0,"",F1058/E1058-1)</f>
        <v/>
      </c>
      <c r="I1058" t="inlineStr"/>
    </row>
    <row r="1059">
      <c r="A1059" t="inlineStr">
        <is>
          <t>Machinery &amp; electronics</t>
        </is>
      </c>
      <c r="B1059" t="inlineStr">
        <is>
          <t>85</t>
        </is>
      </c>
      <c r="C1059" t="inlineStr">
        <is>
          <t>85361020</t>
        </is>
      </c>
      <c r="D1059" t="inlineStr">
        <is>
          <t>SWTCH FUSE UNITSOF SWTCH RATING ABOVE 15 AMPS HIGH RUPTRNG CAPACITY/REWIREABLE</t>
        </is>
      </c>
      <c r="E1059" s="3" t="n">
        <v>0.19</v>
      </c>
      <c r="F1059" s="3" t="n">
        <v>0.21</v>
      </c>
      <c r="G1059" s="3">
        <f>F1059-E1059</f>
        <v/>
      </c>
      <c r="H1059" s="4">
        <f>IF(E1059=0,"",F1059/E1059-1)</f>
        <v/>
      </c>
      <c r="I1059" t="inlineStr"/>
    </row>
    <row r="1060">
      <c r="A1060" t="inlineStr">
        <is>
          <t>Machinery &amp; electronics</t>
        </is>
      </c>
      <c r="B1060" t="inlineStr">
        <is>
          <t>85</t>
        </is>
      </c>
      <c r="C1060" t="inlineStr">
        <is>
          <t>85442090</t>
        </is>
      </c>
      <c r="D1060" t="inlineStr">
        <is>
          <t>OTHR CO-AXL ELCTRCL CNDUCTORS EXCL CO-AXL CABLE</t>
        </is>
      </c>
      <c r="E1060" s="3" t="n">
        <v>0.08</v>
      </c>
      <c r="F1060" s="3" t="n">
        <v>0.21</v>
      </c>
      <c r="G1060" s="3">
        <f>F1060-E1060</f>
        <v/>
      </c>
      <c r="H1060" s="4">
        <f>IF(E1060=0,"",F1060/E1060-1)</f>
        <v/>
      </c>
      <c r="I1060" t="inlineStr"/>
    </row>
    <row r="1061">
      <c r="A1061" t="inlineStr">
        <is>
          <t>Machinery &amp; electronics</t>
        </is>
      </c>
      <c r="B1061" t="inlineStr">
        <is>
          <t>84</t>
        </is>
      </c>
      <c r="C1061" t="inlineStr">
        <is>
          <t>84212120</t>
        </is>
      </c>
      <c r="D1061" t="inlineStr">
        <is>
          <t>HOUSEHOLD TYPE FILTERS</t>
        </is>
      </c>
      <c r="E1061" s="3" t="n">
        <v>0.24</v>
      </c>
      <c r="F1061" s="3" t="n">
        <v>0.2</v>
      </c>
      <c r="G1061" s="3">
        <f>F1061-E1061</f>
        <v/>
      </c>
      <c r="H1061" s="4">
        <f>IF(E1061=0,"",F1061/E1061-1)</f>
        <v/>
      </c>
      <c r="I1061" t="inlineStr"/>
    </row>
    <row r="1062">
      <c r="A1062" t="inlineStr">
        <is>
          <t>Machinery &amp; electronics</t>
        </is>
      </c>
      <c r="B1062" t="inlineStr">
        <is>
          <t>84</t>
        </is>
      </c>
      <c r="C1062" t="inlineStr">
        <is>
          <t>84596990</t>
        </is>
      </c>
      <c r="D1062" t="inlineStr">
        <is>
          <t>OTHERS-OF-OTHER MILLING MACHINES NOT NUMERICALLYCONTROLLED</t>
        </is>
      </c>
      <c r="E1062" s="3" t="n">
        <v>0</v>
      </c>
      <c r="F1062" s="3" t="n">
        <v>0.2</v>
      </c>
      <c r="G1062" s="3">
        <f>F1062-E1062</f>
        <v/>
      </c>
      <c r="H1062" s="4">
        <f>IF(E1062=0,"",F1062/E1062-1)</f>
        <v/>
      </c>
      <c r="I1062" t="inlineStr"/>
    </row>
    <row r="1063">
      <c r="A1063" t="inlineStr">
        <is>
          <t>Machinery &amp; electronics</t>
        </is>
      </c>
      <c r="B1063" t="inlineStr">
        <is>
          <t>84</t>
        </is>
      </c>
      <c r="C1063" t="inlineStr">
        <is>
          <t>84615013</t>
        </is>
      </c>
      <c r="D1063" t="inlineStr">
        <is>
          <t>CIRCULAR SAW,COLD</t>
        </is>
      </c>
      <c r="E1063" s="3" t="n">
        <v>0</v>
      </c>
      <c r="F1063" s="3" t="n">
        <v>0.2</v>
      </c>
      <c r="G1063" s="3">
        <f>F1063-E1063</f>
        <v/>
      </c>
      <c r="H1063" s="4">
        <f>IF(E1063=0,"",F1063/E1063-1)</f>
        <v/>
      </c>
      <c r="I1063" t="inlineStr"/>
    </row>
    <row r="1064">
      <c r="A1064" t="inlineStr">
        <is>
          <t>Machinery &amp; electronics</t>
        </is>
      </c>
      <c r="B1064" t="inlineStr">
        <is>
          <t>84</t>
        </is>
      </c>
      <c r="C1064" t="inlineStr">
        <is>
          <t>84624900</t>
        </is>
      </c>
      <c r="D1064" t="inlineStr">
        <is>
          <t>OTHERS-OF-OTHR PNCHNG/NOTCHNG MCHNS(INCL PRSSES), INCL COMBND PUNCHNG AND SHEARNG MCHNS</t>
        </is>
      </c>
      <c r="E1064" s="3" t="n">
        <v>0.39</v>
      </c>
      <c r="F1064" s="3" t="n">
        <v>0.2</v>
      </c>
      <c r="G1064" s="3">
        <f>F1064-E1064</f>
        <v/>
      </c>
      <c r="H1064" s="4">
        <f>IF(E1064=0,"",F1064/E1064-1)</f>
        <v/>
      </c>
      <c r="I1064" t="inlineStr"/>
    </row>
    <row r="1065">
      <c r="A1065" t="inlineStr">
        <is>
          <t>Machinery &amp; electronics</t>
        </is>
      </c>
      <c r="B1065" t="inlineStr">
        <is>
          <t>85</t>
        </is>
      </c>
      <c r="C1065" t="inlineStr">
        <is>
          <t>85444910</t>
        </is>
      </c>
      <c r="D1065" t="inlineStr">
        <is>
          <t>PAPR INSLTD CNDCTRS FR &lt;=1000 V NOT FITTED WITH CONNECTORS</t>
        </is>
      </c>
      <c r="E1065" s="3" t="n">
        <v>2.54</v>
      </c>
      <c r="F1065" s="3" t="n">
        <v>0.2</v>
      </c>
      <c r="G1065" s="3">
        <f>F1065-E1065</f>
        <v/>
      </c>
      <c r="H1065" s="4">
        <f>IF(E1065=0,"",F1065/E1065-1)</f>
        <v/>
      </c>
      <c r="I1065" t="inlineStr"/>
    </row>
    <row r="1066">
      <c r="A1066" t="inlineStr">
        <is>
          <t>Machinery &amp; electronics</t>
        </is>
      </c>
      <c r="B1066" t="inlineStr">
        <is>
          <t>84</t>
        </is>
      </c>
      <c r="C1066" t="inlineStr">
        <is>
          <t>84051020</t>
        </is>
      </c>
      <c r="D1066" t="inlineStr">
        <is>
          <t>ACETYLENE GAS GENERATORS (WATER PROCESS)</t>
        </is>
      </c>
      <c r="E1066" s="3" t="n">
        <v>0.82</v>
      </c>
      <c r="F1066" s="3" t="n">
        <v>0.19</v>
      </c>
      <c r="G1066" s="3">
        <f>F1066-E1066</f>
        <v/>
      </c>
      <c r="H1066" s="4">
        <f>IF(E1066=0,"",F1066/E1066-1)</f>
        <v/>
      </c>
      <c r="I1066" t="inlineStr"/>
    </row>
    <row r="1067">
      <c r="A1067" t="inlineStr">
        <is>
          <t>Machinery &amp; electronics</t>
        </is>
      </c>
      <c r="B1067" t="inlineStr">
        <is>
          <t>84</t>
        </is>
      </c>
      <c r="C1067" t="inlineStr">
        <is>
          <t>84145110</t>
        </is>
      </c>
      <c r="D1067" t="inlineStr">
        <is>
          <t>TABLE FANS</t>
        </is>
      </c>
      <c r="E1067" s="3" t="n">
        <v>0.15</v>
      </c>
      <c r="F1067" s="3" t="n">
        <v>0.19</v>
      </c>
      <c r="G1067" s="3">
        <f>F1067-E1067</f>
        <v/>
      </c>
      <c r="H1067" s="4">
        <f>IF(E1067=0,"",F1067/E1067-1)</f>
        <v/>
      </c>
      <c r="I1067" t="inlineStr"/>
    </row>
    <row r="1068">
      <c r="A1068" t="inlineStr">
        <is>
          <t>Machinery &amp; electronics</t>
        </is>
      </c>
      <c r="B1068" t="inlineStr">
        <is>
          <t>84</t>
        </is>
      </c>
      <c r="C1068" t="inlineStr">
        <is>
          <t>84312010</t>
        </is>
      </c>
      <c r="D1068" t="inlineStr">
        <is>
          <t>PRTS OF FORK LIFT TRUCKS</t>
        </is>
      </c>
      <c r="E1068" s="3" t="n">
        <v>0.17</v>
      </c>
      <c r="F1068" s="3" t="n">
        <v>0.19</v>
      </c>
      <c r="G1068" s="3">
        <f>F1068-E1068</f>
        <v/>
      </c>
      <c r="H1068" s="4">
        <f>IF(E1068=0,"",F1068/E1068-1)</f>
        <v/>
      </c>
      <c r="I1068" t="inlineStr"/>
    </row>
    <row r="1069">
      <c r="A1069" t="inlineStr">
        <is>
          <t>Machinery &amp; electronics</t>
        </is>
      </c>
      <c r="B1069" t="inlineStr">
        <is>
          <t>84</t>
        </is>
      </c>
      <c r="C1069" t="inlineStr">
        <is>
          <t>84413000</t>
        </is>
      </c>
      <c r="D1069" t="inlineStr">
        <is>
          <t>MCHNS FR MKNG CARTONS,BOXES,CASES,TUBES, DRUMS/SMLR CONTNRS,OTHR THAN BY MOULDING</t>
        </is>
      </c>
      <c r="E1069" s="3" t="n">
        <v>0.22</v>
      </c>
      <c r="F1069" s="3" t="n">
        <v>0.19</v>
      </c>
      <c r="G1069" s="3">
        <f>F1069-E1069</f>
        <v/>
      </c>
      <c r="H1069" s="4">
        <f>IF(E1069=0,"",F1069/E1069-1)</f>
        <v/>
      </c>
      <c r="I1069" t="inlineStr"/>
    </row>
    <row r="1070">
      <c r="A1070" t="inlineStr">
        <is>
          <t>Machinery &amp; electronics</t>
        </is>
      </c>
      <c r="B1070" t="inlineStr">
        <is>
          <t>84</t>
        </is>
      </c>
      <c r="C1070" t="inlineStr">
        <is>
          <t>84439959</t>
        </is>
      </c>
      <c r="D1070" t="inlineStr">
        <is>
          <t>OTHER PARTS AND ACCESSORIES OF GOODS OF SUB-HEADING 844331, 844332</t>
        </is>
      </c>
      <c r="E1070" s="3" t="n">
        <v>0.03</v>
      </c>
      <c r="F1070" s="3" t="n">
        <v>0.19</v>
      </c>
      <c r="G1070" s="3">
        <f>F1070-E1070</f>
        <v/>
      </c>
      <c r="H1070" s="4">
        <f>IF(E1070=0,"",F1070/E1070-1)</f>
        <v/>
      </c>
      <c r="I1070" t="inlineStr"/>
    </row>
    <row r="1071">
      <c r="A1071" t="inlineStr">
        <is>
          <t>Machinery &amp; electronics</t>
        </is>
      </c>
      <c r="B1071" t="inlineStr">
        <is>
          <t>84</t>
        </is>
      </c>
      <c r="C1071" t="inlineStr">
        <is>
          <t>84615011</t>
        </is>
      </c>
      <c r="D1071" t="inlineStr">
        <is>
          <t>BAND SAW,HORIZONTAL</t>
        </is>
      </c>
      <c r="E1071" s="3" t="n">
        <v>0.2</v>
      </c>
      <c r="F1071" s="3" t="n">
        <v>0.19</v>
      </c>
      <c r="G1071" s="3">
        <f>F1071-E1071</f>
        <v/>
      </c>
      <c r="H1071" s="4">
        <f>IF(E1071=0,"",F1071/E1071-1)</f>
        <v/>
      </c>
      <c r="I1071" t="inlineStr"/>
    </row>
    <row r="1072">
      <c r="A1072" t="inlineStr">
        <is>
          <t>Machinery &amp; electronics</t>
        </is>
      </c>
      <c r="B1072" t="inlineStr">
        <is>
          <t>84</t>
        </is>
      </c>
      <c r="C1072" t="inlineStr">
        <is>
          <t>84133090</t>
        </is>
      </c>
      <c r="D1072" t="inlineStr">
        <is>
          <t>OTHER FUEL, LUBRICATING OR COOLING MEDIUM PUMPS</t>
        </is>
      </c>
      <c r="E1072" s="3" t="n">
        <v>0.26</v>
      </c>
      <c r="F1072" s="3" t="n">
        <v>0.18</v>
      </c>
      <c r="G1072" s="3">
        <f>F1072-E1072</f>
        <v/>
      </c>
      <c r="H1072" s="4">
        <f>IF(E1072=0,"",F1072/E1072-1)</f>
        <v/>
      </c>
      <c r="I1072" t="inlineStr"/>
    </row>
    <row r="1073">
      <c r="A1073" t="inlineStr">
        <is>
          <t>Machinery &amp; electronics</t>
        </is>
      </c>
      <c r="B1073" t="inlineStr">
        <is>
          <t>84</t>
        </is>
      </c>
      <c r="C1073" t="inlineStr">
        <is>
          <t>84221900</t>
        </is>
      </c>
      <c r="D1073" t="inlineStr">
        <is>
          <t>OTHR DISH WASHING MACHINES</t>
        </is>
      </c>
      <c r="E1073" s="3" t="n">
        <v>0.38</v>
      </c>
      <c r="F1073" s="3" t="n">
        <v>0.18</v>
      </c>
      <c r="G1073" s="3">
        <f>F1073-E1073</f>
        <v/>
      </c>
      <c r="H1073" s="4">
        <f>IF(E1073=0,"",F1073/E1073-1)</f>
        <v/>
      </c>
      <c r="I1073" t="inlineStr"/>
    </row>
    <row r="1074">
      <c r="A1074" t="inlineStr">
        <is>
          <t>Machinery &amp; electronics</t>
        </is>
      </c>
      <c r="B1074" t="inlineStr">
        <is>
          <t>84</t>
        </is>
      </c>
      <c r="C1074" t="inlineStr">
        <is>
          <t>84238900</t>
        </is>
      </c>
      <c r="D1074" t="inlineStr">
        <is>
          <t>OTHER WEIGHING MACHINERY</t>
        </is>
      </c>
      <c r="E1074" s="3" t="n">
        <v>0.11</v>
      </c>
      <c r="F1074" s="3" t="n">
        <v>0.17</v>
      </c>
      <c r="G1074" s="3">
        <f>F1074-E1074</f>
        <v/>
      </c>
      <c r="H1074" s="4">
        <f>IF(E1074=0,"",F1074/E1074-1)</f>
        <v/>
      </c>
      <c r="I1074" t="inlineStr"/>
    </row>
    <row r="1075">
      <c r="A1075" t="inlineStr">
        <is>
          <t>Machinery &amp; electronics</t>
        </is>
      </c>
      <c r="B1075" t="inlineStr">
        <is>
          <t>84</t>
        </is>
      </c>
      <c r="C1075" t="inlineStr">
        <is>
          <t>84312090</t>
        </is>
      </c>
      <c r="D1075" t="inlineStr">
        <is>
          <t>PRTS OF OTHERS</t>
        </is>
      </c>
      <c r="E1075" s="3" t="n">
        <v>0.19</v>
      </c>
      <c r="F1075" s="3" t="n">
        <v>0.17</v>
      </c>
      <c r="G1075" s="3">
        <f>F1075-E1075</f>
        <v/>
      </c>
      <c r="H1075" s="4">
        <f>IF(E1075=0,"",F1075/E1075-1)</f>
        <v/>
      </c>
      <c r="I1075" t="inlineStr"/>
    </row>
    <row r="1076">
      <c r="A1076" t="inlineStr">
        <is>
          <t>Machinery &amp; electronics</t>
        </is>
      </c>
      <c r="B1076" t="inlineStr">
        <is>
          <t>84</t>
        </is>
      </c>
      <c r="C1076" t="inlineStr">
        <is>
          <t>84490090</t>
        </is>
      </c>
      <c r="D1076" t="inlineStr">
        <is>
          <t>OTHER MACHINERY OF HEADING 8449</t>
        </is>
      </c>
      <c r="E1076" s="3" t="n">
        <v>0.02</v>
      </c>
      <c r="F1076" s="3" t="n">
        <v>0.17</v>
      </c>
      <c r="G1076" s="3">
        <f>F1076-E1076</f>
        <v/>
      </c>
      <c r="H1076" s="4">
        <f>IF(E1076=0,"",F1076/E1076-1)</f>
        <v/>
      </c>
      <c r="I1076" t="inlineStr"/>
    </row>
    <row r="1077">
      <c r="A1077" t="inlineStr">
        <is>
          <t>Machinery &amp; electronics</t>
        </is>
      </c>
      <c r="B1077" t="inlineStr">
        <is>
          <t>84</t>
        </is>
      </c>
      <c r="C1077" t="inlineStr">
        <is>
          <t>84593100</t>
        </is>
      </c>
      <c r="D1077" t="inlineStr">
        <is>
          <t>BORING-MILLING MCHNS,NUMRCLY CNTRLLD</t>
        </is>
      </c>
      <c r="E1077" s="3" t="n">
        <v>0</v>
      </c>
      <c r="F1077" s="3" t="n">
        <v>0.17</v>
      </c>
      <c r="G1077" s="3">
        <f>F1077-E1077</f>
        <v/>
      </c>
      <c r="H1077" s="4">
        <f>IF(E1077=0,"",F1077/E1077-1)</f>
        <v/>
      </c>
      <c r="I1077" t="inlineStr"/>
    </row>
    <row r="1078">
      <c r="A1078" t="inlineStr">
        <is>
          <t>Machinery &amp; electronics</t>
        </is>
      </c>
      <c r="B1078" t="inlineStr">
        <is>
          <t>84</t>
        </is>
      </c>
      <c r="C1078" t="inlineStr">
        <is>
          <t>84709010</t>
        </is>
      </c>
      <c r="D1078" t="inlineStr">
        <is>
          <t>ELECTRICALLY OPARATED ACCOUNTING MACHINES</t>
        </is>
      </c>
      <c r="E1078" s="3" t="n">
        <v>0</v>
      </c>
      <c r="F1078" s="3" t="n">
        <v>0.17</v>
      </c>
      <c r="G1078" s="3">
        <f>F1078-E1078</f>
        <v/>
      </c>
      <c r="H1078" s="4">
        <f>IF(E1078=0,"",F1078/E1078-1)</f>
        <v/>
      </c>
      <c r="I1078" t="inlineStr"/>
    </row>
    <row r="1079">
      <c r="A1079" t="inlineStr">
        <is>
          <t>Machinery &amp; electronics</t>
        </is>
      </c>
      <c r="B1079" t="inlineStr">
        <is>
          <t>84</t>
        </is>
      </c>
      <c r="C1079" t="inlineStr">
        <is>
          <t>84807100</t>
        </is>
      </c>
      <c r="D1079" t="inlineStr">
        <is>
          <t>INJCTN/CMPRSN TYPE MOULDS FR RUBBR/PLSTCS</t>
        </is>
      </c>
      <c r="E1079" s="3" t="n">
        <v>10.37</v>
      </c>
      <c r="F1079" s="3" t="n">
        <v>0.17</v>
      </c>
      <c r="G1079" s="3">
        <f>F1079-E1079</f>
        <v/>
      </c>
      <c r="H1079" s="4">
        <f>IF(E1079=0,"",F1079/E1079-1)</f>
        <v/>
      </c>
      <c r="I1079" t="inlineStr"/>
    </row>
    <row r="1080">
      <c r="A1080" t="inlineStr">
        <is>
          <t>Machinery &amp; electronics</t>
        </is>
      </c>
      <c r="B1080" t="inlineStr">
        <is>
          <t>84</t>
        </is>
      </c>
      <c r="C1080" t="inlineStr">
        <is>
          <t>84821020</t>
        </is>
      </c>
      <c r="D1080" t="inlineStr">
        <is>
          <t>BALL BERNG(RADL TYP)EXCL ADTR BALL BERNG (RADL TYP)(SLF-ALIGNING BAL BERNG,N.E.S., SEPRABL BAL BERNGS,&lt;=50MM/2 INCHS BO</t>
        </is>
      </c>
      <c r="E1080" s="3" t="n">
        <v>0.2</v>
      </c>
      <c r="F1080" s="3" t="n">
        <v>0.17</v>
      </c>
      <c r="G1080" s="3">
        <f>F1080-E1080</f>
        <v/>
      </c>
      <c r="H1080" s="4">
        <f>IF(E1080=0,"",F1080/E1080-1)</f>
        <v/>
      </c>
      <c r="I1080" t="inlineStr"/>
    </row>
    <row r="1081">
      <c r="A1081" t="inlineStr">
        <is>
          <t>Machinery &amp; electronics</t>
        </is>
      </c>
      <c r="B1081" t="inlineStr">
        <is>
          <t>85</t>
        </is>
      </c>
      <c r="C1081" t="inlineStr">
        <is>
          <t>85015190</t>
        </is>
      </c>
      <c r="D1081" t="inlineStr">
        <is>
          <t>OTHER TYPES OF A.C. MOTORS</t>
        </is>
      </c>
      <c r="E1081" s="3" t="n">
        <v>1.82</v>
      </c>
      <c r="F1081" s="3" t="n">
        <v>0.17</v>
      </c>
      <c r="G1081" s="3">
        <f>F1081-E1081</f>
        <v/>
      </c>
      <c r="H1081" s="4">
        <f>IF(E1081=0,"",F1081/E1081-1)</f>
        <v/>
      </c>
      <c r="I1081" t="inlineStr"/>
    </row>
    <row r="1082">
      <c r="A1082" t="inlineStr">
        <is>
          <t>Machinery &amp; electronics</t>
        </is>
      </c>
      <c r="B1082" t="inlineStr">
        <is>
          <t>85</t>
        </is>
      </c>
      <c r="C1082" t="inlineStr">
        <is>
          <t>85423100</t>
        </is>
      </c>
      <c r="D1082" t="inlineStr">
        <is>
          <t>MONOLITHIC INTEGRATED CIRCUITS - DIGITAL</t>
        </is>
      </c>
      <c r="E1082" s="3" t="n">
        <v>0.14</v>
      </c>
      <c r="F1082" s="3" t="n">
        <v>0.17</v>
      </c>
      <c r="G1082" s="3">
        <f>F1082-E1082</f>
        <v/>
      </c>
      <c r="H1082" s="4">
        <f>IF(E1082=0,"",F1082/E1082-1)</f>
        <v/>
      </c>
      <c r="I1082" t="inlineStr"/>
    </row>
    <row r="1083">
      <c r="A1083" t="inlineStr">
        <is>
          <t>Machinery &amp; electronics</t>
        </is>
      </c>
      <c r="B1083" t="inlineStr">
        <is>
          <t>84</t>
        </is>
      </c>
      <c r="C1083" t="inlineStr">
        <is>
          <t>84133020</t>
        </is>
      </c>
      <c r="D1083" t="inlineStr">
        <is>
          <t>OIL PUMP</t>
        </is>
      </c>
      <c r="E1083" s="3" t="n">
        <v>0.02</v>
      </c>
      <c r="F1083" s="3" t="n">
        <v>0.16</v>
      </c>
      <c r="G1083" s="3">
        <f>F1083-E1083</f>
        <v/>
      </c>
      <c r="H1083" s="4">
        <f>IF(E1083=0,"",F1083/E1083-1)</f>
        <v/>
      </c>
      <c r="I1083" t="inlineStr"/>
    </row>
    <row r="1084">
      <c r="A1084" t="inlineStr">
        <is>
          <t>Machinery &amp; electronics</t>
        </is>
      </c>
      <c r="B1084" t="inlineStr">
        <is>
          <t>84</t>
        </is>
      </c>
      <c r="C1084" t="inlineStr">
        <is>
          <t>84211940</t>
        </is>
      </c>
      <c r="D1084" t="inlineStr">
        <is>
          <t>SELF CLEANING CENTRIFUGES</t>
        </is>
      </c>
      <c r="E1084" s="3" t="n">
        <v>0</v>
      </c>
      <c r="F1084" s="3" t="n">
        <v>0.16</v>
      </c>
      <c r="G1084" s="3">
        <f>F1084-E1084</f>
        <v/>
      </c>
      <c r="H1084" s="4">
        <f>IF(E1084=0,"",F1084/E1084-1)</f>
        <v/>
      </c>
      <c r="I1084" t="inlineStr"/>
    </row>
    <row r="1085">
      <c r="A1085" t="inlineStr">
        <is>
          <t>Machinery &amp; electronics</t>
        </is>
      </c>
      <c r="B1085" t="inlineStr">
        <is>
          <t>84</t>
        </is>
      </c>
      <c r="C1085" t="inlineStr">
        <is>
          <t>84368090</t>
        </is>
      </c>
      <c r="D1085" t="inlineStr">
        <is>
          <t>OTHRS(INCL BEE-KEEPNG MACHINERY)</t>
        </is>
      </c>
      <c r="E1085" s="3" t="n">
        <v>0.24</v>
      </c>
      <c r="F1085" s="3" t="n">
        <v>0.16</v>
      </c>
      <c r="G1085" s="3">
        <f>F1085-E1085</f>
        <v/>
      </c>
      <c r="H1085" s="4">
        <f>IF(E1085=0,"",F1085/E1085-1)</f>
        <v/>
      </c>
      <c r="I1085" t="inlineStr"/>
    </row>
    <row r="1086">
      <c r="A1086" t="inlineStr">
        <is>
          <t>Machinery &amp; electronics</t>
        </is>
      </c>
      <c r="B1086" t="inlineStr">
        <is>
          <t>84</t>
        </is>
      </c>
      <c r="C1086" t="inlineStr">
        <is>
          <t>84602990</t>
        </is>
      </c>
      <c r="D1086" t="inlineStr">
        <is>
          <t>OTHERS-OF-OTHERS-OF-MACHTOOLS FOR DEBURNG,SHARPN,GRINDG, POLISHING OR OTH FNSH METAL,OR CERMETS BY MEANS OF GRINDING STONES</t>
        </is>
      </c>
      <c r="E1086" s="3" t="n">
        <v>0.04</v>
      </c>
      <c r="F1086" s="3" t="n">
        <v>0.16</v>
      </c>
      <c r="G1086" s="3">
        <f>F1086-E1086</f>
        <v/>
      </c>
      <c r="H1086" s="4">
        <f>IF(E1086=0,"",F1086/E1086-1)</f>
        <v/>
      </c>
      <c r="I1086" t="inlineStr"/>
    </row>
    <row r="1087">
      <c r="A1087" t="inlineStr">
        <is>
          <t>Machinery &amp; electronics</t>
        </is>
      </c>
      <c r="B1087" t="inlineStr">
        <is>
          <t>84</t>
        </is>
      </c>
      <c r="C1087" t="inlineStr">
        <is>
          <t>84804900</t>
        </is>
      </c>
      <c r="D1087" t="inlineStr">
        <is>
          <t>OTHR MOULDS FR METAL/METAL CARBIDES</t>
        </is>
      </c>
      <c r="E1087" s="3" t="n">
        <v>0.31</v>
      </c>
      <c r="F1087" s="3" t="n">
        <v>0.16</v>
      </c>
      <c r="G1087" s="3">
        <f>F1087-E1087</f>
        <v/>
      </c>
      <c r="H1087" s="4">
        <f>IF(E1087=0,"",F1087/E1087-1)</f>
        <v/>
      </c>
      <c r="I1087" t="inlineStr"/>
    </row>
    <row r="1088">
      <c r="A1088" t="inlineStr">
        <is>
          <t>Machinery &amp; electronics</t>
        </is>
      </c>
      <c r="B1088" t="inlineStr">
        <is>
          <t>84</t>
        </is>
      </c>
      <c r="C1088" t="inlineStr">
        <is>
          <t>84825000</t>
        </is>
      </c>
      <c r="D1088" t="inlineStr">
        <is>
          <t>Other cylindrical roller bearings, including cage and roller assemblies</t>
        </is>
      </c>
      <c r="E1088" s="3" t="n">
        <v>0.68</v>
      </c>
      <c r="F1088" s="3" t="n">
        <v>0.16</v>
      </c>
      <c r="G1088" s="3">
        <f>F1088-E1088</f>
        <v/>
      </c>
      <c r="H1088" s="4">
        <f>IF(E1088=0,"",F1088/E1088-1)</f>
        <v/>
      </c>
      <c r="I1088" t="inlineStr"/>
    </row>
    <row r="1089">
      <c r="A1089" t="inlineStr">
        <is>
          <t>Machinery &amp; electronics</t>
        </is>
      </c>
      <c r="B1089" t="inlineStr">
        <is>
          <t>84</t>
        </is>
      </c>
      <c r="C1089" t="inlineStr">
        <is>
          <t>84828000</t>
        </is>
      </c>
      <c r="D1089" t="inlineStr">
        <is>
          <t>OTHR BALL OR ROLLER BEARINGS INCL CMBIND BALL/RLLR BEARNGS</t>
        </is>
      </c>
      <c r="E1089" s="3" t="n">
        <v>0.28</v>
      </c>
      <c r="F1089" s="3" t="n">
        <v>0.16</v>
      </c>
      <c r="G1089" s="3">
        <f>F1089-E1089</f>
        <v/>
      </c>
      <c r="H1089" s="4">
        <f>IF(E1089=0,"",F1089/E1089-1)</f>
        <v/>
      </c>
      <c r="I1089" t="inlineStr"/>
    </row>
    <row r="1090">
      <c r="A1090" t="inlineStr">
        <is>
          <t>Machinery &amp; electronics</t>
        </is>
      </c>
      <c r="B1090" t="inlineStr">
        <is>
          <t>85</t>
        </is>
      </c>
      <c r="C1090" t="inlineStr">
        <is>
          <t>85011019</t>
        </is>
      </c>
      <c r="D1090" t="inlineStr">
        <is>
          <t>OTHER MOTOR WTH OUTPUT &lt;=37.5 W</t>
        </is>
      </c>
      <c r="E1090" s="3" t="n">
        <v>0.35</v>
      </c>
      <c r="F1090" s="3" t="n">
        <v>0.16</v>
      </c>
      <c r="G1090" s="3">
        <f>F1090-E1090</f>
        <v/>
      </c>
      <c r="H1090" s="4">
        <f>IF(E1090=0,"",F1090/E1090-1)</f>
        <v/>
      </c>
      <c r="I1090" t="inlineStr"/>
    </row>
    <row r="1091">
      <c r="A1091" t="inlineStr">
        <is>
          <t>Machinery &amp; electronics</t>
        </is>
      </c>
      <c r="B1091" t="inlineStr">
        <is>
          <t>85</t>
        </is>
      </c>
      <c r="C1091" t="inlineStr">
        <is>
          <t>85030021</t>
        </is>
      </c>
      <c r="D1091" t="inlineStr">
        <is>
          <t>PARTS OF ELECTRIC MOTORS(DC)</t>
        </is>
      </c>
      <c r="E1091" s="3" t="n">
        <v>0.17</v>
      </c>
      <c r="F1091" s="3" t="n">
        <v>0.16</v>
      </c>
      <c r="G1091" s="3">
        <f>F1091-E1091</f>
        <v/>
      </c>
      <c r="H1091" s="4">
        <f>IF(E1091=0,"",F1091/E1091-1)</f>
        <v/>
      </c>
      <c r="I1091" t="inlineStr"/>
    </row>
    <row r="1092">
      <c r="A1092" t="inlineStr">
        <is>
          <t>Machinery &amp; electronics</t>
        </is>
      </c>
      <c r="B1092" t="inlineStr">
        <is>
          <t>85</t>
        </is>
      </c>
      <c r="C1092" t="inlineStr">
        <is>
          <t>85394900</t>
        </is>
      </c>
      <c r="D1092" t="inlineStr">
        <is>
          <t>OTHR ULTRA VIOLET OR INFRA-RED LAMPS</t>
        </is>
      </c>
      <c r="E1092" s="3" t="n">
        <v>0.09</v>
      </c>
      <c r="F1092" s="3" t="n">
        <v>0.16</v>
      </c>
      <c r="G1092" s="3">
        <f>F1092-E1092</f>
        <v/>
      </c>
      <c r="H1092" s="4">
        <f>IF(E1092=0,"",F1092/E1092-1)</f>
        <v/>
      </c>
      <c r="I1092" t="inlineStr"/>
    </row>
    <row r="1093">
      <c r="A1093" t="inlineStr">
        <is>
          <t>Machinery &amp; electronics</t>
        </is>
      </c>
      <c r="B1093" t="inlineStr">
        <is>
          <t>84</t>
        </is>
      </c>
      <c r="C1093" t="inlineStr">
        <is>
          <t>84021990</t>
        </is>
      </c>
      <c r="D1093" t="inlineStr">
        <is>
          <t>OTHERS-OF-OTHER VAPOUR GENERATING BOILERS, INCLUDING HYBRID BOILERS:</t>
        </is>
      </c>
      <c r="E1093" s="3" t="n">
        <v>0</v>
      </c>
      <c r="F1093" s="3" t="n">
        <v>0.15</v>
      </c>
      <c r="G1093" s="3">
        <f>F1093-E1093</f>
        <v/>
      </c>
      <c r="H1093" s="4">
        <f>IF(E1093=0,"",F1093/E1093-1)</f>
        <v/>
      </c>
      <c r="I1093" t="inlineStr"/>
    </row>
    <row r="1094">
      <c r="A1094" t="inlineStr">
        <is>
          <t>Machinery &amp; electronics</t>
        </is>
      </c>
      <c r="B1094" t="inlineStr">
        <is>
          <t>84</t>
        </is>
      </c>
      <c r="C1094" t="inlineStr">
        <is>
          <t>84133030</t>
        </is>
      </c>
      <c r="D1094" t="inlineStr">
        <is>
          <t>WATER PUMP</t>
        </is>
      </c>
      <c r="E1094" s="3" t="n">
        <v>0.07000000000000001</v>
      </c>
      <c r="F1094" s="3" t="n">
        <v>0.15</v>
      </c>
      <c r="G1094" s="3">
        <f>F1094-E1094</f>
        <v/>
      </c>
      <c r="H1094" s="4">
        <f>IF(E1094=0,"",F1094/E1094-1)</f>
        <v/>
      </c>
      <c r="I1094" t="inlineStr"/>
    </row>
    <row r="1095">
      <c r="A1095" t="inlineStr">
        <is>
          <t>Machinery &amp; electronics</t>
        </is>
      </c>
      <c r="B1095" t="inlineStr">
        <is>
          <t>84</t>
        </is>
      </c>
      <c r="C1095" t="inlineStr">
        <is>
          <t>84138130</t>
        </is>
      </c>
      <c r="D1095" t="inlineStr">
        <is>
          <t>AXIAL FLOW AND MIXED FLOW VERTICAL PUMP DESIGNED PRIMARILY FOR HANDLING WATER</t>
        </is>
      </c>
      <c r="E1095" s="3" t="n">
        <v>0.24</v>
      </c>
      <c r="F1095" s="3" t="n">
        <v>0.15</v>
      </c>
      <c r="G1095" s="3">
        <f>F1095-E1095</f>
        <v/>
      </c>
      <c r="H1095" s="4">
        <f>IF(E1095=0,"",F1095/E1095-1)</f>
        <v/>
      </c>
      <c r="I1095" t="inlineStr"/>
    </row>
    <row r="1096">
      <c r="A1096" t="inlineStr">
        <is>
          <t>Machinery &amp; electronics</t>
        </is>
      </c>
      <c r="B1096" t="inlineStr">
        <is>
          <t>84</t>
        </is>
      </c>
      <c r="C1096" t="inlineStr">
        <is>
          <t>84195092</t>
        </is>
      </c>
      <c r="D1096" t="inlineStr">
        <is>
          <t>Other Heat Exchange Units, Plate type</t>
        </is>
      </c>
      <c r="E1096" s="3" t="n">
        <v>0.99</v>
      </c>
      <c r="F1096" s="3" t="n">
        <v>0.15</v>
      </c>
      <c r="G1096" s="3">
        <f>F1096-E1096</f>
        <v/>
      </c>
      <c r="H1096" s="4">
        <f>IF(E1096=0,"",F1096/E1096-1)</f>
        <v/>
      </c>
      <c r="I1096" t="inlineStr"/>
    </row>
    <row r="1097">
      <c r="A1097" t="inlineStr">
        <is>
          <t>Machinery &amp; electronics</t>
        </is>
      </c>
      <c r="B1097" t="inlineStr">
        <is>
          <t>84</t>
        </is>
      </c>
      <c r="C1097" t="inlineStr">
        <is>
          <t>84198913</t>
        </is>
      </c>
      <c r="D1097" t="inlineStr">
        <is>
          <t>Other reactors</t>
        </is>
      </c>
      <c r="E1097" s="3" t="n">
        <v>0</v>
      </c>
      <c r="F1097" s="3" t="n">
        <v>0.15</v>
      </c>
      <c r="G1097" s="3">
        <f>F1097-E1097</f>
        <v/>
      </c>
      <c r="H1097" s="4">
        <f>IF(E1097=0,"",F1097/E1097-1)</f>
        <v/>
      </c>
      <c r="I1097" t="inlineStr"/>
    </row>
    <row r="1098">
      <c r="A1098" t="inlineStr">
        <is>
          <t>Machinery &amp; electronics</t>
        </is>
      </c>
      <c r="B1098" t="inlineStr">
        <is>
          <t>84</t>
        </is>
      </c>
      <c r="C1098" t="inlineStr">
        <is>
          <t>84399100</t>
        </is>
      </c>
      <c r="D1098" t="inlineStr">
        <is>
          <t>PARTS OF MACHINERY FOR MAKING PULP OF FIBROUS CELLULOSIC MATERIAL</t>
        </is>
      </c>
      <c r="E1098" s="3" t="n">
        <v>0.01</v>
      </c>
      <c r="F1098" s="3" t="n">
        <v>0.15</v>
      </c>
      <c r="G1098" s="3">
        <f>F1098-E1098</f>
        <v/>
      </c>
      <c r="H1098" s="4">
        <f>IF(E1098=0,"",F1098/E1098-1)</f>
        <v/>
      </c>
      <c r="I1098" t="inlineStr"/>
    </row>
    <row r="1099">
      <c r="A1099" t="inlineStr">
        <is>
          <t>Machinery &amp; electronics</t>
        </is>
      </c>
      <c r="B1099" t="inlineStr">
        <is>
          <t>84</t>
        </is>
      </c>
      <c r="C1099" t="inlineStr">
        <is>
          <t>84433910</t>
        </is>
      </c>
      <c r="D1099" t="inlineStr">
        <is>
          <t>INK-JET PRINTNG MACHINERY</t>
        </is>
      </c>
      <c r="E1099" s="3" t="n">
        <v>0.02</v>
      </c>
      <c r="F1099" s="3" t="n">
        <v>0.15</v>
      </c>
      <c r="G1099" s="3">
        <f>F1099-E1099</f>
        <v/>
      </c>
      <c r="H1099" s="4">
        <f>IF(E1099=0,"",F1099/E1099-1)</f>
        <v/>
      </c>
      <c r="I1099" t="inlineStr"/>
    </row>
    <row r="1100">
      <c r="A1100" t="inlineStr">
        <is>
          <t>Machinery &amp; electronics</t>
        </is>
      </c>
      <c r="B1100" t="inlineStr">
        <is>
          <t>84</t>
        </is>
      </c>
      <c r="C1100" t="inlineStr">
        <is>
          <t>84531000</t>
        </is>
      </c>
      <c r="D1100" t="inlineStr">
        <is>
          <t>MCHNRY FR PRPRNG,TANG/WRKNG HIDE,SKIN ETC</t>
        </is>
      </c>
      <c r="E1100" s="3" t="n">
        <v>0</v>
      </c>
      <c r="F1100" s="3" t="n">
        <v>0.15</v>
      </c>
      <c r="G1100" s="3">
        <f>F1100-E1100</f>
        <v/>
      </c>
      <c r="H1100" s="4">
        <f>IF(E1100=0,"",F1100/E1100-1)</f>
        <v/>
      </c>
      <c r="I1100" t="inlineStr"/>
    </row>
    <row r="1101">
      <c r="A1101" t="inlineStr">
        <is>
          <t>Machinery &amp; electronics</t>
        </is>
      </c>
      <c r="B1101" t="inlineStr">
        <is>
          <t>84</t>
        </is>
      </c>
      <c r="C1101" t="inlineStr">
        <is>
          <t>84651000</t>
        </is>
      </c>
      <c r="D1101" t="inlineStr">
        <is>
          <t>MACHINES WHICH CAN CARRY OUT DIFFERENT TYPES OF MACHINING OPERATIONS WITHOUT TOOLCHANGE BETWEEN SUCH OPERATIONS</t>
        </is>
      </c>
      <c r="E1101" s="3" t="n">
        <v>0.02</v>
      </c>
      <c r="F1101" s="3" t="n">
        <v>0.15</v>
      </c>
      <c r="G1101" s="3">
        <f>F1101-E1101</f>
        <v/>
      </c>
      <c r="H1101" s="4">
        <f>IF(E1101=0,"",F1101/E1101-1)</f>
        <v/>
      </c>
      <c r="I1101" t="inlineStr"/>
    </row>
    <row r="1102">
      <c r="A1102" t="inlineStr">
        <is>
          <t>Machinery &amp; electronics</t>
        </is>
      </c>
      <c r="B1102" t="inlineStr">
        <is>
          <t>85</t>
        </is>
      </c>
      <c r="C1102" t="inlineStr">
        <is>
          <t>85030029</t>
        </is>
      </c>
      <c r="D1102" t="inlineStr">
        <is>
          <t>PARTS OF ELECTRC MTRS OTHR THN DC</t>
        </is>
      </c>
      <c r="E1102" s="3" t="n">
        <v>0.03</v>
      </c>
      <c r="F1102" s="3" t="n">
        <v>0.15</v>
      </c>
      <c r="G1102" s="3">
        <f>F1102-E1102</f>
        <v/>
      </c>
      <c r="H1102" s="4">
        <f>IF(E1102=0,"",F1102/E1102-1)</f>
        <v/>
      </c>
      <c r="I1102" t="inlineStr"/>
    </row>
    <row r="1103">
      <c r="A1103" t="inlineStr">
        <is>
          <t>Machinery &amp; electronics</t>
        </is>
      </c>
      <c r="B1103" t="inlineStr">
        <is>
          <t>85</t>
        </is>
      </c>
      <c r="C1103" t="inlineStr">
        <is>
          <t>85119000</t>
        </is>
      </c>
      <c r="D1103" t="inlineStr">
        <is>
          <t>PARTS OF ARTICLS OF HDNG 8511</t>
        </is>
      </c>
      <c r="E1103" s="3" t="n">
        <v>0.3</v>
      </c>
      <c r="F1103" s="3" t="n">
        <v>0.15</v>
      </c>
      <c r="G1103" s="3">
        <f>F1103-E1103</f>
        <v/>
      </c>
      <c r="H1103" s="4">
        <f>IF(E1103=0,"",F1103/E1103-1)</f>
        <v/>
      </c>
      <c r="I1103" t="inlineStr"/>
    </row>
    <row r="1104">
      <c r="A1104" t="inlineStr">
        <is>
          <t>Machinery &amp; electronics</t>
        </is>
      </c>
      <c r="B1104" t="inlineStr">
        <is>
          <t>84</t>
        </is>
      </c>
      <c r="C1104" t="inlineStr">
        <is>
          <t>84099941</t>
        </is>
      </c>
      <c r="D1104" t="inlineStr">
        <is>
          <t>COMPONENT PARTS FOR DIESEL ENGINES FOR MOTOR VEHICLES,N.E.S.</t>
        </is>
      </c>
      <c r="E1104" s="3" t="n">
        <v>0.08</v>
      </c>
      <c r="F1104" s="3" t="n">
        <v>0.14</v>
      </c>
      <c r="G1104" s="3">
        <f>F1104-E1104</f>
        <v/>
      </c>
      <c r="H1104" s="4">
        <f>IF(E1104=0,"",F1104/E1104-1)</f>
        <v/>
      </c>
      <c r="I1104" t="inlineStr"/>
    </row>
    <row r="1105">
      <c r="A1105" t="inlineStr">
        <is>
          <t>Machinery &amp; electronics</t>
        </is>
      </c>
      <c r="B1105" t="inlineStr">
        <is>
          <t>84</t>
        </is>
      </c>
      <c r="C1105" t="inlineStr">
        <is>
          <t>84831092</t>
        </is>
      </c>
      <c r="D1105" t="inlineStr">
        <is>
          <t>CRANK SHAFT FOR ENGINES OF HEADING 8408</t>
        </is>
      </c>
      <c r="E1105" s="3" t="n">
        <v>0.02</v>
      </c>
      <c r="F1105" s="3" t="n">
        <v>0.14</v>
      </c>
      <c r="G1105" s="3">
        <f>F1105-E1105</f>
        <v/>
      </c>
      <c r="H1105" s="4">
        <f>IF(E1105=0,"",F1105/E1105-1)</f>
        <v/>
      </c>
      <c r="I1105" t="inlineStr"/>
    </row>
    <row r="1106">
      <c r="A1106" t="inlineStr">
        <is>
          <t>Machinery &amp; electronics</t>
        </is>
      </c>
      <c r="B1106" t="inlineStr">
        <is>
          <t>85</t>
        </is>
      </c>
      <c r="C1106" t="inlineStr">
        <is>
          <t>85015110</t>
        </is>
      </c>
      <c r="D1106" t="inlineStr">
        <is>
          <t>A.C. SQUIRREL CAGE INDUCTION MOTORS 3 PHASE TYPE</t>
        </is>
      </c>
      <c r="E1106" s="3" t="n">
        <v>0.07000000000000001</v>
      </c>
      <c r="F1106" s="3" t="n">
        <v>0.14</v>
      </c>
      <c r="G1106" s="3">
        <f>F1106-E1106</f>
        <v/>
      </c>
      <c r="H1106" s="4">
        <f>IF(E1106=0,"",F1106/E1106-1)</f>
        <v/>
      </c>
      <c r="I1106" t="inlineStr"/>
    </row>
    <row r="1107">
      <c r="A1107" t="inlineStr">
        <is>
          <t>Machinery &amp; electronics</t>
        </is>
      </c>
      <c r="B1107" t="inlineStr">
        <is>
          <t>85</t>
        </is>
      </c>
      <c r="C1107" t="inlineStr">
        <is>
          <t>85015220</t>
        </is>
      </c>
      <c r="D1107" t="inlineStr">
        <is>
          <t>A.C. SLIPRING MOTORS</t>
        </is>
      </c>
      <c r="E1107" s="3" t="n">
        <v>0.08</v>
      </c>
      <c r="F1107" s="3" t="n">
        <v>0.14</v>
      </c>
      <c r="G1107" s="3">
        <f>F1107-E1107</f>
        <v/>
      </c>
      <c r="H1107" s="4">
        <f>IF(E1107=0,"",F1107/E1107-1)</f>
        <v/>
      </c>
      <c r="I1107" t="inlineStr"/>
    </row>
    <row r="1108">
      <c r="A1108" t="inlineStr">
        <is>
          <t>Machinery &amp; electronics</t>
        </is>
      </c>
      <c r="B1108" t="inlineStr">
        <is>
          <t>85</t>
        </is>
      </c>
      <c r="C1108" t="inlineStr">
        <is>
          <t>85352112</t>
        </is>
      </c>
      <c r="D1108" t="inlineStr">
        <is>
          <t>SF6 CIRCUIT BREAKERS 33 KV</t>
        </is>
      </c>
      <c r="E1108" s="3" t="n">
        <v>0</v>
      </c>
      <c r="F1108" s="3" t="n">
        <v>0.14</v>
      </c>
      <c r="G1108" s="3">
        <f>F1108-E1108</f>
        <v/>
      </c>
      <c r="H1108" s="4">
        <f>IF(E1108=0,"",F1108/E1108-1)</f>
        <v/>
      </c>
      <c r="I1108" t="inlineStr"/>
    </row>
    <row r="1109">
      <c r="A1109" t="inlineStr">
        <is>
          <t>Machinery &amp; electronics</t>
        </is>
      </c>
      <c r="B1109" t="inlineStr">
        <is>
          <t>85</t>
        </is>
      </c>
      <c r="C1109" t="inlineStr">
        <is>
          <t>85366910</t>
        </is>
      </c>
      <c r="D1109" t="inlineStr">
        <is>
          <t>PLUGS AND SOCKETS OF PLSTCS</t>
        </is>
      </c>
      <c r="E1109" s="3" t="n">
        <v>0.12</v>
      </c>
      <c r="F1109" s="3" t="n">
        <v>0.14</v>
      </c>
      <c r="G1109" s="3">
        <f>F1109-E1109</f>
        <v/>
      </c>
      <c r="H1109" s="4">
        <f>IF(E1109=0,"",F1109/E1109-1)</f>
        <v/>
      </c>
      <c r="I1109" t="inlineStr"/>
    </row>
    <row r="1110">
      <c r="A1110" t="inlineStr">
        <is>
          <t>Machinery &amp; electronics</t>
        </is>
      </c>
      <c r="B1110" t="inlineStr">
        <is>
          <t>84</t>
        </is>
      </c>
      <c r="C1110" t="inlineStr">
        <is>
          <t>84089090</t>
        </is>
      </c>
      <c r="D1110" t="inlineStr">
        <is>
          <t>OTHERS-OF-OTHER ENGINES:</t>
        </is>
      </c>
      <c r="E1110" s="3" t="n">
        <v>0.07000000000000001</v>
      </c>
      <c r="F1110" s="3" t="n">
        <v>0.13</v>
      </c>
      <c r="G1110" s="3">
        <f>F1110-E1110</f>
        <v/>
      </c>
      <c r="H1110" s="4">
        <f>IF(E1110=0,"",F1110/E1110-1)</f>
        <v/>
      </c>
      <c r="I1110" t="inlineStr"/>
    </row>
    <row r="1111">
      <c r="A1111" t="inlineStr">
        <is>
          <t>Machinery &amp; electronics</t>
        </is>
      </c>
      <c r="B1111" t="inlineStr">
        <is>
          <t>84</t>
        </is>
      </c>
      <c r="C1111" t="inlineStr">
        <is>
          <t>84191190</t>
        </is>
      </c>
      <c r="D1111" t="inlineStr">
        <is>
          <t>NON-ELECTRICAL(OTHR THAN DOMESTIC TYPE)</t>
        </is>
      </c>
      <c r="E1111" s="3" t="n">
        <v>0.11</v>
      </c>
      <c r="F1111" s="3" t="n">
        <v>0.13</v>
      </c>
      <c r="G1111" s="3">
        <f>F1111-E1111</f>
        <v/>
      </c>
      <c r="H1111" s="4">
        <f>IF(E1111=0,"",F1111/E1111-1)</f>
        <v/>
      </c>
      <c r="I1111" t="inlineStr"/>
    </row>
    <row r="1112">
      <c r="A1112" t="inlineStr">
        <is>
          <t>Machinery &amp; electronics</t>
        </is>
      </c>
      <c r="B1112" t="inlineStr">
        <is>
          <t>84</t>
        </is>
      </c>
      <c r="C1112" t="inlineStr">
        <is>
          <t>84322990</t>
        </is>
      </c>
      <c r="D1112" t="inlineStr">
        <is>
          <t>OTHERS-OF-OTHR(HARROWS,SCRFRS,CLTVTRS,WEEDRS AND HOES)</t>
        </is>
      </c>
      <c r="E1112" s="3" t="n">
        <v>0.02</v>
      </c>
      <c r="F1112" s="3" t="n">
        <v>0.13</v>
      </c>
      <c r="G1112" s="3">
        <f>F1112-E1112</f>
        <v/>
      </c>
      <c r="H1112" s="4">
        <f>IF(E1112=0,"",F1112/E1112-1)</f>
        <v/>
      </c>
      <c r="I1112" t="inlineStr"/>
    </row>
    <row r="1113">
      <c r="A1113" t="inlineStr">
        <is>
          <t>Machinery &amp; electronics</t>
        </is>
      </c>
      <c r="B1113" t="inlineStr">
        <is>
          <t>84</t>
        </is>
      </c>
      <c r="C1113" t="inlineStr">
        <is>
          <t>84329010</t>
        </is>
      </c>
      <c r="D1113" t="inlineStr">
        <is>
          <t>PRTS OF AGRCLTRL MCHNRY FLLNG WTHN HDG NOS843210,843221,843229,843230 AND 843240</t>
        </is>
      </c>
      <c r="E1113" s="3" t="n">
        <v>0.05</v>
      </c>
      <c r="F1113" s="3" t="n">
        <v>0.13</v>
      </c>
      <c r="G1113" s="3">
        <f>F1113-E1113</f>
        <v/>
      </c>
      <c r="H1113" s="4">
        <f>IF(E1113=0,"",F1113/E1113-1)</f>
        <v/>
      </c>
      <c r="I1113" t="inlineStr"/>
    </row>
    <row r="1114">
      <c r="A1114" t="inlineStr">
        <is>
          <t>Machinery &amp; electronics</t>
        </is>
      </c>
      <c r="B1114" t="inlineStr">
        <is>
          <t>84</t>
        </is>
      </c>
      <c r="C1114" t="inlineStr">
        <is>
          <t>84329090</t>
        </is>
      </c>
      <c r="D1114" t="inlineStr">
        <is>
          <t>PARTS OF OTHER AGRICULTURAL AND HORTICULTURAL MACHINERY OF HDG NO 843280</t>
        </is>
      </c>
      <c r="E1114" s="3" t="n">
        <v>0.04</v>
      </c>
      <c r="F1114" s="3" t="n">
        <v>0.13</v>
      </c>
      <c r="G1114" s="3">
        <f>F1114-E1114</f>
        <v/>
      </c>
      <c r="H1114" s="4">
        <f>IF(E1114=0,"",F1114/E1114-1)</f>
        <v/>
      </c>
      <c r="I1114" t="inlineStr"/>
    </row>
    <row r="1115">
      <c r="A1115" t="inlineStr">
        <is>
          <t>Machinery &amp; electronics</t>
        </is>
      </c>
      <c r="B1115" t="inlineStr">
        <is>
          <t>84</t>
        </is>
      </c>
      <c r="C1115" t="inlineStr">
        <is>
          <t>84671110</t>
        </is>
      </c>
      <c r="D1115" t="inlineStr">
        <is>
          <t>PNEUMATIC DRILLS</t>
        </is>
      </c>
      <c r="E1115" s="3" t="n">
        <v>0.53</v>
      </c>
      <c r="F1115" s="3" t="n">
        <v>0.13</v>
      </c>
      <c r="G1115" s="3">
        <f>F1115-E1115</f>
        <v/>
      </c>
      <c r="H1115" s="4">
        <f>IF(E1115=0,"",F1115/E1115-1)</f>
        <v/>
      </c>
      <c r="I1115" t="inlineStr"/>
    </row>
    <row r="1116">
      <c r="A1116" t="inlineStr">
        <is>
          <t>Machinery &amp; electronics</t>
        </is>
      </c>
      <c r="B1116" t="inlineStr">
        <is>
          <t>84</t>
        </is>
      </c>
      <c r="C1116" t="inlineStr">
        <is>
          <t>84671120</t>
        </is>
      </c>
      <c r="D1116" t="inlineStr">
        <is>
          <t>PNEUMATIC HAMMERS</t>
        </is>
      </c>
      <c r="E1116" s="3" t="n">
        <v>0.1</v>
      </c>
      <c r="F1116" s="3" t="n">
        <v>0.13</v>
      </c>
      <c r="G1116" s="3">
        <f>F1116-E1116</f>
        <v/>
      </c>
      <c r="H1116" s="4">
        <f>IF(E1116=0,"",F1116/E1116-1)</f>
        <v/>
      </c>
      <c r="I1116" t="inlineStr"/>
    </row>
    <row r="1117">
      <c r="A1117" t="inlineStr">
        <is>
          <t>Machinery &amp; electronics</t>
        </is>
      </c>
      <c r="B1117" t="inlineStr">
        <is>
          <t>85</t>
        </is>
      </c>
      <c r="C1117" t="inlineStr">
        <is>
          <t>85183020</t>
        </is>
      </c>
      <c r="D1117" t="inlineStr">
        <is>
          <t>HEADPHONE AND EARPHONES W/N COMBINED WITH MICROPHONE CNNTCD THROUGH WIRED MEDIUM</t>
        </is>
      </c>
      <c r="E1117" s="3" t="n">
        <v>0</v>
      </c>
      <c r="F1117" s="3" t="n">
        <v>0.13</v>
      </c>
      <c r="G1117" s="3">
        <f>F1117-E1117</f>
        <v/>
      </c>
      <c r="H1117" s="4">
        <f>IF(E1117=0,"",F1117/E1117-1)</f>
        <v/>
      </c>
      <c r="I1117" t="inlineStr"/>
    </row>
    <row r="1118">
      <c r="A1118" t="inlineStr">
        <is>
          <t>Machinery &amp; electronics</t>
        </is>
      </c>
      <c r="B1118" t="inlineStr">
        <is>
          <t>85</t>
        </is>
      </c>
      <c r="C1118" t="inlineStr">
        <is>
          <t>85255090</t>
        </is>
      </c>
      <c r="D1118" t="inlineStr">
        <is>
          <t>OTHERS-OF-TRANSMISSION APPARATUS:</t>
        </is>
      </c>
      <c r="E1118" s="3" t="n">
        <v>0.02</v>
      </c>
      <c r="F1118" s="3" t="n">
        <v>0.13</v>
      </c>
      <c r="G1118" s="3">
        <f>F1118-E1118</f>
        <v/>
      </c>
      <c r="H1118" s="4">
        <f>IF(E1118=0,"",F1118/E1118-1)</f>
        <v/>
      </c>
      <c r="I1118" t="inlineStr"/>
    </row>
    <row r="1119">
      <c r="A1119" t="inlineStr">
        <is>
          <t>Machinery &amp; electronics</t>
        </is>
      </c>
      <c r="B1119" t="inlineStr">
        <is>
          <t>84</t>
        </is>
      </c>
      <c r="C1119" t="inlineStr">
        <is>
          <t>84131990</t>
        </is>
      </c>
      <c r="D1119" t="inlineStr">
        <is>
          <t>OTHER PUMPS FITTED OR DESIGNED TO BE FTTD WITH A MEASURING DEVICE</t>
        </is>
      </c>
      <c r="E1119" s="3" t="n">
        <v>0.77</v>
      </c>
      <c r="F1119" s="3" t="n">
        <v>0.12</v>
      </c>
      <c r="G1119" s="3">
        <f>F1119-E1119</f>
        <v/>
      </c>
      <c r="H1119" s="4">
        <f>IF(E1119=0,"",F1119/E1119-1)</f>
        <v/>
      </c>
      <c r="I1119" t="inlineStr"/>
    </row>
    <row r="1120">
      <c r="A1120" t="inlineStr">
        <is>
          <t>Machinery &amp; electronics</t>
        </is>
      </c>
      <c r="B1120" t="inlineStr">
        <is>
          <t>84</t>
        </is>
      </c>
      <c r="C1120" t="inlineStr">
        <is>
          <t>84334000</t>
        </is>
      </c>
      <c r="D1120" t="inlineStr">
        <is>
          <t>STRAW/FODDER BALERS,INCL PICK-UP BALERS</t>
        </is>
      </c>
      <c r="E1120" s="3" t="n">
        <v>0</v>
      </c>
      <c r="F1120" s="3" t="n">
        <v>0.12</v>
      </c>
      <c r="G1120" s="3">
        <f>F1120-E1120</f>
        <v/>
      </c>
      <c r="H1120" s="4">
        <f>IF(E1120=0,"",F1120/E1120-1)</f>
        <v/>
      </c>
      <c r="I1120" t="inlineStr"/>
    </row>
    <row r="1121">
      <c r="A1121" t="inlineStr">
        <is>
          <t>Machinery &amp; electronics</t>
        </is>
      </c>
      <c r="B1121" t="inlineStr">
        <is>
          <t>84</t>
        </is>
      </c>
      <c r="C1121" t="inlineStr">
        <is>
          <t>84379010</t>
        </is>
      </c>
      <c r="D1121" t="inlineStr">
        <is>
          <t>PARTS OF FLOUR MILL MACHINERY</t>
        </is>
      </c>
      <c r="E1121" s="3" t="n">
        <v>0.01</v>
      </c>
      <c r="F1121" s="3" t="n">
        <v>0.12</v>
      </c>
      <c r="G1121" s="3">
        <f>F1121-E1121</f>
        <v/>
      </c>
      <c r="H1121" s="4">
        <f>IF(E1121=0,"",F1121/E1121-1)</f>
        <v/>
      </c>
      <c r="I1121" t="inlineStr"/>
    </row>
    <row r="1122">
      <c r="A1122" t="inlineStr">
        <is>
          <t>Machinery &amp; electronics</t>
        </is>
      </c>
      <c r="B1122" t="inlineStr">
        <is>
          <t>84</t>
        </is>
      </c>
      <c r="C1122" t="inlineStr">
        <is>
          <t>84483230</t>
        </is>
      </c>
      <c r="D1122" t="inlineStr">
        <is>
          <t>PRTS AND ACCSSRS FOR SLK AND MANMADE(RGNRTD AND SYNTHETIC)FIBRES PRCSNG MCHNS</t>
        </is>
      </c>
      <c r="E1122" s="3" t="n">
        <v>0.24</v>
      </c>
      <c r="F1122" s="3" t="n">
        <v>0.12</v>
      </c>
      <c r="G1122" s="3">
        <f>F1122-E1122</f>
        <v/>
      </c>
      <c r="H1122" s="4">
        <f>IF(E1122=0,"",F1122/E1122-1)</f>
        <v/>
      </c>
      <c r="I1122" t="inlineStr"/>
    </row>
    <row r="1123">
      <c r="A1123" t="inlineStr">
        <is>
          <t>Machinery &amp; electronics</t>
        </is>
      </c>
      <c r="B1123" t="inlineStr">
        <is>
          <t>84</t>
        </is>
      </c>
      <c r="C1123" t="inlineStr">
        <is>
          <t>84512900</t>
        </is>
      </c>
      <c r="D1123" t="inlineStr">
        <is>
          <t>OTHER DRYING MACHINES</t>
        </is>
      </c>
      <c r="E1123" s="3" t="n">
        <v>0.22</v>
      </c>
      <c r="F1123" s="3" t="n">
        <v>0.12</v>
      </c>
      <c r="G1123" s="3">
        <f>F1123-E1123</f>
        <v/>
      </c>
      <c r="H1123" s="4">
        <f>IF(E1123=0,"",F1123/E1123-1)</f>
        <v/>
      </c>
      <c r="I1123" t="inlineStr"/>
    </row>
    <row r="1124">
      <c r="A1124" t="inlineStr">
        <is>
          <t>Machinery &amp; electronics</t>
        </is>
      </c>
      <c r="B1124" t="inlineStr">
        <is>
          <t>84</t>
        </is>
      </c>
      <c r="C1124" t="inlineStr">
        <is>
          <t>84519000</t>
        </is>
      </c>
      <c r="D1124" t="inlineStr">
        <is>
          <t>PARTS OF THE MACHINES OF HDG 8451</t>
        </is>
      </c>
      <c r="E1124" s="3" t="n">
        <v>0.14</v>
      </c>
      <c r="F1124" s="3" t="n">
        <v>0.12</v>
      </c>
      <c r="G1124" s="3">
        <f>F1124-E1124</f>
        <v/>
      </c>
      <c r="H1124" s="4">
        <f>IF(E1124=0,"",F1124/E1124-1)</f>
        <v/>
      </c>
      <c r="I1124" t="inlineStr"/>
    </row>
    <row r="1125">
      <c r="A1125" t="inlineStr">
        <is>
          <t>Machinery &amp; electronics</t>
        </is>
      </c>
      <c r="B1125" t="inlineStr">
        <is>
          <t>84</t>
        </is>
      </c>
      <c r="C1125" t="inlineStr">
        <is>
          <t>84543090</t>
        </is>
      </c>
      <c r="D1125" t="inlineStr">
        <is>
          <t>OTHER CASTING MACHINES</t>
        </is>
      </c>
      <c r="E1125" s="3" t="n">
        <v>1.11</v>
      </c>
      <c r="F1125" s="3" t="n">
        <v>0.12</v>
      </c>
      <c r="G1125" s="3">
        <f>F1125-E1125</f>
        <v/>
      </c>
      <c r="H1125" s="4">
        <f>IF(E1125=0,"",F1125/E1125-1)</f>
        <v/>
      </c>
      <c r="I1125" t="inlineStr"/>
    </row>
    <row r="1126">
      <c r="A1126" t="inlineStr">
        <is>
          <t>Machinery &amp; electronics</t>
        </is>
      </c>
      <c r="B1126" t="inlineStr">
        <is>
          <t>84</t>
        </is>
      </c>
      <c r="C1126" t="inlineStr">
        <is>
          <t>84562000</t>
        </is>
      </c>
      <c r="D1126" t="inlineStr">
        <is>
          <t>MCHN-TOOLS OPRTD BY ULTRASONIC PROCESSES</t>
        </is>
      </c>
      <c r="E1126" s="3" t="n">
        <v>0.01</v>
      </c>
      <c r="F1126" s="3" t="n">
        <v>0.12</v>
      </c>
      <c r="G1126" s="3">
        <f>F1126-E1126</f>
        <v/>
      </c>
      <c r="H1126" s="4">
        <f>IF(E1126=0,"",F1126/E1126-1)</f>
        <v/>
      </c>
      <c r="I1126" t="inlineStr"/>
    </row>
    <row r="1127">
      <c r="A1127" t="inlineStr">
        <is>
          <t>Machinery &amp; electronics</t>
        </is>
      </c>
      <c r="B1127" t="inlineStr">
        <is>
          <t>84</t>
        </is>
      </c>
      <c r="C1127" t="inlineStr">
        <is>
          <t>84592990</t>
        </is>
      </c>
      <c r="D1127" t="inlineStr">
        <is>
          <t>OTHERS-OF-OTHR DRILLING MACHNES</t>
        </is>
      </c>
      <c r="E1127" s="3" t="n">
        <v>0.42</v>
      </c>
      <c r="F1127" s="3" t="n">
        <v>0.12</v>
      </c>
      <c r="G1127" s="3">
        <f>F1127-E1127</f>
        <v/>
      </c>
      <c r="H1127" s="4">
        <f>IF(E1127=0,"",F1127/E1127-1)</f>
        <v/>
      </c>
      <c r="I1127" t="inlineStr"/>
    </row>
    <row r="1128">
      <c r="A1128" t="inlineStr">
        <is>
          <t>Machinery &amp; electronics</t>
        </is>
      </c>
      <c r="B1128" t="inlineStr">
        <is>
          <t>84</t>
        </is>
      </c>
      <c r="C1128" t="inlineStr">
        <is>
          <t>84594930</t>
        </is>
      </c>
      <c r="D1128" t="inlineStr">
        <is>
          <t>FINE BORING MACHINES, VERTICAL</t>
        </is>
      </c>
      <c r="E1128" s="3" t="n">
        <v>0</v>
      </c>
      <c r="F1128" s="3" t="n">
        <v>0.12</v>
      </c>
      <c r="G1128" s="3">
        <f>F1128-E1128</f>
        <v/>
      </c>
      <c r="H1128" s="4">
        <f>IF(E1128=0,"",F1128/E1128-1)</f>
        <v/>
      </c>
      <c r="I1128" t="inlineStr"/>
    </row>
    <row r="1129">
      <c r="A1129" t="inlineStr">
        <is>
          <t>Machinery &amp; electronics</t>
        </is>
      </c>
      <c r="B1129" t="inlineStr">
        <is>
          <t>84</t>
        </is>
      </c>
      <c r="C1129" t="inlineStr">
        <is>
          <t>84604020</t>
        </is>
      </c>
      <c r="D1129" t="inlineStr">
        <is>
          <t>LAPPING MACHINES</t>
        </is>
      </c>
      <c r="E1129" s="3" t="n">
        <v>0.07000000000000001</v>
      </c>
      <c r="F1129" s="3" t="n">
        <v>0.12</v>
      </c>
      <c r="G1129" s="3">
        <f>F1129-E1129</f>
        <v/>
      </c>
      <c r="H1129" s="4">
        <f>IF(E1129=0,"",F1129/E1129-1)</f>
        <v/>
      </c>
      <c r="I1129" t="inlineStr"/>
    </row>
    <row r="1130">
      <c r="A1130" t="inlineStr">
        <is>
          <t>Machinery &amp; electronics</t>
        </is>
      </c>
      <c r="B1130" t="inlineStr">
        <is>
          <t>84</t>
        </is>
      </c>
      <c r="C1130" t="inlineStr">
        <is>
          <t>84741010</t>
        </is>
      </c>
      <c r="D1130" t="inlineStr">
        <is>
          <t>SRTNG,SCREENING,WASHING MCHNS ETC OF COAL</t>
        </is>
      </c>
      <c r="E1130" s="3" t="n">
        <v>0.34</v>
      </c>
      <c r="F1130" s="3" t="n">
        <v>0.12</v>
      </c>
      <c r="G1130" s="3">
        <f>F1130-E1130</f>
        <v/>
      </c>
      <c r="H1130" s="4">
        <f>IF(E1130=0,"",F1130/E1130-1)</f>
        <v/>
      </c>
      <c r="I1130" t="inlineStr"/>
    </row>
    <row r="1131">
      <c r="A1131" t="inlineStr">
        <is>
          <t>Machinery &amp; electronics</t>
        </is>
      </c>
      <c r="B1131" t="inlineStr">
        <is>
          <t>84</t>
        </is>
      </c>
      <c r="C1131" t="inlineStr">
        <is>
          <t>84759000</t>
        </is>
      </c>
      <c r="D1131" t="inlineStr">
        <is>
          <t>PARTS OF HDG 8475</t>
        </is>
      </c>
      <c r="E1131" s="3" t="n">
        <v>0.85</v>
      </c>
      <c r="F1131" s="3" t="n">
        <v>0.12</v>
      </c>
      <c r="G1131" s="3">
        <f>F1131-E1131</f>
        <v/>
      </c>
      <c r="H1131" s="4">
        <f>IF(E1131=0,"",F1131/E1131-1)</f>
        <v/>
      </c>
      <c r="I1131" t="inlineStr"/>
    </row>
    <row r="1132">
      <c r="A1132" t="inlineStr">
        <is>
          <t>Machinery &amp; electronics</t>
        </is>
      </c>
      <c r="B1132" t="inlineStr">
        <is>
          <t>85</t>
        </is>
      </c>
      <c r="C1132" t="inlineStr">
        <is>
          <t>85076000</t>
        </is>
      </c>
      <c r="D1132" t="inlineStr">
        <is>
          <t>LITHIUM-ION</t>
        </is>
      </c>
      <c r="E1132" s="3" t="n">
        <v>0.01</v>
      </c>
      <c r="F1132" s="3" t="n">
        <v>0.12</v>
      </c>
      <c r="G1132" s="3">
        <f>F1132-E1132</f>
        <v/>
      </c>
      <c r="H1132" s="4">
        <f>IF(E1132=0,"",F1132/E1132-1)</f>
        <v/>
      </c>
      <c r="I1132" t="inlineStr"/>
    </row>
    <row r="1133">
      <c r="A1133" t="inlineStr">
        <is>
          <t>Machinery &amp; electronics</t>
        </is>
      </c>
      <c r="B1133" t="inlineStr">
        <is>
          <t>85</t>
        </is>
      </c>
      <c r="C1133" t="inlineStr">
        <is>
          <t>85099000</t>
        </is>
      </c>
      <c r="D1133" t="inlineStr">
        <is>
          <t>PARTS</t>
        </is>
      </c>
      <c r="E1133" s="3" t="n">
        <v>0.04</v>
      </c>
      <c r="F1133" s="3" t="n">
        <v>0.12</v>
      </c>
      <c r="G1133" s="3">
        <f>F1133-E1133</f>
        <v/>
      </c>
      <c r="H1133" s="4">
        <f>IF(E1133=0,"",F1133/E1133-1)</f>
        <v/>
      </c>
      <c r="I1133" t="inlineStr"/>
    </row>
    <row r="1134">
      <c r="A1134" t="inlineStr">
        <is>
          <t>Machinery &amp; electronics</t>
        </is>
      </c>
      <c r="B1134" t="inlineStr">
        <is>
          <t>85</t>
        </is>
      </c>
      <c r="C1134" t="inlineStr">
        <is>
          <t>85123010</t>
        </is>
      </c>
      <c r="D1134" t="inlineStr">
        <is>
          <t>HORNS</t>
        </is>
      </c>
      <c r="E1134" s="3" t="n">
        <v>0.03</v>
      </c>
      <c r="F1134" s="3" t="n">
        <v>0.12</v>
      </c>
      <c r="G1134" s="3">
        <f>F1134-E1134</f>
        <v/>
      </c>
      <c r="H1134" s="4">
        <f>IF(E1134=0,"",F1134/E1134-1)</f>
        <v/>
      </c>
      <c r="I1134" t="inlineStr"/>
    </row>
    <row r="1135">
      <c r="A1135" t="inlineStr">
        <is>
          <t>Machinery &amp; electronics</t>
        </is>
      </c>
      <c r="B1135" t="inlineStr">
        <is>
          <t>85</t>
        </is>
      </c>
      <c r="C1135" t="inlineStr">
        <is>
          <t>85312000</t>
        </is>
      </c>
      <c r="D1135" t="inlineStr">
        <is>
          <t>INDICATOR PANELS INCRPRTNG LQD CRYSTAL DEVICES(LCD)/LIGHT EMITTING DIODES(LED)</t>
        </is>
      </c>
      <c r="E1135" s="3" t="n">
        <v>0.05</v>
      </c>
      <c r="F1135" s="3" t="n">
        <v>0.12</v>
      </c>
      <c r="G1135" s="3">
        <f>F1135-E1135</f>
        <v/>
      </c>
      <c r="H1135" s="4">
        <f>IF(E1135=0,"",F1135/E1135-1)</f>
        <v/>
      </c>
      <c r="I1135" t="inlineStr"/>
    </row>
    <row r="1136">
      <c r="A1136" t="inlineStr">
        <is>
          <t>Machinery &amp; electronics</t>
        </is>
      </c>
      <c r="B1136" t="inlineStr">
        <is>
          <t>84</t>
        </is>
      </c>
      <c r="C1136" t="inlineStr">
        <is>
          <t>84145150</t>
        </is>
      </c>
      <c r="D1136" t="inlineStr">
        <is>
          <t>WALL FANS</t>
        </is>
      </c>
      <c r="E1136" s="3" t="n">
        <v>0.12</v>
      </c>
      <c r="F1136" s="3" t="n">
        <v>0.11</v>
      </c>
      <c r="G1136" s="3">
        <f>F1136-E1136</f>
        <v/>
      </c>
      <c r="H1136" s="4">
        <f>IF(E1136=0,"",F1136/E1136-1)</f>
        <v/>
      </c>
      <c r="I1136" t="inlineStr"/>
    </row>
    <row r="1137">
      <c r="A1137" t="inlineStr">
        <is>
          <t>Machinery &amp; electronics</t>
        </is>
      </c>
      <c r="B1137" t="inlineStr">
        <is>
          <t>84</t>
        </is>
      </c>
      <c r="C1137" t="inlineStr">
        <is>
          <t>84161000</t>
        </is>
      </c>
      <c r="D1137" t="inlineStr">
        <is>
          <t>FURNACE BURNERS FOR LIQUID FUEL</t>
        </is>
      </c>
      <c r="E1137" s="3" t="n">
        <v>1.87</v>
      </c>
      <c r="F1137" s="3" t="n">
        <v>0.11</v>
      </c>
      <c r="G1137" s="3">
        <f>F1137-E1137</f>
        <v/>
      </c>
      <c r="H1137" s="4">
        <f>IF(E1137=0,"",F1137/E1137-1)</f>
        <v/>
      </c>
      <c r="I1137" t="inlineStr"/>
    </row>
    <row r="1138">
      <c r="A1138" t="inlineStr">
        <is>
          <t>Machinery &amp; electronics</t>
        </is>
      </c>
      <c r="B1138" t="inlineStr">
        <is>
          <t>84</t>
        </is>
      </c>
      <c r="C1138" t="inlineStr">
        <is>
          <t>84321090</t>
        </is>
      </c>
      <c r="D1138" t="inlineStr">
        <is>
          <t>OTHER PLOUGHS</t>
        </is>
      </c>
      <c r="E1138" s="3" t="n">
        <v>0.01</v>
      </c>
      <c r="F1138" s="3" t="n">
        <v>0.11</v>
      </c>
      <c r="G1138" s="3">
        <f>F1138-E1138</f>
        <v/>
      </c>
      <c r="H1138" s="4">
        <f>IF(E1138=0,"",F1138/E1138-1)</f>
        <v/>
      </c>
      <c r="I1138" t="inlineStr"/>
    </row>
    <row r="1139">
      <c r="A1139" t="inlineStr">
        <is>
          <t>Machinery &amp; electronics</t>
        </is>
      </c>
      <c r="B1139" t="inlineStr">
        <is>
          <t>84</t>
        </is>
      </c>
      <c r="C1139" t="inlineStr">
        <is>
          <t>84794000</t>
        </is>
      </c>
      <c r="D1139" t="inlineStr">
        <is>
          <t>ROPE/CABLE-MAKING MACHINES</t>
        </is>
      </c>
      <c r="E1139" s="3" t="n">
        <v>0.05</v>
      </c>
      <c r="F1139" s="3" t="n">
        <v>0.11</v>
      </c>
      <c r="G1139" s="3">
        <f>F1139-E1139</f>
        <v/>
      </c>
      <c r="H1139" s="4">
        <f>IF(E1139=0,"",F1139/E1139-1)</f>
        <v/>
      </c>
      <c r="I1139" t="inlineStr"/>
    </row>
    <row r="1140">
      <c r="A1140" t="inlineStr">
        <is>
          <t>Machinery &amp; electronics</t>
        </is>
      </c>
      <c r="B1140" t="inlineStr">
        <is>
          <t>84</t>
        </is>
      </c>
      <c r="C1140" t="inlineStr">
        <is>
          <t>84821040</t>
        </is>
      </c>
      <c r="D1140" t="inlineStr">
        <is>
          <t>BALL BEARINGS(RADIAL TYPE)EXCL ADAPTER (RADIAL TYPE)&gt;100 MM OR 4 INCHES BORE DIAMETER</t>
        </is>
      </c>
      <c r="E1140" s="3" t="n">
        <v>0</v>
      </c>
      <c r="F1140" s="3" t="n">
        <v>0.11</v>
      </c>
      <c r="G1140" s="3">
        <f>F1140-E1140</f>
        <v/>
      </c>
      <c r="H1140" s="4">
        <f>IF(E1140=0,"",F1140/E1140-1)</f>
        <v/>
      </c>
      <c r="I1140" t="inlineStr"/>
    </row>
    <row r="1141">
      <c r="A1141" t="inlineStr">
        <is>
          <t>Machinery &amp; electronics</t>
        </is>
      </c>
      <c r="B1141" t="inlineStr">
        <is>
          <t>84</t>
        </is>
      </c>
      <c r="C1141" t="inlineStr">
        <is>
          <t>84822012</t>
        </is>
      </c>
      <c r="D1141" t="inlineStr">
        <is>
          <t>TAPERED ROLLER BEARINGS(RADIAL TYPE) &gt;50 MM OR 2 INCHES BORE DIAMETER BUT &lt;=100 MM OR 4 INCHES BORE DIAMETER</t>
        </is>
      </c>
      <c r="E1141" s="3" t="n">
        <v>0.08</v>
      </c>
      <c r="F1141" s="3" t="n">
        <v>0.11</v>
      </c>
      <c r="G1141" s="3">
        <f>F1141-E1141</f>
        <v/>
      </c>
      <c r="H1141" s="4">
        <f>IF(E1141=0,"",F1141/E1141-1)</f>
        <v/>
      </c>
      <c r="I1141" t="inlineStr"/>
    </row>
    <row r="1142">
      <c r="A1142" t="inlineStr">
        <is>
          <t>Machinery &amp; electronics</t>
        </is>
      </c>
      <c r="B1142" t="inlineStr">
        <is>
          <t>84</t>
        </is>
      </c>
      <c r="C1142" t="inlineStr">
        <is>
          <t>84831010</t>
        </is>
      </c>
      <c r="D1142" t="inlineStr">
        <is>
          <t>CRANK SHAFTS FOR SEWING MACHINES</t>
        </is>
      </c>
      <c r="E1142" s="3" t="n">
        <v>0.14</v>
      </c>
      <c r="F1142" s="3" t="n">
        <v>0.11</v>
      </c>
      <c r="G1142" s="3">
        <f>F1142-E1142</f>
        <v/>
      </c>
      <c r="H1142" s="4">
        <f>IF(E1142=0,"",F1142/E1142-1)</f>
        <v/>
      </c>
      <c r="I1142" t="inlineStr"/>
    </row>
    <row r="1143">
      <c r="A1143" t="inlineStr">
        <is>
          <t>Machinery &amp; electronics</t>
        </is>
      </c>
      <c r="B1143" t="inlineStr">
        <is>
          <t>85</t>
        </is>
      </c>
      <c r="C1143" t="inlineStr">
        <is>
          <t>85094090</t>
        </is>
      </c>
      <c r="D1143" t="inlineStr">
        <is>
          <t>OTHERS(E.G.FRUIT JUICE EXTRCTRS)</t>
        </is>
      </c>
      <c r="E1143" s="3" t="n">
        <v>0.49</v>
      </c>
      <c r="F1143" s="3" t="n">
        <v>0.11</v>
      </c>
      <c r="G1143" s="3">
        <f>F1143-E1143</f>
        <v/>
      </c>
      <c r="H1143" s="4">
        <f>IF(E1143=0,"",F1143/E1143-1)</f>
        <v/>
      </c>
      <c r="I1143" t="inlineStr"/>
    </row>
    <row r="1144">
      <c r="A1144" t="inlineStr">
        <is>
          <t>Machinery &amp; electronics</t>
        </is>
      </c>
      <c r="B1144" t="inlineStr">
        <is>
          <t>85</t>
        </is>
      </c>
      <c r="C1144" t="inlineStr">
        <is>
          <t>85269200</t>
        </is>
      </c>
      <c r="D1144" t="inlineStr">
        <is>
          <t>OTHER RADIO REMOTE CONTROL APPARATUS</t>
        </is>
      </c>
      <c r="E1144" s="3" t="n">
        <v>0.05</v>
      </c>
      <c r="F1144" s="3" t="n">
        <v>0.11</v>
      </c>
      <c r="G1144" s="3">
        <f>F1144-E1144</f>
        <v/>
      </c>
      <c r="H1144" s="4">
        <f>IF(E1144=0,"",F1144/E1144-1)</f>
        <v/>
      </c>
      <c r="I1144" t="inlineStr"/>
    </row>
    <row r="1145">
      <c r="A1145" t="inlineStr">
        <is>
          <t>Machinery &amp; electronics</t>
        </is>
      </c>
      <c r="B1145" t="inlineStr">
        <is>
          <t>85</t>
        </is>
      </c>
      <c r="C1145" t="inlineStr">
        <is>
          <t>85332129</t>
        </is>
      </c>
      <c r="D1145" t="inlineStr">
        <is>
          <t>ELCTRCL RESISTANCE WIRE,INSULATED OTHER THAN NICHROME</t>
        </is>
      </c>
      <c r="E1145" s="3" t="n">
        <v>0</v>
      </c>
      <c r="F1145" s="3" t="n">
        <v>0.11</v>
      </c>
      <c r="G1145" s="3">
        <f>F1145-E1145</f>
        <v/>
      </c>
      <c r="H1145" s="4">
        <f>IF(E1145=0,"",F1145/E1145-1)</f>
        <v/>
      </c>
      <c r="I1145" t="inlineStr"/>
    </row>
    <row r="1146">
      <c r="A1146" t="inlineStr">
        <is>
          <t>Machinery &amp; electronics</t>
        </is>
      </c>
      <c r="B1146" t="inlineStr">
        <is>
          <t>84</t>
        </is>
      </c>
      <c r="C1146" t="inlineStr">
        <is>
          <t>84041000</t>
        </is>
      </c>
      <c r="D1146" t="inlineStr">
        <is>
          <t>AUXLRY PLNT USD WTH BOILRS OF 8402/8403</t>
        </is>
      </c>
      <c r="E1146" s="3" t="n">
        <v>0.04</v>
      </c>
      <c r="F1146" s="3" t="n">
        <v>0.1</v>
      </c>
      <c r="G1146" s="3">
        <f>F1146-E1146</f>
        <v/>
      </c>
      <c r="H1146" s="4">
        <f>IF(E1146=0,"",F1146/E1146-1)</f>
        <v/>
      </c>
      <c r="I1146" t="inlineStr"/>
    </row>
    <row r="1147">
      <c r="A1147" t="inlineStr">
        <is>
          <t>Machinery &amp; electronics</t>
        </is>
      </c>
      <c r="B1147" t="inlineStr">
        <is>
          <t>84</t>
        </is>
      </c>
      <c r="C1147" t="inlineStr">
        <is>
          <t>84138200</t>
        </is>
      </c>
      <c r="D1147" t="inlineStr">
        <is>
          <t>LIQUID ELEVATORS</t>
        </is>
      </c>
      <c r="E1147" s="3" t="n">
        <v>0.04</v>
      </c>
      <c r="F1147" s="3" t="n">
        <v>0.1</v>
      </c>
      <c r="G1147" s="3">
        <f>F1147-E1147</f>
        <v/>
      </c>
      <c r="H1147" s="4">
        <f>IF(E1147=0,"",F1147/E1147-1)</f>
        <v/>
      </c>
      <c r="I1147" t="inlineStr"/>
    </row>
    <row r="1148">
      <c r="A1148" t="inlineStr">
        <is>
          <t>Machinery &amp; electronics</t>
        </is>
      </c>
      <c r="B1148" t="inlineStr">
        <is>
          <t>84</t>
        </is>
      </c>
      <c r="C1148" t="inlineStr">
        <is>
          <t>84145910</t>
        </is>
      </c>
      <c r="D1148" t="inlineStr">
        <is>
          <t>AIR CIRCULATOR</t>
        </is>
      </c>
      <c r="E1148" s="3" t="n">
        <v>0.07000000000000001</v>
      </c>
      <c r="F1148" s="3" t="n">
        <v>0.1</v>
      </c>
      <c r="G1148" s="3">
        <f>F1148-E1148</f>
        <v/>
      </c>
      <c r="H1148" s="4">
        <f>IF(E1148=0,"",F1148/E1148-1)</f>
        <v/>
      </c>
      <c r="I1148" t="inlineStr"/>
    </row>
    <row r="1149">
      <c r="A1149" t="inlineStr">
        <is>
          <t>Machinery &amp; electronics</t>
        </is>
      </c>
      <c r="B1149" t="inlineStr">
        <is>
          <t>84</t>
        </is>
      </c>
      <c r="C1149" t="inlineStr">
        <is>
          <t>84251120</t>
        </is>
      </c>
      <c r="D1149" t="inlineStr">
        <is>
          <t>PULLEY TACKLE PWRD BY ELTRC MOTR</t>
        </is>
      </c>
      <c r="E1149" s="3" t="n">
        <v>0.28</v>
      </c>
      <c r="F1149" s="3" t="n">
        <v>0.1</v>
      </c>
      <c r="G1149" s="3">
        <f>F1149-E1149</f>
        <v/>
      </c>
      <c r="H1149" s="4">
        <f>IF(E1149=0,"",F1149/E1149-1)</f>
        <v/>
      </c>
      <c r="I1149" t="inlineStr"/>
    </row>
    <row r="1150">
      <c r="A1150" t="inlineStr">
        <is>
          <t>Machinery &amp; electronics</t>
        </is>
      </c>
      <c r="B1150" t="inlineStr">
        <is>
          <t>84</t>
        </is>
      </c>
      <c r="C1150" t="inlineStr">
        <is>
          <t>84433250</t>
        </is>
      </c>
      <c r="D1150" t="inlineStr">
        <is>
          <t>INK JET PRINTER</t>
        </is>
      </c>
      <c r="E1150" s="3" t="n">
        <v>0.02</v>
      </c>
      <c r="F1150" s="3" t="n">
        <v>0.1</v>
      </c>
      <c r="G1150" s="3">
        <f>F1150-E1150</f>
        <v/>
      </c>
      <c r="H1150" s="4">
        <f>IF(E1150=0,"",F1150/E1150-1)</f>
        <v/>
      </c>
      <c r="I1150" t="inlineStr"/>
    </row>
    <row r="1151">
      <c r="A1151" t="inlineStr">
        <is>
          <t>Machinery &amp; electronics</t>
        </is>
      </c>
      <c r="B1151" t="inlineStr">
        <is>
          <t>84</t>
        </is>
      </c>
      <c r="C1151" t="inlineStr">
        <is>
          <t>84439940</t>
        </is>
      </c>
      <c r="D1151" t="inlineStr">
        <is>
          <t>OTHER PRTS AND ACCSRS OF HDNG 9009</t>
        </is>
      </c>
      <c r="E1151" s="3" t="n">
        <v>0</v>
      </c>
      <c r="F1151" s="3" t="n">
        <v>0.1</v>
      </c>
      <c r="G1151" s="3">
        <f>F1151-E1151</f>
        <v/>
      </c>
      <c r="H1151" s="4">
        <f>IF(E1151=0,"",F1151/E1151-1)</f>
        <v/>
      </c>
      <c r="I1151" t="inlineStr"/>
    </row>
    <row r="1152">
      <c r="A1152" t="inlineStr">
        <is>
          <t>Machinery &amp; electronics</t>
        </is>
      </c>
      <c r="B1152" t="inlineStr">
        <is>
          <t>84</t>
        </is>
      </c>
      <c r="C1152" t="inlineStr">
        <is>
          <t>84542020</t>
        </is>
      </c>
      <c r="D1152" t="inlineStr">
        <is>
          <t>INGOT MOULDS</t>
        </is>
      </c>
      <c r="E1152" s="3" t="n">
        <v>0</v>
      </c>
      <c r="F1152" s="3" t="n">
        <v>0.1</v>
      </c>
      <c r="G1152" s="3">
        <f>F1152-E1152</f>
        <v/>
      </c>
      <c r="H1152" s="4">
        <f>IF(E1152=0,"",F1152/E1152-1)</f>
        <v/>
      </c>
      <c r="I1152" t="inlineStr"/>
    </row>
    <row r="1153">
      <c r="A1153" t="inlineStr">
        <is>
          <t>Machinery &amp; electronics</t>
        </is>
      </c>
      <c r="B1153" t="inlineStr">
        <is>
          <t>84</t>
        </is>
      </c>
      <c r="C1153" t="inlineStr">
        <is>
          <t>84594990</t>
        </is>
      </c>
      <c r="D1153" t="inlineStr">
        <is>
          <t>OTHERS-OF-OTHERS-OF-MCHN-TOOLS (INCL WAY-TYPE UNIT HEAD MCHNS)FR DRLLNG,BORNG,MLLNG,THRDNG/TAPNG BY REMOVNG MTL, EXCL LATHS OF</t>
        </is>
      </c>
      <c r="E1153" s="3" t="n">
        <v>0</v>
      </c>
      <c r="F1153" s="3" t="n">
        <v>0.1</v>
      </c>
      <c r="G1153" s="3">
        <f>F1153-E1153</f>
        <v/>
      </c>
      <c r="H1153" s="4">
        <f>IF(E1153=0,"",F1153/E1153-1)</f>
        <v/>
      </c>
      <c r="I1153" t="inlineStr"/>
    </row>
    <row r="1154">
      <c r="A1154" t="inlineStr">
        <is>
          <t>Machinery &amp; electronics</t>
        </is>
      </c>
      <c r="B1154" t="inlineStr">
        <is>
          <t>84</t>
        </is>
      </c>
      <c r="C1154" t="inlineStr">
        <is>
          <t>84649000</t>
        </is>
      </c>
      <c r="D1154" t="inlineStr">
        <is>
          <t>OTHER MACHINE-TOOLS OF HD 8464</t>
        </is>
      </c>
      <c r="E1154" s="3" t="n">
        <v>0.33</v>
      </c>
      <c r="F1154" s="3" t="n">
        <v>0.1</v>
      </c>
      <c r="G1154" s="3">
        <f>F1154-E1154</f>
        <v/>
      </c>
      <c r="H1154" s="4">
        <f>IF(E1154=0,"",F1154/E1154-1)</f>
        <v/>
      </c>
      <c r="I1154" t="inlineStr"/>
    </row>
    <row r="1155">
      <c r="A1155" t="inlineStr">
        <is>
          <t>Machinery &amp; electronics</t>
        </is>
      </c>
      <c r="B1155" t="inlineStr">
        <is>
          <t>85</t>
        </is>
      </c>
      <c r="C1155" t="inlineStr">
        <is>
          <t>85015320</t>
        </is>
      </c>
      <c r="D1155" t="inlineStr">
        <is>
          <t>A.C. SLIPRING MOTORS</t>
        </is>
      </c>
      <c r="E1155" s="3" t="n">
        <v>0</v>
      </c>
      <c r="F1155" s="3" t="n">
        <v>0.1</v>
      </c>
      <c r="G1155" s="3">
        <f>F1155-E1155</f>
        <v/>
      </c>
      <c r="H1155" s="4">
        <f>IF(E1155=0,"",F1155/E1155-1)</f>
        <v/>
      </c>
      <c r="I1155" t="inlineStr"/>
    </row>
    <row r="1156">
      <c r="A1156" t="inlineStr">
        <is>
          <t>Machinery &amp; electronics</t>
        </is>
      </c>
      <c r="B1156" t="inlineStr">
        <is>
          <t>85</t>
        </is>
      </c>
      <c r="C1156" t="inlineStr">
        <is>
          <t>85112090</t>
        </is>
      </c>
      <c r="D1156" t="inlineStr">
        <is>
          <t>OTHERS-OF-IGNTION MGNTOS;MGNTO-DYNAMOSMAGNETIC FLYWHEELS</t>
        </is>
      </c>
      <c r="E1156" s="3" t="n">
        <v>0</v>
      </c>
      <c r="F1156" s="3" t="n">
        <v>0.1</v>
      </c>
      <c r="G1156" s="3">
        <f>F1156-E1156</f>
        <v/>
      </c>
      <c r="H1156" s="4">
        <f>IF(E1156=0,"",F1156/E1156-1)</f>
        <v/>
      </c>
      <c r="I1156" t="inlineStr"/>
    </row>
    <row r="1157">
      <c r="A1157" t="inlineStr">
        <is>
          <t>Machinery &amp; electronics</t>
        </is>
      </c>
      <c r="B1157" t="inlineStr">
        <is>
          <t>85</t>
        </is>
      </c>
      <c r="C1157" t="inlineStr">
        <is>
          <t>85141100</t>
        </is>
      </c>
      <c r="D1157" t="inlineStr">
        <is>
          <t>Resistance heated furnaces and ovens Hot isostatic presses</t>
        </is>
      </c>
      <c r="E1157" s="3" t="n">
        <v>0.03</v>
      </c>
      <c r="F1157" s="3" t="n">
        <v>0.1</v>
      </c>
      <c r="G1157" s="3">
        <f>F1157-E1157</f>
        <v/>
      </c>
      <c r="H1157" s="4">
        <f>IF(E1157=0,"",F1157/E1157-1)</f>
        <v/>
      </c>
      <c r="I1157" t="inlineStr"/>
    </row>
    <row r="1158">
      <c r="A1158" t="inlineStr">
        <is>
          <t>Machinery &amp; electronics</t>
        </is>
      </c>
      <c r="B1158" t="inlineStr">
        <is>
          <t>85</t>
        </is>
      </c>
      <c r="C1158" t="inlineStr">
        <is>
          <t>85171110</t>
        </is>
      </c>
      <c r="D1158" t="inlineStr">
        <is>
          <t>PUSH BUTTON TYPE</t>
        </is>
      </c>
      <c r="E1158" s="3" t="n">
        <v>0</v>
      </c>
      <c r="F1158" s="3" t="n">
        <v>0.1</v>
      </c>
      <c r="G1158" s="3">
        <f>F1158-E1158</f>
        <v/>
      </c>
      <c r="H1158" s="4">
        <f>IF(E1158=0,"",F1158/E1158-1)</f>
        <v/>
      </c>
      <c r="I1158" t="inlineStr"/>
    </row>
    <row r="1159">
      <c r="A1159" t="inlineStr">
        <is>
          <t>Machinery &amp; electronics</t>
        </is>
      </c>
      <c r="B1159" t="inlineStr">
        <is>
          <t>85</t>
        </is>
      </c>
      <c r="C1159" t="inlineStr">
        <is>
          <t>85235990</t>
        </is>
      </c>
      <c r="D1159" t="inlineStr">
        <is>
          <t>OTHERS-OF-OTHERS-OF-PREPRD UNRECORDED MEDIA FOR SOUND RECRDNG/SMLR RECRDNG OF OTHRPHENOMENA,OTHR THN PRDCTS OF CH.37</t>
        </is>
      </c>
      <c r="E1159" s="3" t="n">
        <v>0.14</v>
      </c>
      <c r="F1159" s="3" t="n">
        <v>0.1</v>
      </c>
      <c r="G1159" s="3">
        <f>F1159-E1159</f>
        <v/>
      </c>
      <c r="H1159" s="4">
        <f>IF(E1159=0,"",F1159/E1159-1)</f>
        <v/>
      </c>
      <c r="I1159" t="inlineStr"/>
    </row>
    <row r="1160">
      <c r="A1160" t="inlineStr">
        <is>
          <t>Machinery &amp; electronics</t>
        </is>
      </c>
      <c r="B1160" t="inlineStr">
        <is>
          <t>85</t>
        </is>
      </c>
      <c r="C1160" t="inlineStr">
        <is>
          <t>85285200</t>
        </is>
      </c>
      <c r="D1160" t="inlineStr">
        <is>
          <t>OTH MONITORS CAPABLE OF DIRECTLY CONNECTING TO AND DESIGNED FOR USE WITH AN AUTOMATIC DATA PROCESSING MACHINE OF HEADING 8471</t>
        </is>
      </c>
      <c r="E1160" s="3" t="n">
        <v>0</v>
      </c>
      <c r="F1160" s="3" t="n">
        <v>0.1</v>
      </c>
      <c r="G1160" s="3">
        <f>F1160-E1160</f>
        <v/>
      </c>
      <c r="H1160" s="4">
        <f>IF(E1160=0,"",F1160/E1160-1)</f>
        <v/>
      </c>
      <c r="I1160" t="inlineStr"/>
    </row>
    <row r="1161">
      <c r="A1161" t="inlineStr">
        <is>
          <t>Machinery &amp; electronics</t>
        </is>
      </c>
      <c r="B1161" t="inlineStr">
        <is>
          <t>85</t>
        </is>
      </c>
      <c r="C1161" t="inlineStr">
        <is>
          <t>85351090</t>
        </is>
      </c>
      <c r="D1161" t="inlineStr">
        <is>
          <t>OTHERS-OF-FUSES OF VOLTAGE EXCEEDING 1000 VOLTS</t>
        </is>
      </c>
      <c r="E1161" s="3" t="n">
        <v>0.02</v>
      </c>
      <c r="F1161" s="3" t="n">
        <v>0.1</v>
      </c>
      <c r="G1161" s="3">
        <f>F1161-E1161</f>
        <v/>
      </c>
      <c r="H1161" s="4">
        <f>IF(E1161=0,"",F1161/E1161-1)</f>
        <v/>
      </c>
      <c r="I1161" t="inlineStr"/>
    </row>
    <row r="1162">
      <c r="A1162" t="inlineStr">
        <is>
          <t>Machinery &amp; electronics</t>
        </is>
      </c>
      <c r="B1162" t="inlineStr">
        <is>
          <t>85</t>
        </is>
      </c>
      <c r="C1162" t="inlineStr">
        <is>
          <t>85444290</t>
        </is>
      </c>
      <c r="D1162" t="inlineStr">
        <is>
          <t>OTHR ELCTRC CNDCTRS FITTED WTH CONNCTRS FR &lt;=1000V EXCL PAPR PLSCTIC AND RUBBER INSULATED</t>
        </is>
      </c>
      <c r="E1162" s="3" t="n">
        <v>0.01</v>
      </c>
      <c r="F1162" s="3" t="n">
        <v>0.1</v>
      </c>
      <c r="G1162" s="3">
        <f>F1162-E1162</f>
        <v/>
      </c>
      <c r="H1162" s="4">
        <f>IF(E1162=0,"",F1162/E1162-1)</f>
        <v/>
      </c>
      <c r="I1162" t="inlineStr"/>
    </row>
    <row r="1163">
      <c r="A1163" t="inlineStr">
        <is>
          <t>Machinery &amp; electronics</t>
        </is>
      </c>
      <c r="B1163" t="inlineStr">
        <is>
          <t>84</t>
        </is>
      </c>
      <c r="C1163" t="inlineStr">
        <is>
          <t>84089010</t>
        </is>
      </c>
      <c r="D1163" t="inlineStr">
        <is>
          <t>STATIONARY ENGINES OF CYLNDR CPCTY&gt;50 CC</t>
        </is>
      </c>
      <c r="E1163" s="3" t="n">
        <v>0.04</v>
      </c>
      <c r="F1163" s="3" t="n">
        <v>0.09</v>
      </c>
      <c r="G1163" s="3">
        <f>F1163-E1163</f>
        <v/>
      </c>
      <c r="H1163" s="4">
        <f>IF(E1163=0,"",F1163/E1163-1)</f>
        <v/>
      </c>
      <c r="I1163" t="inlineStr"/>
    </row>
    <row r="1164">
      <c r="A1164" t="inlineStr">
        <is>
          <t>Machinery &amp; electronics</t>
        </is>
      </c>
      <c r="B1164" t="inlineStr">
        <is>
          <t>84</t>
        </is>
      </c>
      <c r="C1164" t="inlineStr">
        <is>
          <t>84099199</t>
        </is>
      </c>
      <c r="D1164" t="inlineStr">
        <is>
          <t>OTHER PARTS OF SPRK-IGNITION ENGINES</t>
        </is>
      </c>
      <c r="E1164" s="3" t="n">
        <v>0.03</v>
      </c>
      <c r="F1164" s="3" t="n">
        <v>0.09</v>
      </c>
      <c r="G1164" s="3">
        <f>F1164-E1164</f>
        <v/>
      </c>
      <c r="H1164" s="4">
        <f>IF(E1164=0,"",F1164/E1164-1)</f>
        <v/>
      </c>
      <c r="I1164" t="inlineStr"/>
    </row>
    <row r="1165">
      <c r="A1165" t="inlineStr">
        <is>
          <t>Machinery &amp; electronics</t>
        </is>
      </c>
      <c r="B1165" t="inlineStr">
        <is>
          <t>84</t>
        </is>
      </c>
      <c r="C1165" t="inlineStr">
        <is>
          <t>84109000</t>
        </is>
      </c>
      <c r="D1165" t="inlineStr">
        <is>
          <t>PARTS OF HYDRLIC TURBNES INCL REGULATORS</t>
        </is>
      </c>
      <c r="E1165" s="3" t="n">
        <v>0</v>
      </c>
      <c r="F1165" s="3" t="n">
        <v>0.09</v>
      </c>
      <c r="G1165" s="3">
        <f>F1165-E1165</f>
        <v/>
      </c>
      <c r="H1165" s="4">
        <f>IF(E1165=0,"",F1165/E1165-1)</f>
        <v/>
      </c>
      <c r="I1165" t="inlineStr"/>
    </row>
    <row r="1166">
      <c r="A1166" t="inlineStr">
        <is>
          <t>Machinery &amp; electronics</t>
        </is>
      </c>
      <c r="B1166" t="inlineStr">
        <is>
          <t>84</t>
        </is>
      </c>
      <c r="C1166" t="inlineStr">
        <is>
          <t>84158390</t>
        </is>
      </c>
      <c r="D1166" t="inlineStr">
        <is>
          <t>OTHR AIR CNDTNG MCHNS NT INCRPRTNG RFRGRTNUNIT</t>
        </is>
      </c>
      <c r="E1166" s="3" t="n">
        <v>0.97</v>
      </c>
      <c r="F1166" s="3" t="n">
        <v>0.09</v>
      </c>
      <c r="G1166" s="3">
        <f>F1166-E1166</f>
        <v/>
      </c>
      <c r="H1166" s="4">
        <f>IF(E1166=0,"",F1166/E1166-1)</f>
        <v/>
      </c>
      <c r="I1166" t="inlineStr"/>
    </row>
    <row r="1167">
      <c r="A1167" t="inlineStr">
        <is>
          <t>Machinery &amp; electronics</t>
        </is>
      </c>
      <c r="B1167" t="inlineStr">
        <is>
          <t>84</t>
        </is>
      </c>
      <c r="C1167" t="inlineStr">
        <is>
          <t>84211950</t>
        </is>
      </c>
      <c r="D1167" t="inlineStr">
        <is>
          <t>DECANTER CENTRIFUGES HORIZONTAL BOWL</t>
        </is>
      </c>
      <c r="E1167" s="3" t="n">
        <v>1.21</v>
      </c>
      <c r="F1167" s="3" t="n">
        <v>0.09</v>
      </c>
      <c r="G1167" s="3">
        <f>F1167-E1167</f>
        <v/>
      </c>
      <c r="H1167" s="4">
        <f>IF(E1167=0,"",F1167/E1167-1)</f>
        <v/>
      </c>
      <c r="I1167" t="inlineStr"/>
    </row>
    <row r="1168">
      <c r="A1168" t="inlineStr">
        <is>
          <t>Machinery &amp; electronics</t>
        </is>
      </c>
      <c r="B1168" t="inlineStr">
        <is>
          <t>84</t>
        </is>
      </c>
      <c r="C1168" t="inlineStr">
        <is>
          <t>84269100</t>
        </is>
      </c>
      <c r="D1168" t="inlineStr">
        <is>
          <t>MCHNRY DSGND FOR MOUNTNG ON ROAD VEHICLES</t>
        </is>
      </c>
      <c r="E1168" s="3" t="n">
        <v>0.09</v>
      </c>
      <c r="F1168" s="3" t="n">
        <v>0.09</v>
      </c>
      <c r="G1168" s="3">
        <f>F1168-E1168</f>
        <v/>
      </c>
      <c r="H1168" s="4">
        <f>IF(E1168=0,"",F1168/E1168-1)</f>
        <v/>
      </c>
      <c r="I1168" t="inlineStr"/>
    </row>
    <row r="1169">
      <c r="A1169" t="inlineStr">
        <is>
          <t>Machinery &amp; electronics</t>
        </is>
      </c>
      <c r="B1169" t="inlineStr">
        <is>
          <t>84</t>
        </is>
      </c>
      <c r="C1169" t="inlineStr">
        <is>
          <t>84305010</t>
        </is>
      </c>
      <c r="D1169" t="inlineStr">
        <is>
          <t>MINING MCHNRY,EXCL COAL MINING(CUTNG MCHN)</t>
        </is>
      </c>
      <c r="E1169" s="3" t="n">
        <v>0</v>
      </c>
      <c r="F1169" s="3" t="n">
        <v>0.09</v>
      </c>
      <c r="G1169" s="3">
        <f>F1169-E1169</f>
        <v/>
      </c>
      <c r="H1169" s="4">
        <f>IF(E1169=0,"",F1169/E1169-1)</f>
        <v/>
      </c>
      <c r="I1169" t="inlineStr"/>
    </row>
    <row r="1170">
      <c r="A1170" t="inlineStr">
        <is>
          <t>Machinery &amp; electronics</t>
        </is>
      </c>
      <c r="B1170" t="inlineStr">
        <is>
          <t>84</t>
        </is>
      </c>
      <c r="C1170" t="inlineStr">
        <is>
          <t>84321010</t>
        </is>
      </c>
      <c r="D1170" t="inlineStr">
        <is>
          <t>DISC PLOUGHS</t>
        </is>
      </c>
      <c r="E1170" s="3" t="n">
        <v>0</v>
      </c>
      <c r="F1170" s="3" t="n">
        <v>0.09</v>
      </c>
      <c r="G1170" s="3">
        <f>F1170-E1170</f>
        <v/>
      </c>
      <c r="H1170" s="4">
        <f>IF(E1170=0,"",F1170/E1170-1)</f>
        <v/>
      </c>
      <c r="I1170" t="inlineStr"/>
    </row>
    <row r="1171">
      <c r="A1171" t="inlineStr">
        <is>
          <t>Machinery &amp; electronics</t>
        </is>
      </c>
      <c r="B1171" t="inlineStr">
        <is>
          <t>84</t>
        </is>
      </c>
      <c r="C1171" t="inlineStr">
        <is>
          <t>84483290</t>
        </is>
      </c>
      <c r="D1171" t="inlineStr">
        <is>
          <t>PRTS AND ACCSSRS FOR OTHR TXTL FIBRS PROCESSING MACHINES</t>
        </is>
      </c>
      <c r="E1171" s="3" t="n">
        <v>0.19</v>
      </c>
      <c r="F1171" s="3" t="n">
        <v>0.09</v>
      </c>
      <c r="G1171" s="3">
        <f>F1171-E1171</f>
        <v/>
      </c>
      <c r="H1171" s="4">
        <f>IF(E1171=0,"",F1171/E1171-1)</f>
        <v/>
      </c>
      <c r="I1171" t="inlineStr"/>
    </row>
    <row r="1172">
      <c r="A1172" t="inlineStr">
        <is>
          <t>Machinery &amp; electronics</t>
        </is>
      </c>
      <c r="B1172" t="inlineStr">
        <is>
          <t>84</t>
        </is>
      </c>
      <c r="C1172" t="inlineStr">
        <is>
          <t>84522110</t>
        </is>
      </c>
      <c r="D1172" t="inlineStr">
        <is>
          <t>AUTOMATIC INDUSTRIAL SEWNG MCHNS WTH CAPCTY &gt;=150WATT AND SPD&gt;=1500 STCHS/MIN</t>
        </is>
      </c>
      <c r="E1172" s="3" t="n">
        <v>0.26</v>
      </c>
      <c r="F1172" s="3" t="n">
        <v>0.09</v>
      </c>
      <c r="G1172" s="3">
        <f>F1172-E1172</f>
        <v/>
      </c>
      <c r="H1172" s="4">
        <f>IF(E1172=0,"",F1172/E1172-1)</f>
        <v/>
      </c>
      <c r="I1172" t="inlineStr"/>
    </row>
    <row r="1173">
      <c r="A1173" t="inlineStr">
        <is>
          <t>Machinery &amp; electronics</t>
        </is>
      </c>
      <c r="B1173" t="inlineStr">
        <is>
          <t>84</t>
        </is>
      </c>
      <c r="C1173" t="inlineStr">
        <is>
          <t>84569090</t>
        </is>
      </c>
      <c r="D1173" t="inlineStr">
        <is>
          <t>OTHERS-OF-OTHERS-OF-MCHN-TOLLS FR WRKNG ANY MATRL BY RMVL OFMATRL,BY LASR/OTHR LIGHT/PHOTN BEAM,ULTRSONC ELCTRO-DSCHRG,ELCTRO-</t>
        </is>
      </c>
      <c r="E1173" s="3" t="n">
        <v>0.18</v>
      </c>
      <c r="F1173" s="3" t="n">
        <v>0.09</v>
      </c>
      <c r="G1173" s="3">
        <f>F1173-E1173</f>
        <v/>
      </c>
      <c r="H1173" s="4">
        <f>IF(E1173=0,"",F1173/E1173-1)</f>
        <v/>
      </c>
      <c r="I1173" t="inlineStr"/>
    </row>
    <row r="1174">
      <c r="A1174" t="inlineStr">
        <is>
          <t>Machinery &amp; electronics</t>
        </is>
      </c>
      <c r="B1174" t="inlineStr">
        <is>
          <t>84</t>
        </is>
      </c>
      <c r="C1174" t="inlineStr">
        <is>
          <t>84581911</t>
        </is>
      </c>
      <c r="D1174" t="inlineStr">
        <is>
          <t>AUTMTC,SNGL SPNDL HORZNTL BAR,SWISS TYPE</t>
        </is>
      </c>
      <c r="E1174" s="3" t="n">
        <v>0.3</v>
      </c>
      <c r="F1174" s="3" t="n">
        <v>0.09</v>
      </c>
      <c r="G1174" s="3">
        <f>F1174-E1174</f>
        <v/>
      </c>
      <c r="H1174" s="4">
        <f>IF(E1174=0,"",F1174/E1174-1)</f>
        <v/>
      </c>
      <c r="I1174" t="inlineStr"/>
    </row>
    <row r="1175">
      <c r="A1175" t="inlineStr">
        <is>
          <t>Machinery &amp; electronics</t>
        </is>
      </c>
      <c r="B1175" t="inlineStr">
        <is>
          <t>84</t>
        </is>
      </c>
      <c r="C1175" t="inlineStr">
        <is>
          <t>84581990</t>
        </is>
      </c>
      <c r="D1175" t="inlineStr">
        <is>
          <t>OTHER HORIZONTAL LATHES</t>
        </is>
      </c>
      <c r="E1175" s="3" t="n">
        <v>0.27</v>
      </c>
      <c r="F1175" s="3" t="n">
        <v>0.09</v>
      </c>
      <c r="G1175" s="3">
        <f>F1175-E1175</f>
        <v/>
      </c>
      <c r="H1175" s="4">
        <f>IF(E1175=0,"",F1175/E1175-1)</f>
        <v/>
      </c>
      <c r="I1175" t="inlineStr"/>
    </row>
    <row r="1176">
      <c r="A1176" t="inlineStr">
        <is>
          <t>Machinery &amp; electronics</t>
        </is>
      </c>
      <c r="B1176" t="inlineStr">
        <is>
          <t>84</t>
        </is>
      </c>
      <c r="C1176" t="inlineStr">
        <is>
          <t>84669200</t>
        </is>
      </c>
      <c r="D1176" t="inlineStr">
        <is>
          <t>PRTS AND ACCSSRS FR MCHNS OF HDG NO.8465</t>
        </is>
      </c>
      <c r="E1176" s="3" t="n">
        <v>0.03</v>
      </c>
      <c r="F1176" s="3" t="n">
        <v>0.09</v>
      </c>
      <c r="G1176" s="3">
        <f>F1176-E1176</f>
        <v/>
      </c>
      <c r="H1176" s="4">
        <f>IF(E1176=0,"",F1176/E1176-1)</f>
        <v/>
      </c>
      <c r="I1176" t="inlineStr"/>
    </row>
    <row r="1177">
      <c r="A1177" t="inlineStr">
        <is>
          <t>Machinery &amp; electronics</t>
        </is>
      </c>
      <c r="B1177" t="inlineStr">
        <is>
          <t>84</t>
        </is>
      </c>
      <c r="C1177" t="inlineStr">
        <is>
          <t>84713010</t>
        </is>
      </c>
      <c r="D1177" t="inlineStr">
        <is>
          <t>PERSONAL COMPUTER (LAPTOP,PALMTOP,ETC)</t>
        </is>
      </c>
      <c r="E1177" s="3" t="n">
        <v>0.01</v>
      </c>
      <c r="F1177" s="3" t="n">
        <v>0.09</v>
      </c>
      <c r="G1177" s="3">
        <f>F1177-E1177</f>
        <v/>
      </c>
      <c r="H1177" s="4">
        <f>IF(E1177=0,"",F1177/E1177-1)</f>
        <v/>
      </c>
      <c r="I1177" t="inlineStr"/>
    </row>
    <row r="1178">
      <c r="A1178" t="inlineStr">
        <is>
          <t>Machinery &amp; electronics</t>
        </is>
      </c>
      <c r="B1178" t="inlineStr">
        <is>
          <t>84</t>
        </is>
      </c>
      <c r="C1178" t="inlineStr">
        <is>
          <t>84714190</t>
        </is>
      </c>
      <c r="D1178" t="inlineStr">
        <is>
          <t>OTHR DGTL AUTOMATC DATA-PROCESNG MACHINE COMPRISNG A CENTRAL PROCESNG UNIT AND AN INPUT AND OUTPUT UNIT WH/NOT COMBI</t>
        </is>
      </c>
      <c r="E1178" s="3" t="n">
        <v>0.02</v>
      </c>
      <c r="F1178" s="3" t="n">
        <v>0.09</v>
      </c>
      <c r="G1178" s="3">
        <f>F1178-E1178</f>
        <v/>
      </c>
      <c r="H1178" s="4">
        <f>IF(E1178=0,"",F1178/E1178-1)</f>
        <v/>
      </c>
      <c r="I1178" t="inlineStr"/>
    </row>
    <row r="1179">
      <c r="A1179" t="inlineStr">
        <is>
          <t>Machinery &amp; electronics</t>
        </is>
      </c>
      <c r="B1179" t="inlineStr">
        <is>
          <t>85</t>
        </is>
      </c>
      <c r="C1179" t="inlineStr">
        <is>
          <t>85143900</t>
        </is>
      </c>
      <c r="D1179" t="inlineStr">
        <is>
          <t>OTHERS-OF-OTHERS-OF-INDSTRL/LABORATORY ELCTRC(INCL INDUCTN/ DIELCTRC)FURNACES ETC;OTHR INDSTRL/ LABORATORY INDUCTN/DIELCTRC HT</t>
        </is>
      </c>
      <c r="E1179" s="3" t="n">
        <v>0.23</v>
      </c>
      <c r="F1179" s="3" t="n">
        <v>0.09</v>
      </c>
      <c r="G1179" s="3">
        <f>F1179-E1179</f>
        <v/>
      </c>
      <c r="H1179" s="4">
        <f>IF(E1179=0,"",F1179/E1179-1)</f>
        <v/>
      </c>
      <c r="I1179" t="inlineStr"/>
    </row>
    <row r="1180">
      <c r="A1180" t="inlineStr">
        <is>
          <t>Machinery &amp; electronics</t>
        </is>
      </c>
      <c r="B1180" t="inlineStr">
        <is>
          <t>85</t>
        </is>
      </c>
      <c r="C1180" t="inlineStr">
        <is>
          <t>85182990</t>
        </is>
      </c>
      <c r="D1180" t="inlineStr">
        <is>
          <t>OTHR LOUD SPEAKERS,W/N MNTD IN THR ENCLSRS</t>
        </is>
      </c>
      <c r="E1180" s="3" t="n">
        <v>0.25</v>
      </c>
      <c r="F1180" s="3" t="n">
        <v>0.09</v>
      </c>
      <c r="G1180" s="3">
        <f>F1180-E1180</f>
        <v/>
      </c>
      <c r="H1180" s="4">
        <f>IF(E1180=0,"",F1180/E1180-1)</f>
        <v/>
      </c>
      <c r="I1180" t="inlineStr"/>
    </row>
    <row r="1181">
      <c r="A1181" t="inlineStr">
        <is>
          <t>Machinery &amp; electronics</t>
        </is>
      </c>
      <c r="B1181" t="inlineStr">
        <is>
          <t>85</t>
        </is>
      </c>
      <c r="C1181" t="inlineStr">
        <is>
          <t>85287219</t>
        </is>
      </c>
      <c r="D1181" t="inlineStr">
        <is>
          <t>OTHER LCD TV SET</t>
        </is>
      </c>
      <c r="E1181" s="3" t="n">
        <v>0.01</v>
      </c>
      <c r="F1181" s="3" t="n">
        <v>0.09</v>
      </c>
      <c r="G1181" s="3">
        <f>F1181-E1181</f>
        <v/>
      </c>
      <c r="H1181" s="4">
        <f>IF(E1181=0,"",F1181/E1181-1)</f>
        <v/>
      </c>
      <c r="I1181" t="inlineStr"/>
    </row>
    <row r="1182">
      <c r="A1182" t="inlineStr">
        <is>
          <t>Machinery &amp; electronics</t>
        </is>
      </c>
      <c r="B1182" t="inlineStr">
        <is>
          <t>85</t>
        </is>
      </c>
      <c r="C1182" t="inlineStr">
        <is>
          <t>85413090</t>
        </is>
      </c>
      <c r="D1182" t="inlineStr">
        <is>
          <t>OTHERS-OF-THYRISTORS,DIACS AND TRIACS,OTHER THN PHOTOSENSITIVE DEVICES</t>
        </is>
      </c>
      <c r="E1182" s="3" t="n">
        <v>0.02</v>
      </c>
      <c r="F1182" s="3" t="n">
        <v>0.09</v>
      </c>
      <c r="G1182" s="3">
        <f>F1182-E1182</f>
        <v/>
      </c>
      <c r="H1182" s="4">
        <f>IF(E1182=0,"",F1182/E1182-1)</f>
        <v/>
      </c>
      <c r="I1182" t="inlineStr"/>
    </row>
    <row r="1183">
      <c r="A1183" t="inlineStr">
        <is>
          <t>Machinery &amp; electronics</t>
        </is>
      </c>
      <c r="B1183" t="inlineStr">
        <is>
          <t>84</t>
        </is>
      </c>
      <c r="C1183" t="inlineStr">
        <is>
          <t>84042000</t>
        </is>
      </c>
      <c r="D1183" t="inlineStr">
        <is>
          <t>CONDENSERS FOR STEAM/OTHR VPR POWR UNITS</t>
        </is>
      </c>
      <c r="E1183" s="3" t="n">
        <v>0.12</v>
      </c>
      <c r="F1183" s="3" t="n">
        <v>0.08</v>
      </c>
      <c r="G1183" s="3">
        <f>F1183-E1183</f>
        <v/>
      </c>
      <c r="H1183" s="4">
        <f>IF(E1183=0,"",F1183/E1183-1)</f>
        <v/>
      </c>
      <c r="I1183" t="inlineStr"/>
    </row>
    <row r="1184">
      <c r="A1184" t="inlineStr">
        <is>
          <t>Machinery &amp; electronics</t>
        </is>
      </c>
      <c r="B1184" t="inlineStr">
        <is>
          <t>84</t>
        </is>
      </c>
      <c r="C1184" t="inlineStr">
        <is>
          <t>84051090</t>
        </is>
      </c>
      <c r="D1184" t="inlineStr">
        <is>
          <t>OTHER GAS GENERATORS</t>
        </is>
      </c>
      <c r="E1184" s="3" t="n">
        <v>0.06</v>
      </c>
      <c r="F1184" s="3" t="n">
        <v>0.08</v>
      </c>
      <c r="G1184" s="3">
        <f>F1184-E1184</f>
        <v/>
      </c>
      <c r="H1184" s="4">
        <f>IF(E1184=0,"",F1184/E1184-1)</f>
        <v/>
      </c>
      <c r="I1184" t="inlineStr"/>
    </row>
    <row r="1185">
      <c r="A1185" t="inlineStr">
        <is>
          <t>Machinery &amp; electronics</t>
        </is>
      </c>
      <c r="B1185" t="inlineStr">
        <is>
          <t>84</t>
        </is>
      </c>
      <c r="C1185" t="inlineStr">
        <is>
          <t>84133010</t>
        </is>
      </c>
      <c r="D1185" t="inlineStr">
        <is>
          <t>INJECTION PUMPS FOR DIESEL ENGINES</t>
        </is>
      </c>
      <c r="E1185" s="3" t="n">
        <v>0.08</v>
      </c>
      <c r="F1185" s="3" t="n">
        <v>0.08</v>
      </c>
      <c r="G1185" s="3">
        <f>F1185-E1185</f>
        <v/>
      </c>
      <c r="H1185" s="4">
        <f>IF(E1185=0,"",F1185/E1185-1)</f>
        <v/>
      </c>
      <c r="I1185" t="inlineStr"/>
    </row>
    <row r="1186">
      <c r="A1186" t="inlineStr">
        <is>
          <t>Machinery &amp; electronics</t>
        </is>
      </c>
      <c r="B1186" t="inlineStr">
        <is>
          <t>84</t>
        </is>
      </c>
      <c r="C1186" t="inlineStr">
        <is>
          <t>84149030</t>
        </is>
      </c>
      <c r="D1186" t="inlineStr">
        <is>
          <t>REGULATORS AND PARTS OF ELECTRIC FANS</t>
        </is>
      </c>
      <c r="E1186" s="3" t="n">
        <v>0.14</v>
      </c>
      <c r="F1186" s="3" t="n">
        <v>0.08</v>
      </c>
      <c r="G1186" s="3">
        <f>F1186-E1186</f>
        <v/>
      </c>
      <c r="H1186" s="4">
        <f>IF(E1186=0,"",F1186/E1186-1)</f>
        <v/>
      </c>
      <c r="I1186" t="inlineStr"/>
    </row>
    <row r="1187">
      <c r="A1187" t="inlineStr">
        <is>
          <t>Machinery &amp; electronics</t>
        </is>
      </c>
      <c r="B1187" t="inlineStr">
        <is>
          <t>84</t>
        </is>
      </c>
      <c r="C1187" t="inlineStr">
        <is>
          <t>84191920</t>
        </is>
      </c>
      <c r="D1187" t="inlineStr">
        <is>
          <t>NON-ELECTRICAL(OTHR THAN DOMESTIC TYPE)</t>
        </is>
      </c>
      <c r="E1187" s="3" t="n">
        <v>0.01</v>
      </c>
      <c r="F1187" s="3" t="n">
        <v>0.08</v>
      </c>
      <c r="G1187" s="3">
        <f>F1187-E1187</f>
        <v/>
      </c>
      <c r="H1187" s="4">
        <f>IF(E1187=0,"",F1187/E1187-1)</f>
        <v/>
      </c>
      <c r="I1187" t="inlineStr"/>
    </row>
    <row r="1188">
      <c r="A1188" t="inlineStr">
        <is>
          <t>Machinery &amp; electronics</t>
        </is>
      </c>
      <c r="B1188" t="inlineStr">
        <is>
          <t>84</t>
        </is>
      </c>
      <c r="C1188" t="inlineStr">
        <is>
          <t>84283200</t>
        </is>
      </c>
      <c r="D1188" t="inlineStr">
        <is>
          <t>OTHR CONTINUOUS ACTION ELEVATRS AND CONVEYRSFOR GOODS/MATERIALS,BUCKET TYPE</t>
        </is>
      </c>
      <c r="E1188" s="3" t="n">
        <v>0.13</v>
      </c>
      <c r="F1188" s="3" t="n">
        <v>0.08</v>
      </c>
      <c r="G1188" s="3">
        <f>F1188-E1188</f>
        <v/>
      </c>
      <c r="H1188" s="4">
        <f>IF(E1188=0,"",F1188/E1188-1)</f>
        <v/>
      </c>
      <c r="I1188" t="inlineStr"/>
    </row>
    <row r="1189">
      <c r="A1189" t="inlineStr">
        <is>
          <t>Machinery &amp; electronics</t>
        </is>
      </c>
      <c r="B1189" t="inlineStr">
        <is>
          <t>84</t>
        </is>
      </c>
      <c r="C1189" t="inlineStr">
        <is>
          <t>84324100</t>
        </is>
      </c>
      <c r="D1189" t="inlineStr">
        <is>
          <t>MANURE SPREADERS</t>
        </is>
      </c>
      <c r="E1189" s="3" t="n">
        <v>0</v>
      </c>
      <c r="F1189" s="3" t="n">
        <v>0.08</v>
      </c>
      <c r="G1189" s="3">
        <f>F1189-E1189</f>
        <v/>
      </c>
      <c r="H1189" s="4">
        <f>IF(E1189=0,"",F1189/E1189-1)</f>
        <v/>
      </c>
      <c r="I1189" t="inlineStr"/>
    </row>
    <row r="1190">
      <c r="A1190" t="inlineStr">
        <is>
          <t>Machinery &amp; electronics</t>
        </is>
      </c>
      <c r="B1190" t="inlineStr">
        <is>
          <t>84</t>
        </is>
      </c>
      <c r="C1190" t="inlineStr">
        <is>
          <t>84371000</t>
        </is>
      </c>
      <c r="D1190" t="inlineStr">
        <is>
          <t>MACHINES FOR CLEANING,SORTING OR GRADING SEED,GRAIN OR DRIED LEGUMINOUS VEGETABLES</t>
        </is>
      </c>
      <c r="E1190" s="3" t="n">
        <v>0.02</v>
      </c>
      <c r="F1190" s="3" t="n">
        <v>0.08</v>
      </c>
      <c r="G1190" s="3">
        <f>F1190-E1190</f>
        <v/>
      </c>
      <c r="H1190" s="4">
        <f>IF(E1190=0,"",F1190/E1190-1)</f>
        <v/>
      </c>
      <c r="I1190" t="inlineStr"/>
    </row>
    <row r="1191">
      <c r="A1191" t="inlineStr">
        <is>
          <t>Machinery &amp; electronics</t>
        </is>
      </c>
      <c r="B1191" t="inlineStr">
        <is>
          <t>84</t>
        </is>
      </c>
      <c r="C1191" t="inlineStr">
        <is>
          <t>84411010</t>
        </is>
      </c>
      <c r="D1191" t="inlineStr">
        <is>
          <t>PAPER CUTTING MACHINES WITHOUT AUTOMATIC PROGRAMMES</t>
        </is>
      </c>
      <c r="E1191" s="3" t="n">
        <v>0.04</v>
      </c>
      <c r="F1191" s="3" t="n">
        <v>0.08</v>
      </c>
      <c r="G1191" s="3">
        <f>F1191-E1191</f>
        <v/>
      </c>
      <c r="H1191" s="4">
        <f>IF(E1191=0,"",F1191/E1191-1)</f>
        <v/>
      </c>
      <c r="I1191" t="inlineStr"/>
    </row>
    <row r="1192">
      <c r="A1192" t="inlineStr">
        <is>
          <t>Machinery &amp; electronics</t>
        </is>
      </c>
      <c r="B1192" t="inlineStr">
        <is>
          <t>84</t>
        </is>
      </c>
      <c r="C1192" t="inlineStr">
        <is>
          <t>84614026</t>
        </is>
      </c>
      <c r="D1192" t="inlineStr">
        <is>
          <t>GEAR HOBBER,SPUR AND HELICAL</t>
        </is>
      </c>
      <c r="E1192" s="3" t="n">
        <v>0</v>
      </c>
      <c r="F1192" s="3" t="n">
        <v>0.08</v>
      </c>
      <c r="G1192" s="3">
        <f>F1192-E1192</f>
        <v/>
      </c>
      <c r="H1192" s="4">
        <f>IF(E1192=0,"",F1192/E1192-1)</f>
        <v/>
      </c>
      <c r="I1192" t="inlineStr"/>
    </row>
    <row r="1193">
      <c r="A1193" t="inlineStr">
        <is>
          <t>Machinery &amp; electronics</t>
        </is>
      </c>
      <c r="B1193" t="inlineStr">
        <is>
          <t>84</t>
        </is>
      </c>
      <c r="C1193" t="inlineStr">
        <is>
          <t>84733020</t>
        </is>
      </c>
      <c r="D1193" t="inlineStr">
        <is>
          <t>PRTS AND ACCSSRS OF MOTHERBOARDS</t>
        </is>
      </c>
      <c r="E1193" s="3" t="n">
        <v>0</v>
      </c>
      <c r="F1193" s="3" t="n">
        <v>0.08</v>
      </c>
      <c r="G1193" s="3">
        <f>F1193-E1193</f>
        <v/>
      </c>
      <c r="H1193" s="4">
        <f>IF(E1193=0,"",F1193/E1193-1)</f>
        <v/>
      </c>
      <c r="I1193" t="inlineStr"/>
    </row>
    <row r="1194">
      <c r="A1194" t="inlineStr">
        <is>
          <t>Machinery &amp; electronics</t>
        </is>
      </c>
      <c r="B1194" t="inlineStr">
        <is>
          <t>84</t>
        </is>
      </c>
      <c r="C1194" t="inlineStr">
        <is>
          <t>84797900</t>
        </is>
      </c>
      <c r="D1194" t="inlineStr">
        <is>
          <t>PASSANGER BOARDING BRIDGES NOT USED IN AIRPORT</t>
        </is>
      </c>
      <c r="E1194" s="3" t="n">
        <v>0.03</v>
      </c>
      <c r="F1194" s="3" t="n">
        <v>0.08</v>
      </c>
      <c r="G1194" s="3">
        <f>F1194-E1194</f>
        <v/>
      </c>
      <c r="H1194" s="4">
        <f>IF(E1194=0,"",F1194/E1194-1)</f>
        <v/>
      </c>
      <c r="I1194" t="inlineStr"/>
    </row>
    <row r="1195">
      <c r="A1195" t="inlineStr">
        <is>
          <t>Machinery &amp; electronics</t>
        </is>
      </c>
      <c r="B1195" t="inlineStr">
        <is>
          <t>84</t>
        </is>
      </c>
      <c r="C1195" t="inlineStr">
        <is>
          <t>84799020</t>
        </is>
      </c>
      <c r="D1195" t="inlineStr">
        <is>
          <t>PARTS OF THE MACHINES FOR THE ANIMAL AND VEGETABLE FATS AND OIL INDUSTRY</t>
        </is>
      </c>
      <c r="E1195" s="3" t="n">
        <v>0.07000000000000001</v>
      </c>
      <c r="F1195" s="3" t="n">
        <v>0.08</v>
      </c>
      <c r="G1195" s="3">
        <f>F1195-E1195</f>
        <v/>
      </c>
      <c r="H1195" s="4">
        <f>IF(E1195=0,"",F1195/E1195-1)</f>
        <v/>
      </c>
      <c r="I1195" t="inlineStr"/>
    </row>
    <row r="1196">
      <c r="A1196" t="inlineStr">
        <is>
          <t>Machinery &amp; electronics</t>
        </is>
      </c>
      <c r="B1196" t="inlineStr">
        <is>
          <t>84</t>
        </is>
      </c>
      <c r="C1196" t="inlineStr">
        <is>
          <t>84822011</t>
        </is>
      </c>
      <c r="D1196" t="inlineStr">
        <is>
          <t>TAPPERED ROLLER BEARINGS(RADIAL TYPE) &lt;=50 MM OR 2 INCHES BORE DIAMETER</t>
        </is>
      </c>
      <c r="E1196" s="3" t="n">
        <v>0.02</v>
      </c>
      <c r="F1196" s="3" t="n">
        <v>0.08</v>
      </c>
      <c r="G1196" s="3">
        <f>F1196-E1196</f>
        <v/>
      </c>
      <c r="H1196" s="4">
        <f>IF(E1196=0,"",F1196/E1196-1)</f>
        <v/>
      </c>
      <c r="I1196" t="inlineStr"/>
    </row>
    <row r="1197">
      <c r="A1197" t="inlineStr">
        <is>
          <t>Machinery &amp; electronics</t>
        </is>
      </c>
      <c r="B1197" t="inlineStr">
        <is>
          <t>85</t>
        </is>
      </c>
      <c r="C1197" t="inlineStr">
        <is>
          <t>85013119</t>
        </is>
      </c>
      <c r="D1197" t="inlineStr">
        <is>
          <t>OTHER MOTOR WTH OUTPUT &gt;37.5 W</t>
        </is>
      </c>
      <c r="E1197" s="3" t="n">
        <v>0.05</v>
      </c>
      <c r="F1197" s="3" t="n">
        <v>0.08</v>
      </c>
      <c r="G1197" s="3">
        <f>F1197-E1197</f>
        <v/>
      </c>
      <c r="H1197" s="4">
        <f>IF(E1197=0,"",F1197/E1197-1)</f>
        <v/>
      </c>
      <c r="I1197" t="inlineStr"/>
    </row>
    <row r="1198">
      <c r="A1198" t="inlineStr">
        <is>
          <t>Machinery &amp; electronics</t>
        </is>
      </c>
      <c r="B1198" t="inlineStr">
        <is>
          <t>85</t>
        </is>
      </c>
      <c r="C1198" t="inlineStr">
        <is>
          <t>85249990</t>
        </is>
      </c>
      <c r="D1198" t="inlineStr">
        <is>
          <t>OTHERS-OF-OTHERS-OF-FLAT PANEL DISPLAY MODULES, WHETHER OR NOT INCORPORATING TOUCH-SENSITIVE SCREENS</t>
        </is>
      </c>
      <c r="E1198" s="3" t="n">
        <v>0</v>
      </c>
      <c r="F1198" s="3" t="n">
        <v>0.08</v>
      </c>
      <c r="G1198" s="3">
        <f>F1198-E1198</f>
        <v/>
      </c>
      <c r="H1198" s="4">
        <f>IF(E1198=0,"",F1198/E1198-1)</f>
        <v/>
      </c>
      <c r="I1198" t="inlineStr"/>
    </row>
    <row r="1199">
      <c r="A1199" t="inlineStr">
        <is>
          <t>Machinery &amp; electronics</t>
        </is>
      </c>
      <c r="B1199" t="inlineStr">
        <is>
          <t>85</t>
        </is>
      </c>
      <c r="C1199" t="inlineStr">
        <is>
          <t>85255030</t>
        </is>
      </c>
      <c r="D1199" t="inlineStr">
        <is>
          <t>BROADCAST EQUIPMENT SUB-SYSTEM</t>
        </is>
      </c>
      <c r="E1199" s="3" t="n">
        <v>0</v>
      </c>
      <c r="F1199" s="3" t="n">
        <v>0.08</v>
      </c>
      <c r="G1199" s="3">
        <f>F1199-E1199</f>
        <v/>
      </c>
      <c r="H1199" s="4">
        <f>IF(E1199=0,"",F1199/E1199-1)</f>
        <v/>
      </c>
      <c r="I1199" t="inlineStr"/>
    </row>
    <row r="1200">
      <c r="A1200" t="inlineStr">
        <is>
          <t>Machinery &amp; electronics</t>
        </is>
      </c>
      <c r="B1200" t="inlineStr">
        <is>
          <t>85</t>
        </is>
      </c>
      <c r="C1200" t="inlineStr">
        <is>
          <t>85366190</t>
        </is>
      </c>
      <c r="D1200" t="inlineStr">
        <is>
          <t>LMP HLDRS OF OTHR MATRLS</t>
        </is>
      </c>
      <c r="E1200" s="3" t="n">
        <v>0.01</v>
      </c>
      <c r="F1200" s="3" t="n">
        <v>0.08</v>
      </c>
      <c r="G1200" s="3">
        <f>F1200-E1200</f>
        <v/>
      </c>
      <c r="H1200" s="4">
        <f>IF(E1200=0,"",F1200/E1200-1)</f>
        <v/>
      </c>
      <c r="I1200" t="inlineStr"/>
    </row>
    <row r="1201">
      <c r="A1201" t="inlineStr">
        <is>
          <t>Machinery &amp; electronics</t>
        </is>
      </c>
      <c r="B1201" t="inlineStr">
        <is>
          <t>85</t>
        </is>
      </c>
      <c r="C1201" t="inlineStr">
        <is>
          <t>85395200</t>
        </is>
      </c>
      <c r="D1201" t="inlineStr">
        <is>
          <t>Light-emitting diode (LED) lamps</t>
        </is>
      </c>
      <c r="E1201" s="3" t="n">
        <v>0.21</v>
      </c>
      <c r="F1201" s="3" t="n">
        <v>0.08</v>
      </c>
      <c r="G1201" s="3">
        <f>F1201-E1201</f>
        <v/>
      </c>
      <c r="H1201" s="4">
        <f>IF(E1201=0,"",F1201/E1201-1)</f>
        <v/>
      </c>
      <c r="I1201" t="inlineStr"/>
    </row>
    <row r="1202">
      <c r="A1202" t="inlineStr">
        <is>
          <t>Machinery &amp; electronics</t>
        </is>
      </c>
      <c r="B1202" t="inlineStr">
        <is>
          <t>84</t>
        </is>
      </c>
      <c r="C1202" t="inlineStr">
        <is>
          <t>84131199</t>
        </is>
      </c>
      <c r="D1202" t="inlineStr">
        <is>
          <t>OTHER PUMPS OF THE TYPE USD IN FILLNG STATIONS/IN GARAGES</t>
        </is>
      </c>
      <c r="E1202" s="3" t="n">
        <v>0.03</v>
      </c>
      <c r="F1202" s="3" t="n">
        <v>0.07000000000000001</v>
      </c>
      <c r="G1202" s="3">
        <f>F1202-E1202</f>
        <v/>
      </c>
      <c r="H1202" s="4">
        <f>IF(E1202=0,"",F1202/E1202-1)</f>
        <v/>
      </c>
      <c r="I1202" t="inlineStr"/>
    </row>
    <row r="1203">
      <c r="A1203" t="inlineStr">
        <is>
          <t>Machinery &amp; electronics</t>
        </is>
      </c>
      <c r="B1203" t="inlineStr">
        <is>
          <t>84</t>
        </is>
      </c>
      <c r="C1203" t="inlineStr">
        <is>
          <t>84201000</t>
        </is>
      </c>
      <c r="D1203" t="inlineStr">
        <is>
          <t>CALENDERING OR OTHR ROLLING MACHINES</t>
        </is>
      </c>
      <c r="E1203" s="3" t="n">
        <v>0.17</v>
      </c>
      <c r="F1203" s="3" t="n">
        <v>0.07000000000000001</v>
      </c>
      <c r="G1203" s="3">
        <f>F1203-E1203</f>
        <v/>
      </c>
      <c r="H1203" s="4">
        <f>IF(E1203=0,"",F1203/E1203-1)</f>
        <v/>
      </c>
      <c r="I1203" t="inlineStr"/>
    </row>
    <row r="1204">
      <c r="A1204" t="inlineStr">
        <is>
          <t>Machinery &amp; electronics</t>
        </is>
      </c>
      <c r="B1204" t="inlineStr">
        <is>
          <t>84</t>
        </is>
      </c>
      <c r="C1204" t="inlineStr">
        <is>
          <t>84301010</t>
        </is>
      </c>
      <c r="D1204" t="inlineStr">
        <is>
          <t>PILE DRIVERS</t>
        </is>
      </c>
      <c r="E1204" s="3" t="n">
        <v>0</v>
      </c>
      <c r="F1204" s="3" t="n">
        <v>0.07000000000000001</v>
      </c>
      <c r="G1204" s="3">
        <f>F1204-E1204</f>
        <v/>
      </c>
      <c r="H1204" s="4">
        <f>IF(E1204=0,"",F1204/E1204-1)</f>
        <v/>
      </c>
      <c r="I1204" t="inlineStr"/>
    </row>
    <row r="1205">
      <c r="A1205" t="inlineStr">
        <is>
          <t>Machinery &amp; electronics</t>
        </is>
      </c>
      <c r="B1205" t="inlineStr">
        <is>
          <t>84</t>
        </is>
      </c>
      <c r="C1205" t="inlineStr">
        <is>
          <t>84314910</t>
        </is>
      </c>
      <c r="D1205" t="inlineStr">
        <is>
          <t>PRTS OF ROAD RLLRS,MCHNCLY PRPLD</t>
        </is>
      </c>
      <c r="E1205" s="3" t="n">
        <v>0.03</v>
      </c>
      <c r="F1205" s="3" t="n">
        <v>0.07000000000000001</v>
      </c>
      <c r="G1205" s="3">
        <f>F1205-E1205</f>
        <v/>
      </c>
      <c r="H1205" s="4">
        <f>IF(E1205=0,"",F1205/E1205-1)</f>
        <v/>
      </c>
      <c r="I1205" t="inlineStr"/>
    </row>
    <row r="1206">
      <c r="A1206" t="inlineStr">
        <is>
          <t>Machinery &amp; electronics</t>
        </is>
      </c>
      <c r="B1206" t="inlineStr">
        <is>
          <t>84</t>
        </is>
      </c>
      <c r="C1206" t="inlineStr">
        <is>
          <t>84383090</t>
        </is>
      </c>
      <c r="D1206" t="inlineStr">
        <is>
          <t>SUGAR MANUFACTURING MCHNRY(EXCL CNTRFGS)</t>
        </is>
      </c>
      <c r="E1206" s="3" t="n">
        <v>0.05</v>
      </c>
      <c r="F1206" s="3" t="n">
        <v>0.07000000000000001</v>
      </c>
      <c r="G1206" s="3">
        <f>F1206-E1206</f>
        <v/>
      </c>
      <c r="H1206" s="4">
        <f>IF(E1206=0,"",F1206/E1206-1)</f>
        <v/>
      </c>
      <c r="I1206" t="inlineStr"/>
    </row>
    <row r="1207">
      <c r="A1207" t="inlineStr">
        <is>
          <t>Machinery &amp; electronics</t>
        </is>
      </c>
      <c r="B1207" t="inlineStr">
        <is>
          <t>84</t>
        </is>
      </c>
      <c r="C1207" t="inlineStr">
        <is>
          <t>84597010</t>
        </is>
      </c>
      <c r="D1207" t="inlineStr">
        <is>
          <t>THREADING MACHINES</t>
        </is>
      </c>
      <c r="E1207" s="3" t="n">
        <v>0.02</v>
      </c>
      <c r="F1207" s="3" t="n">
        <v>0.07000000000000001</v>
      </c>
      <c r="G1207" s="3">
        <f>F1207-E1207</f>
        <v/>
      </c>
      <c r="H1207" s="4">
        <f>IF(E1207=0,"",F1207/E1207-1)</f>
        <v/>
      </c>
      <c r="I1207" t="inlineStr"/>
    </row>
    <row r="1208">
      <c r="A1208" t="inlineStr">
        <is>
          <t>Machinery &amp; electronics</t>
        </is>
      </c>
      <c r="B1208" t="inlineStr">
        <is>
          <t>84</t>
        </is>
      </c>
      <c r="C1208" t="inlineStr">
        <is>
          <t>84603910</t>
        </is>
      </c>
      <c r="D1208" t="inlineStr">
        <is>
          <t>GRINDER,TOOL/CUTTER</t>
        </is>
      </c>
      <c r="E1208" s="3" t="n">
        <v>0.03</v>
      </c>
      <c r="F1208" s="3" t="n">
        <v>0.07000000000000001</v>
      </c>
      <c r="G1208" s="3">
        <f>F1208-E1208</f>
        <v/>
      </c>
      <c r="H1208" s="4">
        <f>IF(E1208=0,"",F1208/E1208-1)</f>
        <v/>
      </c>
      <c r="I1208" t="inlineStr"/>
    </row>
    <row r="1209">
      <c r="A1209" t="inlineStr">
        <is>
          <t>Machinery &amp; electronics</t>
        </is>
      </c>
      <c r="B1209" t="inlineStr">
        <is>
          <t>84</t>
        </is>
      </c>
      <c r="C1209" t="inlineStr">
        <is>
          <t>84663010</t>
        </is>
      </c>
      <c r="D1209" t="inlineStr">
        <is>
          <t>CHUCKS,MCHNCL/PNEUMATIC</t>
        </is>
      </c>
      <c r="E1209" s="3" t="n">
        <v>0.09</v>
      </c>
      <c r="F1209" s="3" t="n">
        <v>0.07000000000000001</v>
      </c>
      <c r="G1209" s="3">
        <f>F1209-E1209</f>
        <v/>
      </c>
      <c r="H1209" s="4">
        <f>IF(E1209=0,"",F1209/E1209-1)</f>
        <v/>
      </c>
      <c r="I1209" t="inlineStr"/>
    </row>
    <row r="1210">
      <c r="A1210" t="inlineStr">
        <is>
          <t>Machinery &amp; electronics</t>
        </is>
      </c>
      <c r="B1210" t="inlineStr">
        <is>
          <t>84</t>
        </is>
      </c>
      <c r="C1210" t="inlineStr">
        <is>
          <t>84672100</t>
        </is>
      </c>
      <c r="D1210" t="inlineStr">
        <is>
          <t>DRILLS WTH SELF CONTAINED ELEC. MOTOR</t>
        </is>
      </c>
      <c r="E1210" s="3" t="n">
        <v>0.04</v>
      </c>
      <c r="F1210" s="3" t="n">
        <v>0.07000000000000001</v>
      </c>
      <c r="G1210" s="3">
        <f>F1210-E1210</f>
        <v/>
      </c>
      <c r="H1210" s="4">
        <f>IF(E1210=0,"",F1210/E1210-1)</f>
        <v/>
      </c>
      <c r="I1210" t="inlineStr"/>
    </row>
    <row r="1211">
      <c r="A1211" t="inlineStr">
        <is>
          <t>Machinery &amp; electronics</t>
        </is>
      </c>
      <c r="B1211" t="inlineStr">
        <is>
          <t>84</t>
        </is>
      </c>
      <c r="C1211" t="inlineStr">
        <is>
          <t>84678910</t>
        </is>
      </c>
      <c r="D1211" t="inlineStr">
        <is>
          <t>GREASE GUNS,LUBRICATORS ECT.</t>
        </is>
      </c>
      <c r="E1211" s="3" t="n">
        <v>0.08</v>
      </c>
      <c r="F1211" s="3" t="n">
        <v>0.07000000000000001</v>
      </c>
      <c r="G1211" s="3">
        <f>F1211-E1211</f>
        <v/>
      </c>
      <c r="H1211" s="4">
        <f>IF(E1211=0,"",F1211/E1211-1)</f>
        <v/>
      </c>
      <c r="I1211" t="inlineStr"/>
    </row>
    <row r="1212">
      <c r="A1212" t="inlineStr">
        <is>
          <t>Machinery &amp; electronics</t>
        </is>
      </c>
      <c r="B1212" t="inlineStr">
        <is>
          <t>84</t>
        </is>
      </c>
      <c r="C1212" t="inlineStr">
        <is>
          <t>84733091</t>
        </is>
      </c>
      <c r="D1212" t="inlineStr">
        <is>
          <t>NETWORK ACCESS CONTROLLERS</t>
        </is>
      </c>
      <c r="E1212" s="3" t="n">
        <v>0</v>
      </c>
      <c r="F1212" s="3" t="n">
        <v>0.07000000000000001</v>
      </c>
      <c r="G1212" s="3">
        <f>F1212-E1212</f>
        <v/>
      </c>
      <c r="H1212" s="4">
        <f>IF(E1212=0,"",F1212/E1212-1)</f>
        <v/>
      </c>
      <c r="I1212" t="inlineStr"/>
    </row>
    <row r="1213">
      <c r="A1213" t="inlineStr">
        <is>
          <t>Machinery &amp; electronics</t>
        </is>
      </c>
      <c r="B1213" t="inlineStr">
        <is>
          <t>85</t>
        </is>
      </c>
      <c r="C1213" t="inlineStr">
        <is>
          <t>85235100</t>
        </is>
      </c>
      <c r="D1213" t="inlineStr">
        <is>
          <t>SOLID-STATE NON-VOLATILE STORAGE DEVICES</t>
        </is>
      </c>
      <c r="E1213" s="3" t="n">
        <v>0.37</v>
      </c>
      <c r="F1213" s="3" t="n">
        <v>0.07000000000000001</v>
      </c>
      <c r="G1213" s="3">
        <f>F1213-E1213</f>
        <v/>
      </c>
      <c r="H1213" s="4">
        <f>IF(E1213=0,"",F1213/E1213-1)</f>
        <v/>
      </c>
      <c r="I1213" t="inlineStr"/>
    </row>
    <row r="1214">
      <c r="A1214" t="inlineStr">
        <is>
          <t>Machinery &amp; electronics</t>
        </is>
      </c>
      <c r="B1214" t="inlineStr">
        <is>
          <t>85</t>
        </is>
      </c>
      <c r="C1214" t="inlineStr">
        <is>
          <t>85311010</t>
        </is>
      </c>
      <c r="D1214" t="inlineStr">
        <is>
          <t>BURGLAR ALARM</t>
        </is>
      </c>
      <c r="E1214" s="3" t="n">
        <v>0.11</v>
      </c>
      <c r="F1214" s="3" t="n">
        <v>0.07000000000000001</v>
      </c>
      <c r="G1214" s="3">
        <f>F1214-E1214</f>
        <v/>
      </c>
      <c r="H1214" s="4">
        <f>IF(E1214=0,"",F1214/E1214-1)</f>
        <v/>
      </c>
      <c r="I1214" t="inlineStr"/>
    </row>
    <row r="1215">
      <c r="A1215" t="inlineStr">
        <is>
          <t>Machinery &amp; electronics</t>
        </is>
      </c>
      <c r="B1215" t="inlineStr">
        <is>
          <t>85</t>
        </is>
      </c>
      <c r="C1215" t="inlineStr">
        <is>
          <t>85352129</t>
        </is>
      </c>
      <c r="D1215" t="inlineStr">
        <is>
          <t>OTHR VCM CIRCUIT BRKRS FR VLTG OF &lt;72.5 KV</t>
        </is>
      </c>
      <c r="E1215" s="3" t="n">
        <v>1.68</v>
      </c>
      <c r="F1215" s="3" t="n">
        <v>0.07000000000000001</v>
      </c>
      <c r="G1215" s="3">
        <f>F1215-E1215</f>
        <v/>
      </c>
      <c r="H1215" s="4">
        <f>IF(E1215=0,"",F1215/E1215-1)</f>
        <v/>
      </c>
      <c r="I1215" t="inlineStr"/>
    </row>
    <row r="1216">
      <c r="A1216" t="inlineStr">
        <is>
          <t>Machinery &amp; electronics</t>
        </is>
      </c>
      <c r="B1216" t="inlineStr">
        <is>
          <t>85</t>
        </is>
      </c>
      <c r="C1216" t="inlineStr">
        <is>
          <t>85352190</t>
        </is>
      </c>
      <c r="D1216" t="inlineStr">
        <is>
          <t>OTHR AUTMTC CIRCUIT BRKRS VLTG OF &lt;72.5KV</t>
        </is>
      </c>
      <c r="E1216" s="3" t="n">
        <v>0.07000000000000001</v>
      </c>
      <c r="F1216" s="3" t="n">
        <v>0.07000000000000001</v>
      </c>
      <c r="G1216" s="3">
        <f>F1216-E1216</f>
        <v/>
      </c>
      <c r="H1216" s="4">
        <f>IF(E1216=0,"",F1216/E1216-1)</f>
        <v/>
      </c>
      <c r="I1216" t="inlineStr"/>
    </row>
    <row r="1217">
      <c r="A1217" t="inlineStr">
        <is>
          <t>Machinery &amp; electronics</t>
        </is>
      </c>
      <c r="B1217" t="inlineStr">
        <is>
          <t>84</t>
        </is>
      </c>
      <c r="C1217" t="inlineStr">
        <is>
          <t>84145130</t>
        </is>
      </c>
      <c r="D1217" t="inlineStr">
        <is>
          <t>PEDESTAL FANS</t>
        </is>
      </c>
      <c r="E1217" s="3" t="n">
        <v>0.06</v>
      </c>
      <c r="F1217" s="3" t="n">
        <v>0.06</v>
      </c>
      <c r="G1217" s="3">
        <f>F1217-E1217</f>
        <v/>
      </c>
      <c r="H1217" s="4">
        <f>IF(E1217=0,"",F1217/E1217-1)</f>
        <v/>
      </c>
      <c r="I1217" t="inlineStr"/>
    </row>
    <row r="1218">
      <c r="A1218" t="inlineStr">
        <is>
          <t>Machinery &amp; electronics</t>
        </is>
      </c>
      <c r="B1218" t="inlineStr">
        <is>
          <t>84</t>
        </is>
      </c>
      <c r="C1218" t="inlineStr">
        <is>
          <t>84281020</t>
        </is>
      </c>
      <c r="D1218" t="inlineStr">
        <is>
          <t>SKIP HOISTS</t>
        </is>
      </c>
      <c r="E1218" s="3" t="n">
        <v>0.24</v>
      </c>
      <c r="F1218" s="3" t="n">
        <v>0.06</v>
      </c>
      <c r="G1218" s="3">
        <f>F1218-E1218</f>
        <v/>
      </c>
      <c r="H1218" s="4">
        <f>IF(E1218=0,"",F1218/E1218-1)</f>
        <v/>
      </c>
      <c r="I1218" t="inlineStr"/>
    </row>
    <row r="1219">
      <c r="A1219" t="inlineStr">
        <is>
          <t>Machinery &amp; electronics</t>
        </is>
      </c>
      <c r="B1219" t="inlineStr">
        <is>
          <t>84</t>
        </is>
      </c>
      <c r="C1219" t="inlineStr">
        <is>
          <t>84328010</t>
        </is>
      </c>
      <c r="D1219" t="inlineStr">
        <is>
          <t>LAWN AND SPORTS GROUND ROLLERS</t>
        </is>
      </c>
      <c r="E1219" s="3" t="n">
        <v>0</v>
      </c>
      <c r="F1219" s="3" t="n">
        <v>0.06</v>
      </c>
      <c r="G1219" s="3">
        <f>F1219-E1219</f>
        <v/>
      </c>
      <c r="H1219" s="4">
        <f>IF(E1219=0,"",F1219/E1219-1)</f>
        <v/>
      </c>
      <c r="I1219" t="inlineStr"/>
    </row>
    <row r="1220">
      <c r="A1220" t="inlineStr">
        <is>
          <t>Machinery &amp; electronics</t>
        </is>
      </c>
      <c r="B1220" t="inlineStr">
        <is>
          <t>84</t>
        </is>
      </c>
      <c r="C1220" t="inlineStr">
        <is>
          <t>84335200</t>
        </is>
      </c>
      <c r="D1220" t="inlineStr">
        <is>
          <t>OTHER THRESHING MACHINERY</t>
        </is>
      </c>
      <c r="E1220" s="3" t="n">
        <v>0.13</v>
      </c>
      <c r="F1220" s="3" t="n">
        <v>0.06</v>
      </c>
      <c r="G1220" s="3">
        <f>F1220-E1220</f>
        <v/>
      </c>
      <c r="H1220" s="4">
        <f>IF(E1220=0,"",F1220/E1220-1)</f>
        <v/>
      </c>
      <c r="I1220" t="inlineStr"/>
    </row>
    <row r="1221">
      <c r="A1221" t="inlineStr">
        <is>
          <t>Machinery &amp; electronics</t>
        </is>
      </c>
      <c r="B1221" t="inlineStr">
        <is>
          <t>84</t>
        </is>
      </c>
      <c r="C1221" t="inlineStr">
        <is>
          <t>84431300</t>
        </is>
      </c>
      <c r="D1221" t="inlineStr">
        <is>
          <t>OTHER OFFSET PRINTING MACHINERY</t>
        </is>
      </c>
      <c r="E1221" s="3" t="n">
        <v>0.05</v>
      </c>
      <c r="F1221" s="3" t="n">
        <v>0.06</v>
      </c>
      <c r="G1221" s="3">
        <f>F1221-E1221</f>
        <v/>
      </c>
      <c r="H1221" s="4">
        <f>IF(E1221=0,"",F1221/E1221-1)</f>
        <v/>
      </c>
      <c r="I1221" t="inlineStr"/>
    </row>
    <row r="1222">
      <c r="A1222" t="inlineStr">
        <is>
          <t>Machinery &amp; electronics</t>
        </is>
      </c>
      <c r="B1222" t="inlineStr">
        <is>
          <t>84</t>
        </is>
      </c>
      <c r="C1222" t="inlineStr">
        <is>
          <t>84612019</t>
        </is>
      </c>
      <c r="D1222" t="inlineStr">
        <is>
          <t>OTHER SHAPING MACHINES</t>
        </is>
      </c>
      <c r="E1222" s="3" t="n">
        <v>0.03</v>
      </c>
      <c r="F1222" s="3" t="n">
        <v>0.06</v>
      </c>
      <c r="G1222" s="3">
        <f>F1222-E1222</f>
        <v/>
      </c>
      <c r="H1222" s="4">
        <f>IF(E1222=0,"",F1222/E1222-1)</f>
        <v/>
      </c>
      <c r="I1222" t="inlineStr"/>
    </row>
    <row r="1223">
      <c r="A1223" t="inlineStr">
        <is>
          <t>Machinery &amp; electronics</t>
        </is>
      </c>
      <c r="B1223" t="inlineStr">
        <is>
          <t>84</t>
        </is>
      </c>
      <c r="C1223" t="inlineStr">
        <is>
          <t>84716050</t>
        </is>
      </c>
      <c r="D1223" t="inlineStr">
        <is>
          <t>SCANNERS</t>
        </is>
      </c>
      <c r="E1223" s="3" t="n">
        <v>0.03</v>
      </c>
      <c r="F1223" s="3" t="n">
        <v>0.06</v>
      </c>
      <c r="G1223" s="3">
        <f>F1223-E1223</f>
        <v/>
      </c>
      <c r="H1223" s="4">
        <f>IF(E1223=0,"",F1223/E1223-1)</f>
        <v/>
      </c>
      <c r="I1223" t="inlineStr"/>
    </row>
    <row r="1224">
      <c r="A1224" t="inlineStr">
        <is>
          <t>Machinery &amp; electronics</t>
        </is>
      </c>
      <c r="B1224" t="inlineStr">
        <is>
          <t>84</t>
        </is>
      </c>
      <c r="C1224" t="inlineStr">
        <is>
          <t>84734090</t>
        </is>
      </c>
      <c r="D1224" t="inlineStr">
        <is>
          <t>PRTS OF OTHR OFFICE MCHNS OF HDG NO.8472</t>
        </is>
      </c>
      <c r="E1224" s="3" t="n">
        <v>0.14</v>
      </c>
      <c r="F1224" s="3" t="n">
        <v>0.06</v>
      </c>
      <c r="G1224" s="3">
        <f>F1224-E1224</f>
        <v/>
      </c>
      <c r="H1224" s="4">
        <f>IF(E1224=0,"",F1224/E1224-1)</f>
        <v/>
      </c>
      <c r="I1224" t="inlineStr"/>
    </row>
    <row r="1225">
      <c r="A1225" t="inlineStr">
        <is>
          <t>Machinery &amp; electronics</t>
        </is>
      </c>
      <c r="B1225" t="inlineStr">
        <is>
          <t>84</t>
        </is>
      </c>
      <c r="C1225" t="inlineStr">
        <is>
          <t>84821013</t>
        </is>
      </c>
      <c r="D1225" t="inlineStr">
        <is>
          <t>ADAPTER BALL BEARINGS(RADIAL TYPE) &gt;100 MM OR 4 INCHES BORE DIAMETER</t>
        </is>
      </c>
      <c r="E1225" s="3" t="n">
        <v>0.04</v>
      </c>
      <c r="F1225" s="3" t="n">
        <v>0.06</v>
      </c>
      <c r="G1225" s="3">
        <f>F1225-E1225</f>
        <v/>
      </c>
      <c r="H1225" s="4">
        <f>IF(E1225=0,"",F1225/E1225-1)</f>
        <v/>
      </c>
      <c r="I1225" t="inlineStr"/>
    </row>
    <row r="1226">
      <c r="A1226" t="inlineStr">
        <is>
          <t>Machinery &amp; electronics</t>
        </is>
      </c>
      <c r="B1226" t="inlineStr">
        <is>
          <t>84</t>
        </is>
      </c>
      <c r="C1226" t="inlineStr">
        <is>
          <t>84822090</t>
        </is>
      </c>
      <c r="D1226" t="inlineStr">
        <is>
          <t>OTHER TAPERED ROLLED BEARINGS</t>
        </is>
      </c>
      <c r="E1226" s="3" t="n">
        <v>0.03</v>
      </c>
      <c r="F1226" s="3" t="n">
        <v>0.06</v>
      </c>
      <c r="G1226" s="3">
        <f>F1226-E1226</f>
        <v/>
      </c>
      <c r="H1226" s="4">
        <f>IF(E1226=0,"",F1226/E1226-1)</f>
        <v/>
      </c>
      <c r="I1226" t="inlineStr"/>
    </row>
    <row r="1227">
      <c r="A1227" t="inlineStr">
        <is>
          <t>Machinery &amp; electronics</t>
        </is>
      </c>
      <c r="B1227" t="inlineStr">
        <is>
          <t>85</t>
        </is>
      </c>
      <c r="C1227" t="inlineStr">
        <is>
          <t>85151900</t>
        </is>
      </c>
      <c r="D1227" t="inlineStr">
        <is>
          <t>0THR BRAZING/SOLDERING MACHINESAND APPARATUS</t>
        </is>
      </c>
      <c r="E1227" s="3" t="n">
        <v>0.1</v>
      </c>
      <c r="F1227" s="3" t="n">
        <v>0.06</v>
      </c>
      <c r="G1227" s="3">
        <f>F1227-E1227</f>
        <v/>
      </c>
      <c r="H1227" s="4">
        <f>IF(E1227=0,"",F1227/E1227-1)</f>
        <v/>
      </c>
      <c r="I1227" t="inlineStr"/>
    </row>
    <row r="1228">
      <c r="A1228" t="inlineStr">
        <is>
          <t>Machinery &amp; electronics</t>
        </is>
      </c>
      <c r="B1228" t="inlineStr">
        <is>
          <t>85</t>
        </is>
      </c>
      <c r="C1228" t="inlineStr">
        <is>
          <t>85171190</t>
        </is>
      </c>
      <c r="D1228" t="inlineStr">
        <is>
          <t>OTHERS-OF-LINE TELPHON SET WTH CORDLESS HAND SETS.</t>
        </is>
      </c>
      <c r="E1228" s="3" t="n">
        <v>0</v>
      </c>
      <c r="F1228" s="3" t="n">
        <v>0.06</v>
      </c>
      <c r="G1228" s="3">
        <f>F1228-E1228</f>
        <v/>
      </c>
      <c r="H1228" s="4">
        <f>IF(E1228=0,"",F1228/E1228-1)</f>
        <v/>
      </c>
      <c r="I1228" t="inlineStr"/>
    </row>
    <row r="1229">
      <c r="A1229" t="inlineStr">
        <is>
          <t>Machinery &amp; electronics</t>
        </is>
      </c>
      <c r="B1229" t="inlineStr">
        <is>
          <t>85</t>
        </is>
      </c>
      <c r="C1229" t="inlineStr">
        <is>
          <t>85432090</t>
        </is>
      </c>
      <c r="D1229" t="inlineStr">
        <is>
          <t>OTHERS (E.G. PATTERN GENERATOR)</t>
        </is>
      </c>
      <c r="E1229" s="3" t="n">
        <v>0.02</v>
      </c>
      <c r="F1229" s="3" t="n">
        <v>0.06</v>
      </c>
      <c r="G1229" s="3">
        <f>F1229-E1229</f>
        <v/>
      </c>
      <c r="H1229" s="4">
        <f>IF(E1229=0,"",F1229/E1229-1)</f>
        <v/>
      </c>
      <c r="I1229" t="inlineStr"/>
    </row>
    <row r="1230">
      <c r="A1230" t="inlineStr">
        <is>
          <t>Machinery &amp; electronics</t>
        </is>
      </c>
      <c r="B1230" t="inlineStr">
        <is>
          <t>85</t>
        </is>
      </c>
      <c r="C1230" t="inlineStr">
        <is>
          <t>85437022</t>
        </is>
      </c>
      <c r="D1230" t="inlineStr">
        <is>
          <t>MIXING SYSTEMS OR CONSOLES</t>
        </is>
      </c>
      <c r="E1230" s="3" t="n">
        <v>0.01</v>
      </c>
      <c r="F1230" s="3" t="n">
        <v>0.06</v>
      </c>
      <c r="G1230" s="3">
        <f>F1230-E1230</f>
        <v/>
      </c>
      <c r="H1230" s="4">
        <f>IF(E1230=0,"",F1230/E1230-1)</f>
        <v/>
      </c>
      <c r="I1230" t="inlineStr"/>
    </row>
    <row r="1231">
      <c r="A1231" t="inlineStr">
        <is>
          <t>Machinery &amp; electronics</t>
        </is>
      </c>
      <c r="B1231" t="inlineStr">
        <is>
          <t>85</t>
        </is>
      </c>
      <c r="C1231" t="inlineStr">
        <is>
          <t>85461000</t>
        </is>
      </c>
      <c r="D1231" t="inlineStr">
        <is>
          <t>ELECTRICAL INSULATORS OF GLASS</t>
        </is>
      </c>
      <c r="E1231" s="3" t="n">
        <v>0.01</v>
      </c>
      <c r="F1231" s="3" t="n">
        <v>0.06</v>
      </c>
      <c r="G1231" s="3">
        <f>F1231-E1231</f>
        <v/>
      </c>
      <c r="H1231" s="4">
        <f>IF(E1231=0,"",F1231/E1231-1)</f>
        <v/>
      </c>
      <c r="I1231" t="inlineStr"/>
    </row>
    <row r="1232">
      <c r="A1232" t="inlineStr">
        <is>
          <t>Machinery &amp; electronics</t>
        </is>
      </c>
      <c r="B1232" t="inlineStr">
        <is>
          <t>84</t>
        </is>
      </c>
      <c r="C1232" t="inlineStr">
        <is>
          <t>84099191</t>
        </is>
      </c>
      <c r="D1232" t="inlineStr">
        <is>
          <t>OTHER CMPONENT PARTS OF PETROL ENGINES FOR MOTOR VEHICLES</t>
        </is>
      </c>
      <c r="E1232" s="3" t="n">
        <v>0.03</v>
      </c>
      <c r="F1232" s="3" t="n">
        <v>0.05</v>
      </c>
      <c r="G1232" s="3">
        <f>F1232-E1232</f>
        <v/>
      </c>
      <c r="H1232" s="4">
        <f>IF(E1232=0,"",F1232/E1232-1)</f>
        <v/>
      </c>
      <c r="I1232" t="inlineStr"/>
    </row>
    <row r="1233">
      <c r="A1233" t="inlineStr">
        <is>
          <t>Machinery &amp; electronics</t>
        </is>
      </c>
      <c r="B1233" t="inlineStr">
        <is>
          <t>84</t>
        </is>
      </c>
      <c r="C1233" t="inlineStr">
        <is>
          <t>84129030</t>
        </is>
      </c>
      <c r="D1233" t="inlineStr">
        <is>
          <t>PRTS OF HYDRAULIC ENGINES AND MOTORS</t>
        </is>
      </c>
      <c r="E1233" s="3" t="n">
        <v>0.2</v>
      </c>
      <c r="F1233" s="3" t="n">
        <v>0.05</v>
      </c>
      <c r="G1233" s="3">
        <f>F1233-E1233</f>
        <v/>
      </c>
      <c r="H1233" s="4">
        <f>IF(E1233=0,"",F1233/E1233-1)</f>
        <v/>
      </c>
      <c r="I1233" t="inlineStr"/>
    </row>
    <row r="1234">
      <c r="A1234" t="inlineStr">
        <is>
          <t>Machinery &amp; electronics</t>
        </is>
      </c>
      <c r="B1234" t="inlineStr">
        <is>
          <t>84</t>
        </is>
      </c>
      <c r="C1234" t="inlineStr">
        <is>
          <t>84145920</t>
        </is>
      </c>
      <c r="D1234" t="inlineStr">
        <is>
          <t>BLOWERS,PORTABLE</t>
        </is>
      </c>
      <c r="E1234" s="3" t="n">
        <v>0.08</v>
      </c>
      <c r="F1234" s="3" t="n">
        <v>0.05</v>
      </c>
      <c r="G1234" s="3">
        <f>F1234-E1234</f>
        <v/>
      </c>
      <c r="H1234" s="4">
        <f>IF(E1234=0,"",F1234/E1234-1)</f>
        <v/>
      </c>
      <c r="I1234" t="inlineStr"/>
    </row>
    <row r="1235">
      <c r="A1235" t="inlineStr">
        <is>
          <t>Machinery &amp; electronics</t>
        </is>
      </c>
      <c r="B1235" t="inlineStr">
        <is>
          <t>84</t>
        </is>
      </c>
      <c r="C1235" t="inlineStr">
        <is>
          <t>84198120</t>
        </is>
      </c>
      <c r="D1235" t="inlineStr">
        <is>
          <t>OTHER KITCHEN MACHINES</t>
        </is>
      </c>
      <c r="E1235" s="3" t="n">
        <v>0.79</v>
      </c>
      <c r="F1235" s="3" t="n">
        <v>0.05</v>
      </c>
      <c r="G1235" s="3">
        <f>F1235-E1235</f>
        <v/>
      </c>
      <c r="H1235" s="4">
        <f>IF(E1235=0,"",F1235/E1235-1)</f>
        <v/>
      </c>
      <c r="I1235" t="inlineStr"/>
    </row>
    <row r="1236">
      <c r="A1236" t="inlineStr">
        <is>
          <t>Machinery &amp; electronics</t>
        </is>
      </c>
      <c r="B1236" t="inlineStr">
        <is>
          <t>84</t>
        </is>
      </c>
      <c r="C1236" t="inlineStr">
        <is>
          <t>84211920</t>
        </is>
      </c>
      <c r="D1236" t="inlineStr">
        <is>
          <t>BASKET CENTRIFUGES</t>
        </is>
      </c>
      <c r="E1236" s="3" t="n">
        <v>0</v>
      </c>
      <c r="F1236" s="3" t="n">
        <v>0.05</v>
      </c>
      <c r="G1236" s="3">
        <f>F1236-E1236</f>
        <v/>
      </c>
      <c r="H1236" s="4">
        <f>IF(E1236=0,"",F1236/E1236-1)</f>
        <v/>
      </c>
      <c r="I1236" t="inlineStr"/>
    </row>
    <row r="1237">
      <c r="A1237" t="inlineStr">
        <is>
          <t>Machinery &amp; electronics</t>
        </is>
      </c>
      <c r="B1237" t="inlineStr">
        <is>
          <t>84</t>
        </is>
      </c>
      <c r="C1237" t="inlineStr">
        <is>
          <t>84248920</t>
        </is>
      </c>
      <c r="D1237" t="inlineStr">
        <is>
          <t>INDUSTRIAL BELLOWS</t>
        </is>
      </c>
      <c r="E1237" s="3" t="n">
        <v>0.02</v>
      </c>
      <c r="F1237" s="3" t="n">
        <v>0.05</v>
      </c>
      <c r="G1237" s="3">
        <f>F1237-E1237</f>
        <v/>
      </c>
      <c r="H1237" s="4">
        <f>IF(E1237=0,"",F1237/E1237-1)</f>
        <v/>
      </c>
      <c r="I1237" t="inlineStr"/>
    </row>
    <row r="1238">
      <c r="A1238" t="inlineStr">
        <is>
          <t>Machinery &amp; electronics</t>
        </is>
      </c>
      <c r="B1238" t="inlineStr">
        <is>
          <t>84</t>
        </is>
      </c>
      <c r="C1238" t="inlineStr">
        <is>
          <t>84335900</t>
        </is>
      </c>
      <c r="D1238" t="inlineStr">
        <is>
          <t>OTHER HARVESTING AND THRESHING MACHINERY</t>
        </is>
      </c>
      <c r="E1238" s="3" t="n">
        <v>0.07000000000000001</v>
      </c>
      <c r="F1238" s="3" t="n">
        <v>0.05</v>
      </c>
      <c r="G1238" s="3">
        <f>F1238-E1238</f>
        <v/>
      </c>
      <c r="H1238" s="4">
        <f>IF(E1238=0,"",F1238/E1238-1)</f>
        <v/>
      </c>
      <c r="I1238" t="inlineStr"/>
    </row>
    <row r="1239">
      <c r="A1239" t="inlineStr">
        <is>
          <t>Machinery &amp; electronics</t>
        </is>
      </c>
      <c r="B1239" t="inlineStr">
        <is>
          <t>84</t>
        </is>
      </c>
      <c r="C1239" t="inlineStr">
        <is>
          <t>84425010</t>
        </is>
      </c>
      <c r="D1239" t="inlineStr">
        <is>
          <t>IMPRESSED BLOCKS AND MATRICES,PRINTING BLOCKS,PLATES AND CYLINDERS</t>
        </is>
      </c>
      <c r="E1239" s="3" t="n">
        <v>0.21</v>
      </c>
      <c r="F1239" s="3" t="n">
        <v>0.05</v>
      </c>
      <c r="G1239" s="3">
        <f>F1239-E1239</f>
        <v/>
      </c>
      <c r="H1239" s="4">
        <f>IF(E1239=0,"",F1239/E1239-1)</f>
        <v/>
      </c>
      <c r="I1239" t="inlineStr"/>
    </row>
    <row r="1240">
      <c r="A1240" t="inlineStr">
        <is>
          <t>Machinery &amp; electronics</t>
        </is>
      </c>
      <c r="B1240" t="inlineStr">
        <is>
          <t>84</t>
        </is>
      </c>
      <c r="C1240" t="inlineStr">
        <is>
          <t>84433220</t>
        </is>
      </c>
      <c r="D1240" t="inlineStr">
        <is>
          <t>DOT MATRIC PRINTER</t>
        </is>
      </c>
      <c r="E1240" s="3" t="n">
        <v>0.07000000000000001</v>
      </c>
      <c r="F1240" s="3" t="n">
        <v>0.05</v>
      </c>
      <c r="G1240" s="3">
        <f>F1240-E1240</f>
        <v/>
      </c>
      <c r="H1240" s="4">
        <f>IF(E1240=0,"",F1240/E1240-1)</f>
        <v/>
      </c>
      <c r="I1240" t="inlineStr"/>
    </row>
    <row r="1241">
      <c r="A1241" t="inlineStr">
        <is>
          <t>Machinery &amp; electronics</t>
        </is>
      </c>
      <c r="B1241" t="inlineStr">
        <is>
          <t>84</t>
        </is>
      </c>
      <c r="C1241" t="inlineStr">
        <is>
          <t>84522900</t>
        </is>
      </c>
      <c r="D1241" t="inlineStr">
        <is>
          <t>OTHER SEWING MACHINES</t>
        </is>
      </c>
      <c r="E1241" s="3" t="n">
        <v>0.4</v>
      </c>
      <c r="F1241" s="3" t="n">
        <v>0.05</v>
      </c>
      <c r="G1241" s="3">
        <f>F1241-E1241</f>
        <v/>
      </c>
      <c r="H1241" s="4">
        <f>IF(E1241=0,"",F1241/E1241-1)</f>
        <v/>
      </c>
      <c r="I1241" t="inlineStr"/>
    </row>
    <row r="1242">
      <c r="A1242" t="inlineStr">
        <is>
          <t>Machinery &amp; electronics</t>
        </is>
      </c>
      <c r="B1242" t="inlineStr">
        <is>
          <t>84</t>
        </is>
      </c>
      <c r="C1242" t="inlineStr">
        <is>
          <t>84563000</t>
        </is>
      </c>
      <c r="D1242" t="inlineStr">
        <is>
          <t>MCHN-TOOLS OPRTD BY ELCTRO-DSCHRG PRCESS</t>
        </is>
      </c>
      <c r="E1242" s="3" t="n">
        <v>0</v>
      </c>
      <c r="F1242" s="3" t="n">
        <v>0.05</v>
      </c>
      <c r="G1242" s="3">
        <f>F1242-E1242</f>
        <v/>
      </c>
      <c r="H1242" s="4">
        <f>IF(E1242=0,"",F1242/E1242-1)</f>
        <v/>
      </c>
      <c r="I1242" t="inlineStr"/>
    </row>
    <row r="1243">
      <c r="A1243" t="inlineStr">
        <is>
          <t>Machinery &amp; electronics</t>
        </is>
      </c>
      <c r="B1243" t="inlineStr">
        <is>
          <t>84</t>
        </is>
      </c>
      <c r="C1243" t="inlineStr">
        <is>
          <t>84621900</t>
        </is>
      </c>
      <c r="D1243" t="inlineStr">
        <is>
          <t>OTHERS-OF-OTHERS-OF-MCHN-TLS FR WRKNG MTL BY FORGN,HAMMRNG/ DIE-STMPNG;FR WRKG MTL BY BENDNG,FOLDNG,ETC;PRSSES FR WRKNG MTL/MT</t>
        </is>
      </c>
      <c r="E1243" s="3" t="n">
        <v>0.02</v>
      </c>
      <c r="F1243" s="3" t="n">
        <v>0.05</v>
      </c>
      <c r="G1243" s="3">
        <f>F1243-E1243</f>
        <v/>
      </c>
      <c r="H1243" s="4">
        <f>IF(E1243=0,"",F1243/E1243-1)</f>
        <v/>
      </c>
      <c r="I1243" t="inlineStr"/>
    </row>
    <row r="1244">
      <c r="A1244" t="inlineStr">
        <is>
          <t>Machinery &amp; electronics</t>
        </is>
      </c>
      <c r="B1244" t="inlineStr">
        <is>
          <t>84</t>
        </is>
      </c>
      <c r="C1244" t="inlineStr">
        <is>
          <t>84641090</t>
        </is>
      </c>
      <c r="D1244" t="inlineStr">
        <is>
          <t>OTHER SAWING MACHINES</t>
        </is>
      </c>
      <c r="E1244" s="3" t="n">
        <v>1.17</v>
      </c>
      <c r="F1244" s="3" t="n">
        <v>0.05</v>
      </c>
      <c r="G1244" s="3">
        <f>F1244-E1244</f>
        <v/>
      </c>
      <c r="H1244" s="4">
        <f>IF(E1244=0,"",F1244/E1244-1)</f>
        <v/>
      </c>
      <c r="I1244" t="inlineStr"/>
    </row>
    <row r="1245">
      <c r="A1245" t="inlineStr">
        <is>
          <t>Machinery &amp; electronics</t>
        </is>
      </c>
      <c r="B1245" t="inlineStr">
        <is>
          <t>84</t>
        </is>
      </c>
      <c r="C1245" t="inlineStr">
        <is>
          <t>84663090</t>
        </is>
      </c>
      <c r="D1245" t="inlineStr">
        <is>
          <t>OTHERS-OF-DIVIDING HEADS AND OTHER SPECIAL ATTACHMENTS FOR MACHINES</t>
        </is>
      </c>
      <c r="E1245" s="3" t="n">
        <v>0.07000000000000001</v>
      </c>
      <c r="F1245" s="3" t="n">
        <v>0.05</v>
      </c>
      <c r="G1245" s="3">
        <f>F1245-E1245</f>
        <v/>
      </c>
      <c r="H1245" s="4">
        <f>IF(E1245=0,"",F1245/E1245-1)</f>
        <v/>
      </c>
      <c r="I1245" t="inlineStr"/>
    </row>
    <row r="1246">
      <c r="A1246" t="inlineStr">
        <is>
          <t>Machinery &amp; electronics</t>
        </is>
      </c>
      <c r="B1246" t="inlineStr">
        <is>
          <t>84</t>
        </is>
      </c>
      <c r="C1246" t="inlineStr">
        <is>
          <t>84717020</t>
        </is>
      </c>
      <c r="D1246" t="inlineStr">
        <is>
          <t>WINCHESTER/HARD DISC DRIVES</t>
        </is>
      </c>
      <c r="E1246" s="3" t="n">
        <v>0.03</v>
      </c>
      <c r="F1246" s="3" t="n">
        <v>0.05</v>
      </c>
      <c r="G1246" s="3">
        <f>F1246-E1246</f>
        <v/>
      </c>
      <c r="H1246" s="4">
        <f>IF(E1246=0,"",F1246/E1246-1)</f>
        <v/>
      </c>
      <c r="I1246" t="inlineStr"/>
    </row>
    <row r="1247">
      <c r="A1247" t="inlineStr">
        <is>
          <t>Machinery &amp; electronics</t>
        </is>
      </c>
      <c r="B1247" t="inlineStr">
        <is>
          <t>84</t>
        </is>
      </c>
      <c r="C1247" t="inlineStr">
        <is>
          <t>84748010</t>
        </is>
      </c>
      <c r="D1247" t="inlineStr">
        <is>
          <t>BRICK AND TILE MAKING MCHNRY</t>
        </is>
      </c>
      <c r="E1247" s="3" t="n">
        <v>0</v>
      </c>
      <c r="F1247" s="3" t="n">
        <v>0.05</v>
      </c>
      <c r="G1247" s="3">
        <f>F1247-E1247</f>
        <v/>
      </c>
      <c r="H1247" s="4">
        <f>IF(E1247=0,"",F1247/E1247-1)</f>
        <v/>
      </c>
      <c r="I1247" t="inlineStr"/>
    </row>
    <row r="1248">
      <c r="A1248" t="inlineStr">
        <is>
          <t>Machinery &amp; electronics</t>
        </is>
      </c>
      <c r="B1248" t="inlineStr">
        <is>
          <t>84</t>
        </is>
      </c>
      <c r="C1248" t="inlineStr">
        <is>
          <t>84789000</t>
        </is>
      </c>
      <c r="D1248" t="inlineStr">
        <is>
          <t>PARTS OF TOBACO MAKNG MACHNRY</t>
        </is>
      </c>
      <c r="E1248" s="3" t="n">
        <v>0</v>
      </c>
      <c r="F1248" s="3" t="n">
        <v>0.05</v>
      </c>
      <c r="G1248" s="3">
        <f>F1248-E1248</f>
        <v/>
      </c>
      <c r="H1248" s="4">
        <f>IF(E1248=0,"",F1248/E1248-1)</f>
        <v/>
      </c>
      <c r="I1248" t="inlineStr"/>
    </row>
    <row r="1249">
      <c r="A1249" t="inlineStr">
        <is>
          <t>Machinery &amp; electronics</t>
        </is>
      </c>
      <c r="B1249" t="inlineStr">
        <is>
          <t>84</t>
        </is>
      </c>
      <c r="C1249" t="inlineStr">
        <is>
          <t>84869000</t>
        </is>
      </c>
      <c r="D1249" t="inlineStr">
        <is>
          <t>PARTS AND ACCESSORIES</t>
        </is>
      </c>
      <c r="E1249" s="3" t="n">
        <v>0</v>
      </c>
      <c r="F1249" s="3" t="n">
        <v>0.05</v>
      </c>
      <c r="G1249" s="3">
        <f>F1249-E1249</f>
        <v/>
      </c>
      <c r="H1249" s="4">
        <f>IF(E1249=0,"",F1249/E1249-1)</f>
        <v/>
      </c>
      <c r="I1249" t="inlineStr"/>
    </row>
    <row r="1250">
      <c r="A1250" t="inlineStr">
        <is>
          <t>Machinery &amp; electronics</t>
        </is>
      </c>
      <c r="B1250" t="inlineStr">
        <is>
          <t>85</t>
        </is>
      </c>
      <c r="C1250" t="inlineStr">
        <is>
          <t>85012000</t>
        </is>
      </c>
      <c r="D1250" t="inlineStr">
        <is>
          <t>UNVRSL AC/DC MOTORS OF AN OUTPUT &gt; 37.5 W</t>
        </is>
      </c>
      <c r="E1250" s="3" t="n">
        <v>0.09</v>
      </c>
      <c r="F1250" s="3" t="n">
        <v>0.05</v>
      </c>
      <c r="G1250" s="3">
        <f>F1250-E1250</f>
        <v/>
      </c>
      <c r="H1250" s="4">
        <f>IF(E1250=0,"",F1250/E1250-1)</f>
        <v/>
      </c>
      <c r="I1250" t="inlineStr"/>
    </row>
    <row r="1251">
      <c r="A1251" t="inlineStr">
        <is>
          <t>Machinery &amp; electronics</t>
        </is>
      </c>
      <c r="B1251" t="inlineStr">
        <is>
          <t>85</t>
        </is>
      </c>
      <c r="C1251" t="inlineStr">
        <is>
          <t>85014010</t>
        </is>
      </c>
      <c r="D1251" t="inlineStr">
        <is>
          <t>OTHER F.H.P. MOTORS</t>
        </is>
      </c>
      <c r="E1251" s="3" t="n">
        <v>0.24</v>
      </c>
      <c r="F1251" s="3" t="n">
        <v>0.05</v>
      </c>
      <c r="G1251" s="3">
        <f>F1251-E1251</f>
        <v/>
      </c>
      <c r="H1251" s="4">
        <f>IF(E1251=0,"",F1251/E1251-1)</f>
        <v/>
      </c>
      <c r="I1251" t="inlineStr"/>
    </row>
    <row r="1252">
      <c r="A1252" t="inlineStr">
        <is>
          <t>Machinery &amp; electronics</t>
        </is>
      </c>
      <c r="B1252" t="inlineStr">
        <is>
          <t>85</t>
        </is>
      </c>
      <c r="C1252" t="inlineStr">
        <is>
          <t>85086000</t>
        </is>
      </c>
      <c r="D1252" t="inlineStr">
        <is>
          <t>INDUSTRIAL VACUUM CLEANERS</t>
        </is>
      </c>
      <c r="E1252" s="3" t="n">
        <v>0.02</v>
      </c>
      <c r="F1252" s="3" t="n">
        <v>0.05</v>
      </c>
      <c r="G1252" s="3">
        <f>F1252-E1252</f>
        <v/>
      </c>
      <c r="H1252" s="4">
        <f>IF(E1252=0,"",F1252/E1252-1)</f>
        <v/>
      </c>
      <c r="I1252" t="inlineStr"/>
    </row>
    <row r="1253">
      <c r="A1253" t="inlineStr">
        <is>
          <t>Machinery &amp; electronics</t>
        </is>
      </c>
      <c r="B1253" t="inlineStr">
        <is>
          <t>85</t>
        </is>
      </c>
      <c r="C1253" t="inlineStr">
        <is>
          <t>85152190</t>
        </is>
      </c>
      <c r="D1253" t="inlineStr">
        <is>
          <t>OTHERS-OF-MCHNS AND APPRTS FR RESISTANCE WELDNG OF METL;FULY/PARTLY AUTOMATIC</t>
        </is>
      </c>
      <c r="E1253" s="3" t="n">
        <v>0.27</v>
      </c>
      <c r="F1253" s="3" t="n">
        <v>0.05</v>
      </c>
      <c r="G1253" s="3">
        <f>F1253-E1253</f>
        <v/>
      </c>
      <c r="H1253" s="4">
        <f>IF(E1253=0,"",F1253/E1253-1)</f>
        <v/>
      </c>
      <c r="I1253" t="inlineStr"/>
    </row>
    <row r="1254">
      <c r="A1254" t="inlineStr">
        <is>
          <t>Machinery &amp; electronics</t>
        </is>
      </c>
      <c r="B1254" t="inlineStr">
        <is>
          <t>85</t>
        </is>
      </c>
      <c r="C1254" t="inlineStr">
        <is>
          <t>85152900</t>
        </is>
      </c>
      <c r="D1254" t="inlineStr">
        <is>
          <t>OTHR MCHNS AND APPRTS FR RESISTANCE WELDING OF METAL</t>
        </is>
      </c>
      <c r="E1254" s="3" t="n">
        <v>0.03</v>
      </c>
      <c r="F1254" s="3" t="n">
        <v>0.05</v>
      </c>
      <c r="G1254" s="3">
        <f>F1254-E1254</f>
        <v/>
      </c>
      <c r="H1254" s="4">
        <f>IF(E1254=0,"",F1254/E1254-1)</f>
        <v/>
      </c>
      <c r="I1254" t="inlineStr"/>
    </row>
    <row r="1255">
      <c r="A1255" t="inlineStr">
        <is>
          <t>Machinery &amp; electronics</t>
        </is>
      </c>
      <c r="B1255" t="inlineStr">
        <is>
          <t>85</t>
        </is>
      </c>
      <c r="C1255" t="inlineStr">
        <is>
          <t>85163300</t>
        </is>
      </c>
      <c r="D1255" t="inlineStr">
        <is>
          <t>HAND-DRYING APPARATUS</t>
        </is>
      </c>
      <c r="E1255" s="3" t="n">
        <v>0.07000000000000001</v>
      </c>
      <c r="F1255" s="3" t="n">
        <v>0.05</v>
      </c>
      <c r="G1255" s="3">
        <f>F1255-E1255</f>
        <v/>
      </c>
      <c r="H1255" s="4">
        <f>IF(E1255=0,"",F1255/E1255-1)</f>
        <v/>
      </c>
      <c r="I1255" t="inlineStr"/>
    </row>
    <row r="1256">
      <c r="A1256" t="inlineStr">
        <is>
          <t>Machinery &amp; electronics</t>
        </is>
      </c>
      <c r="B1256" t="inlineStr">
        <is>
          <t>85</t>
        </is>
      </c>
      <c r="C1256" t="inlineStr">
        <is>
          <t>85198100</t>
        </is>
      </c>
      <c r="D1256" t="inlineStr">
        <is>
          <t>TRANSCRIBING MACHINES</t>
        </is>
      </c>
      <c r="E1256" s="3" t="n">
        <v>0</v>
      </c>
      <c r="F1256" s="3" t="n">
        <v>0.05</v>
      </c>
      <c r="G1256" s="3">
        <f>F1256-E1256</f>
        <v/>
      </c>
      <c r="H1256" s="4">
        <f>IF(E1256=0,"",F1256/E1256-1)</f>
        <v/>
      </c>
      <c r="I1256" t="inlineStr"/>
    </row>
    <row r="1257">
      <c r="A1257" t="inlineStr">
        <is>
          <t>Machinery &amp; electronics</t>
        </is>
      </c>
      <c r="B1257" t="inlineStr">
        <is>
          <t>85</t>
        </is>
      </c>
      <c r="C1257" t="inlineStr">
        <is>
          <t>85322990</t>
        </is>
      </c>
      <c r="D1257" t="inlineStr">
        <is>
          <t>OTHER FIXED CAPACITORS</t>
        </is>
      </c>
      <c r="E1257" s="3" t="n">
        <v>0.29</v>
      </c>
      <c r="F1257" s="3" t="n">
        <v>0.05</v>
      </c>
      <c r="G1257" s="3">
        <f>F1257-E1257</f>
        <v/>
      </c>
      <c r="H1257" s="4">
        <f>IF(E1257=0,"",F1257/E1257-1)</f>
        <v/>
      </c>
      <c r="I1257" t="inlineStr"/>
    </row>
    <row r="1258">
      <c r="A1258" t="inlineStr">
        <is>
          <t>Machinery &amp; electronics</t>
        </is>
      </c>
      <c r="B1258" t="inlineStr">
        <is>
          <t>85</t>
        </is>
      </c>
      <c r="C1258" t="inlineStr">
        <is>
          <t>85340000</t>
        </is>
      </c>
      <c r="D1258" t="inlineStr">
        <is>
          <t>PRINTED CIRCUITS</t>
        </is>
      </c>
      <c r="E1258" s="3" t="n">
        <v>0.05</v>
      </c>
      <c r="F1258" s="3" t="n">
        <v>0.05</v>
      </c>
      <c r="G1258" s="3">
        <f>F1258-E1258</f>
        <v/>
      </c>
      <c r="H1258" s="4">
        <f>IF(E1258=0,"",F1258/E1258-1)</f>
        <v/>
      </c>
      <c r="I1258" t="inlineStr"/>
    </row>
    <row r="1259">
      <c r="A1259" t="inlineStr">
        <is>
          <t>Machinery &amp; electronics</t>
        </is>
      </c>
      <c r="B1259" t="inlineStr">
        <is>
          <t>85</t>
        </is>
      </c>
      <c r="C1259" t="inlineStr">
        <is>
          <t>85359040</t>
        </is>
      </c>
      <c r="D1259" t="inlineStr">
        <is>
          <t>JUNCTION BOXES (BUS BAR)</t>
        </is>
      </c>
      <c r="E1259" s="3" t="n">
        <v>0.02</v>
      </c>
      <c r="F1259" s="3" t="n">
        <v>0.05</v>
      </c>
      <c r="G1259" s="3">
        <f>F1259-E1259</f>
        <v/>
      </c>
      <c r="H1259" s="4">
        <f>IF(E1259=0,"",F1259/E1259-1)</f>
        <v/>
      </c>
      <c r="I1259" t="inlineStr"/>
    </row>
    <row r="1260">
      <c r="A1260" t="inlineStr">
        <is>
          <t>Machinery &amp; electronics</t>
        </is>
      </c>
      <c r="B1260" t="inlineStr">
        <is>
          <t>85</t>
        </is>
      </c>
      <c r="C1260" t="inlineStr">
        <is>
          <t>85414100</t>
        </is>
      </c>
      <c r="D1260" t="inlineStr">
        <is>
          <t>Light-emiting diodes (LED)</t>
        </is>
      </c>
      <c r="E1260" s="3" t="n">
        <v>0</v>
      </c>
      <c r="F1260" s="3" t="n">
        <v>0.05</v>
      </c>
      <c r="G1260" s="3">
        <f>F1260-E1260</f>
        <v/>
      </c>
      <c r="H1260" s="4">
        <f>IF(E1260=0,"",F1260/E1260-1)</f>
        <v/>
      </c>
      <c r="I1260" t="inlineStr"/>
    </row>
    <row r="1261">
      <c r="A1261" t="inlineStr">
        <is>
          <t>Machinery &amp; electronics</t>
        </is>
      </c>
      <c r="B1261" t="inlineStr">
        <is>
          <t>84</t>
        </is>
      </c>
      <c r="C1261" t="inlineStr">
        <is>
          <t>84081010</t>
        </is>
      </c>
      <c r="D1261" t="inlineStr">
        <is>
          <t>OUT BOARD ENGINES</t>
        </is>
      </c>
      <c r="E1261" s="3" t="n">
        <v>0</v>
      </c>
      <c r="F1261" s="3" t="n">
        <v>0.04</v>
      </c>
      <c r="G1261" s="3">
        <f>F1261-E1261</f>
        <v/>
      </c>
      <c r="H1261" s="4">
        <f>IF(E1261=0,"",F1261/E1261-1)</f>
        <v/>
      </c>
      <c r="I1261" t="inlineStr"/>
    </row>
    <row r="1262">
      <c r="A1262" t="inlineStr">
        <is>
          <t>Machinery &amp; electronics</t>
        </is>
      </c>
      <c r="B1262" t="inlineStr">
        <is>
          <t>84</t>
        </is>
      </c>
      <c r="C1262" t="inlineStr">
        <is>
          <t>84099914</t>
        </is>
      </c>
      <c r="D1262" t="inlineStr">
        <is>
          <t>PISTON ASSEMBLES</t>
        </is>
      </c>
      <c r="E1262" s="3" t="n">
        <v>0</v>
      </c>
      <c r="F1262" s="3" t="n">
        <v>0.04</v>
      </c>
      <c r="G1262" s="3">
        <f>F1262-E1262</f>
        <v/>
      </c>
      <c r="H1262" s="4">
        <f>IF(E1262=0,"",F1262/E1262-1)</f>
        <v/>
      </c>
      <c r="I1262" t="inlineStr"/>
    </row>
    <row r="1263">
      <c r="A1263" t="inlineStr">
        <is>
          <t>Machinery &amp; electronics</t>
        </is>
      </c>
      <c r="B1263" t="inlineStr">
        <is>
          <t>84</t>
        </is>
      </c>
      <c r="C1263" t="inlineStr">
        <is>
          <t>84148019</t>
        </is>
      </c>
      <c r="D1263" t="inlineStr">
        <is>
          <t>OTHER GAS COMPRESSORS</t>
        </is>
      </c>
      <c r="E1263" s="3" t="n">
        <v>0.02</v>
      </c>
      <c r="F1263" s="3" t="n">
        <v>0.04</v>
      </c>
      <c r="G1263" s="3">
        <f>F1263-E1263</f>
        <v/>
      </c>
      <c r="H1263" s="4">
        <f>IF(E1263=0,"",F1263/E1263-1)</f>
        <v/>
      </c>
      <c r="I1263" t="inlineStr"/>
    </row>
    <row r="1264">
      <c r="A1264" t="inlineStr">
        <is>
          <t>Machinery &amp; electronics</t>
        </is>
      </c>
      <c r="B1264" t="inlineStr">
        <is>
          <t>84</t>
        </is>
      </c>
      <c r="C1264" t="inlineStr">
        <is>
          <t>84184010</t>
        </is>
      </c>
      <c r="D1264" t="inlineStr">
        <is>
          <t>FREEZERS,ELECTRICAL</t>
        </is>
      </c>
      <c r="E1264" s="3" t="n">
        <v>0.01</v>
      </c>
      <c r="F1264" s="3" t="n">
        <v>0.04</v>
      </c>
      <c r="G1264" s="3">
        <f>F1264-E1264</f>
        <v/>
      </c>
      <c r="H1264" s="4">
        <f>IF(E1264=0,"",F1264/E1264-1)</f>
        <v/>
      </c>
      <c r="I1264" t="inlineStr"/>
    </row>
    <row r="1265">
      <c r="A1265" t="inlineStr">
        <is>
          <t>Machinery &amp; electronics</t>
        </is>
      </c>
      <c r="B1265" t="inlineStr">
        <is>
          <t>84</t>
        </is>
      </c>
      <c r="C1265" t="inlineStr">
        <is>
          <t>84213910</t>
        </is>
      </c>
      <c r="D1265" t="inlineStr">
        <is>
          <t>AIR SEPRATRS FOR PROCSNG, SMLTNG OR REFNNGMINERALS, ORES OR METALS; AIR STRIPPER</t>
        </is>
      </c>
      <c r="E1265" s="3" t="n">
        <v>0.02</v>
      </c>
      <c r="F1265" s="3" t="n">
        <v>0.04</v>
      </c>
      <c r="G1265" s="3">
        <f>F1265-E1265</f>
        <v/>
      </c>
      <c r="H1265" s="4">
        <f>IF(E1265=0,"",F1265/E1265-1)</f>
        <v/>
      </c>
      <c r="I1265" t="inlineStr"/>
    </row>
    <row r="1266">
      <c r="A1266" t="inlineStr">
        <is>
          <t>Machinery &amp; electronics</t>
        </is>
      </c>
      <c r="B1266" t="inlineStr">
        <is>
          <t>84</t>
        </is>
      </c>
      <c r="C1266" t="inlineStr">
        <is>
          <t>84229010</t>
        </is>
      </c>
      <c r="D1266" t="inlineStr">
        <is>
          <t>PRTS OF MCHNRY FR CLNG/DRYNG BOTLS ETC</t>
        </is>
      </c>
      <c r="E1266" s="3" t="n">
        <v>0.24</v>
      </c>
      <c r="F1266" s="3" t="n">
        <v>0.04</v>
      </c>
      <c r="G1266" s="3">
        <f>F1266-E1266</f>
        <v/>
      </c>
      <c r="H1266" s="4">
        <f>IF(E1266=0,"",F1266/E1266-1)</f>
        <v/>
      </c>
      <c r="I1266" t="inlineStr"/>
    </row>
    <row r="1267">
      <c r="A1267" t="inlineStr">
        <is>
          <t>Machinery &amp; electronics</t>
        </is>
      </c>
      <c r="B1267" t="inlineStr">
        <is>
          <t>84</t>
        </is>
      </c>
      <c r="C1267" t="inlineStr">
        <is>
          <t>84382000</t>
        </is>
      </c>
      <c r="D1267" t="inlineStr">
        <is>
          <t>MACHINERY FOR THE MANUFACTURE OF CONFECTIONERY,COCOA OR CHOCOLATE</t>
        </is>
      </c>
      <c r="E1267" s="3" t="n">
        <v>0.35</v>
      </c>
      <c r="F1267" s="3" t="n">
        <v>0.04</v>
      </c>
      <c r="G1267" s="3">
        <f>F1267-E1267</f>
        <v/>
      </c>
      <c r="H1267" s="4">
        <f>IF(E1267=0,"",F1267/E1267-1)</f>
        <v/>
      </c>
      <c r="I1267" t="inlineStr"/>
    </row>
    <row r="1268">
      <c r="A1268" t="inlineStr">
        <is>
          <t>Machinery &amp; electronics</t>
        </is>
      </c>
      <c r="B1268" t="inlineStr">
        <is>
          <t>84</t>
        </is>
      </c>
      <c r="C1268" t="inlineStr">
        <is>
          <t>84392000</t>
        </is>
      </c>
      <c r="D1268" t="inlineStr">
        <is>
          <t>MCHNRY FR MAKNG PAPER/PAPERBOARD</t>
        </is>
      </c>
      <c r="E1268" s="3" t="n">
        <v>0.12</v>
      </c>
      <c r="F1268" s="3" t="n">
        <v>0.04</v>
      </c>
      <c r="G1268" s="3">
        <f>F1268-E1268</f>
        <v/>
      </c>
      <c r="H1268" s="4">
        <f>IF(E1268=0,"",F1268/E1268-1)</f>
        <v/>
      </c>
      <c r="I1268" t="inlineStr"/>
    </row>
    <row r="1269">
      <c r="A1269" t="inlineStr">
        <is>
          <t>Machinery &amp; electronics</t>
        </is>
      </c>
      <c r="B1269" t="inlineStr">
        <is>
          <t>84</t>
        </is>
      </c>
      <c r="C1269" t="inlineStr">
        <is>
          <t>84433290</t>
        </is>
      </c>
      <c r="D1269" t="inlineStr">
        <is>
          <t>OTHERS-OF-OTHER, CAPABLE OF CONNECTING TO ANAUTOMATIC DATA PROCESSING MACHINE OR TO A NETWORK</t>
        </is>
      </c>
      <c r="E1269" s="3" t="n">
        <v>0.02</v>
      </c>
      <c r="F1269" s="3" t="n">
        <v>0.04</v>
      </c>
      <c r="G1269" s="3">
        <f>F1269-E1269</f>
        <v/>
      </c>
      <c r="H1269" s="4">
        <f>IF(E1269=0,"",F1269/E1269-1)</f>
        <v/>
      </c>
      <c r="I1269" t="inlineStr"/>
    </row>
    <row r="1270">
      <c r="A1270" t="inlineStr">
        <is>
          <t>Machinery &amp; electronics</t>
        </is>
      </c>
      <c r="B1270" t="inlineStr">
        <is>
          <t>84</t>
        </is>
      </c>
      <c r="C1270" t="inlineStr">
        <is>
          <t>84482000</t>
        </is>
      </c>
      <c r="D1270" t="inlineStr">
        <is>
          <t>PRTS AND ACCSSRS OF MCHNS OF HDG NO.8444/OF THEIR AUXLRY MCHNRY</t>
        </is>
      </c>
      <c r="E1270" s="3" t="n">
        <v>0.29</v>
      </c>
      <c r="F1270" s="3" t="n">
        <v>0.04</v>
      </c>
      <c r="G1270" s="3">
        <f>F1270-E1270</f>
        <v/>
      </c>
      <c r="H1270" s="4">
        <f>IF(E1270=0,"",F1270/E1270-1)</f>
        <v/>
      </c>
      <c r="I1270" t="inlineStr"/>
    </row>
    <row r="1271">
      <c r="A1271" t="inlineStr">
        <is>
          <t>Machinery &amp; electronics</t>
        </is>
      </c>
      <c r="B1271" t="inlineStr">
        <is>
          <t>84</t>
        </is>
      </c>
      <c r="C1271" t="inlineStr">
        <is>
          <t>84538000</t>
        </is>
      </c>
      <c r="D1271" t="inlineStr">
        <is>
          <t>OTHER MACHINERY OF HDNG 8453</t>
        </is>
      </c>
      <c r="E1271" s="3" t="n">
        <v>0.03</v>
      </c>
      <c r="F1271" s="3" t="n">
        <v>0.04</v>
      </c>
      <c r="G1271" s="3">
        <f>F1271-E1271</f>
        <v/>
      </c>
      <c r="H1271" s="4">
        <f>IF(E1271=0,"",F1271/E1271-1)</f>
        <v/>
      </c>
      <c r="I1271" t="inlineStr"/>
    </row>
    <row r="1272">
      <c r="A1272" t="inlineStr">
        <is>
          <t>Machinery &amp; electronics</t>
        </is>
      </c>
      <c r="B1272" t="inlineStr">
        <is>
          <t>84</t>
        </is>
      </c>
      <c r="C1272" t="inlineStr">
        <is>
          <t>84552120</t>
        </is>
      </c>
      <c r="D1272" t="inlineStr">
        <is>
          <t>COMBINATION HOT AND COLD ROLLING MILLS</t>
        </is>
      </c>
      <c r="E1272" s="3" t="n">
        <v>0.01</v>
      </c>
      <c r="F1272" s="3" t="n">
        <v>0.04</v>
      </c>
      <c r="G1272" s="3">
        <f>F1272-E1272</f>
        <v/>
      </c>
      <c r="H1272" s="4">
        <f>IF(E1272=0,"",F1272/E1272-1)</f>
        <v/>
      </c>
      <c r="I1272" t="inlineStr"/>
    </row>
    <row r="1273">
      <c r="A1273" t="inlineStr">
        <is>
          <t>Machinery &amp; electronics</t>
        </is>
      </c>
      <c r="B1273" t="inlineStr">
        <is>
          <t>84</t>
        </is>
      </c>
      <c r="C1273" t="inlineStr">
        <is>
          <t>84603990</t>
        </is>
      </c>
      <c r="D1273" t="inlineStr">
        <is>
          <t>OTHERS-OF-OTHER SHARPENING MACHINES</t>
        </is>
      </c>
      <c r="E1273" s="3" t="n">
        <v>0.14</v>
      </c>
      <c r="F1273" s="3" t="n">
        <v>0.04</v>
      </c>
      <c r="G1273" s="3">
        <f>F1273-E1273</f>
        <v/>
      </c>
      <c r="H1273" s="4">
        <f>IF(E1273=0,"",F1273/E1273-1)</f>
        <v/>
      </c>
      <c r="I1273" t="inlineStr"/>
    </row>
    <row r="1274">
      <c r="A1274" t="inlineStr">
        <is>
          <t>Machinery &amp; electronics</t>
        </is>
      </c>
      <c r="B1274" t="inlineStr">
        <is>
          <t>84</t>
        </is>
      </c>
      <c r="C1274" t="inlineStr">
        <is>
          <t>84615015</t>
        </is>
      </c>
      <c r="D1274" t="inlineStr">
        <is>
          <t>HACK SAW</t>
        </is>
      </c>
      <c r="E1274" s="3" t="n">
        <v>0.02</v>
      </c>
      <c r="F1274" s="3" t="n">
        <v>0.04</v>
      </c>
      <c r="G1274" s="3">
        <f>F1274-E1274</f>
        <v/>
      </c>
      <c r="H1274" s="4">
        <f>IF(E1274=0,"",F1274/E1274-1)</f>
        <v/>
      </c>
      <c r="I1274" t="inlineStr"/>
    </row>
    <row r="1275">
      <c r="A1275" t="inlineStr">
        <is>
          <t>Machinery &amp; electronics</t>
        </is>
      </c>
      <c r="B1275" t="inlineStr">
        <is>
          <t>84</t>
        </is>
      </c>
      <c r="C1275" t="inlineStr">
        <is>
          <t>84633040</t>
        </is>
      </c>
      <c r="D1275" t="inlineStr">
        <is>
          <t>NAIL-MAKING MACHINE</t>
        </is>
      </c>
      <c r="E1275" s="3" t="n">
        <v>0.05</v>
      </c>
      <c r="F1275" s="3" t="n">
        <v>0.04</v>
      </c>
      <c r="G1275" s="3">
        <f>F1275-E1275</f>
        <v/>
      </c>
      <c r="H1275" s="4">
        <f>IF(E1275=0,"",F1275/E1275-1)</f>
        <v/>
      </c>
      <c r="I1275" t="inlineStr"/>
    </row>
    <row r="1276">
      <c r="A1276" t="inlineStr">
        <is>
          <t>Machinery &amp; electronics</t>
        </is>
      </c>
      <c r="B1276" t="inlineStr">
        <is>
          <t>84</t>
        </is>
      </c>
      <c r="C1276" t="inlineStr">
        <is>
          <t>84642000</t>
        </is>
      </c>
      <c r="D1276" t="inlineStr">
        <is>
          <t>GRNDNG/PLSHNG MCHNS WRKING STONE ETC</t>
        </is>
      </c>
      <c r="E1276" s="3" t="n">
        <v>0</v>
      </c>
      <c r="F1276" s="3" t="n">
        <v>0.04</v>
      </c>
      <c r="G1276" s="3">
        <f>F1276-E1276</f>
        <v/>
      </c>
      <c r="H1276" s="4">
        <f>IF(E1276=0,"",F1276/E1276-1)</f>
        <v/>
      </c>
      <c r="I1276" t="inlineStr"/>
    </row>
    <row r="1277">
      <c r="A1277" t="inlineStr">
        <is>
          <t>Machinery &amp; electronics</t>
        </is>
      </c>
      <c r="B1277" t="inlineStr">
        <is>
          <t>84</t>
        </is>
      </c>
      <c r="C1277" t="inlineStr">
        <is>
          <t>84662000</t>
        </is>
      </c>
      <c r="D1277" t="inlineStr">
        <is>
          <t>WORK HOLDERS</t>
        </is>
      </c>
      <c r="E1277" s="3" t="n">
        <v>0.01</v>
      </c>
      <c r="F1277" s="3" t="n">
        <v>0.04</v>
      </c>
      <c r="G1277" s="3">
        <f>F1277-E1277</f>
        <v/>
      </c>
      <c r="H1277" s="4">
        <f>IF(E1277=0,"",F1277/E1277-1)</f>
        <v/>
      </c>
      <c r="I1277" t="inlineStr"/>
    </row>
    <row r="1278">
      <c r="A1278" t="inlineStr">
        <is>
          <t>Machinery &amp; electronics</t>
        </is>
      </c>
      <c r="B1278" t="inlineStr">
        <is>
          <t>84</t>
        </is>
      </c>
      <c r="C1278" t="inlineStr">
        <is>
          <t>84679100</t>
        </is>
      </c>
      <c r="D1278" t="inlineStr">
        <is>
          <t>PARTS OF CHAIN SAWS</t>
        </is>
      </c>
      <c r="E1278" s="3" t="n">
        <v>0.24</v>
      </c>
      <c r="F1278" s="3" t="n">
        <v>0.04</v>
      </c>
      <c r="G1278" s="3">
        <f>F1278-E1278</f>
        <v/>
      </c>
      <c r="H1278" s="4">
        <f>IF(E1278=0,"",F1278/E1278-1)</f>
        <v/>
      </c>
      <c r="I1278" t="inlineStr"/>
    </row>
    <row r="1279">
      <c r="A1279" t="inlineStr">
        <is>
          <t>Machinery &amp; electronics</t>
        </is>
      </c>
      <c r="B1279" t="inlineStr">
        <is>
          <t>84</t>
        </is>
      </c>
      <c r="C1279" t="inlineStr">
        <is>
          <t>84748030</t>
        </is>
      </c>
      <c r="D1279" t="inlineStr">
        <is>
          <t>MACHINERY FR FORMNG FOUNDRY MOULDS OF SAND</t>
        </is>
      </c>
      <c r="E1279" s="3" t="n">
        <v>0</v>
      </c>
      <c r="F1279" s="3" t="n">
        <v>0.04</v>
      </c>
      <c r="G1279" s="3">
        <f>F1279-E1279</f>
        <v/>
      </c>
      <c r="H1279" s="4">
        <f>IF(E1279=0,"",F1279/E1279-1)</f>
        <v/>
      </c>
      <c r="I1279" t="inlineStr"/>
    </row>
    <row r="1280">
      <c r="A1280" t="inlineStr">
        <is>
          <t>Machinery &amp; electronics</t>
        </is>
      </c>
      <c r="B1280" t="inlineStr">
        <is>
          <t>85</t>
        </is>
      </c>
      <c r="C1280" t="inlineStr">
        <is>
          <t>85045010</t>
        </is>
      </c>
      <c r="D1280" t="inlineStr">
        <is>
          <t>CHOKE COILS(CHOKES)</t>
        </is>
      </c>
      <c r="E1280" s="3" t="n">
        <v>0.06</v>
      </c>
      <c r="F1280" s="3" t="n">
        <v>0.04</v>
      </c>
      <c r="G1280" s="3">
        <f>F1280-E1280</f>
        <v/>
      </c>
      <c r="H1280" s="4">
        <f>IF(E1280=0,"",F1280/E1280-1)</f>
        <v/>
      </c>
      <c r="I1280" t="inlineStr"/>
    </row>
    <row r="1281">
      <c r="A1281" t="inlineStr">
        <is>
          <t>Machinery &amp; electronics</t>
        </is>
      </c>
      <c r="B1281" t="inlineStr">
        <is>
          <t>85</t>
        </is>
      </c>
      <c r="C1281" t="inlineStr">
        <is>
          <t>85052000</t>
        </is>
      </c>
      <c r="D1281" t="inlineStr">
        <is>
          <t>ELECTRO-MGNTC COUPLINGS,CLUTCHES AND BRAKES</t>
        </is>
      </c>
      <c r="E1281" s="3" t="n">
        <v>0.09</v>
      </c>
      <c r="F1281" s="3" t="n">
        <v>0.04</v>
      </c>
      <c r="G1281" s="3">
        <f>F1281-E1281</f>
        <v/>
      </c>
      <c r="H1281" s="4">
        <f>IF(E1281=0,"",F1281/E1281-1)</f>
        <v/>
      </c>
      <c r="I1281" t="inlineStr"/>
    </row>
    <row r="1282">
      <c r="A1282" t="inlineStr">
        <is>
          <t>Machinery &amp; electronics</t>
        </is>
      </c>
      <c r="B1282" t="inlineStr">
        <is>
          <t>85</t>
        </is>
      </c>
      <c r="C1282" t="inlineStr">
        <is>
          <t>85113010</t>
        </is>
      </c>
      <c r="D1282" t="inlineStr">
        <is>
          <t>DISTRIBUTORS</t>
        </is>
      </c>
      <c r="E1282" s="3" t="n">
        <v>0.01</v>
      </c>
      <c r="F1282" s="3" t="n">
        <v>0.04</v>
      </c>
      <c r="G1282" s="3">
        <f>F1282-E1282</f>
        <v/>
      </c>
      <c r="H1282" s="4">
        <f>IF(E1282=0,"",F1282/E1282-1)</f>
        <v/>
      </c>
      <c r="I1282" t="inlineStr"/>
    </row>
    <row r="1283">
      <c r="A1283" t="inlineStr">
        <is>
          <t>Machinery &amp; electronics</t>
        </is>
      </c>
      <c r="B1283" t="inlineStr">
        <is>
          <t>85</t>
        </is>
      </c>
      <c r="C1283" t="inlineStr">
        <is>
          <t>85235290</t>
        </is>
      </c>
      <c r="D1283" t="inlineStr">
        <is>
          <t>OTHERS-OF-SMART CARDS</t>
        </is>
      </c>
      <c r="E1283" s="3" t="n">
        <v>0.04</v>
      </c>
      <c r="F1283" s="3" t="n">
        <v>0.04</v>
      </c>
      <c r="G1283" s="3">
        <f>F1283-E1283</f>
        <v/>
      </c>
      <c r="H1283" s="4">
        <f>IF(E1283=0,"",F1283/E1283-1)</f>
        <v/>
      </c>
      <c r="I1283" t="inlineStr"/>
    </row>
    <row r="1284">
      <c r="A1284" t="inlineStr">
        <is>
          <t>Machinery &amp; electronics</t>
        </is>
      </c>
      <c r="B1284" t="inlineStr">
        <is>
          <t>85</t>
        </is>
      </c>
      <c r="C1284" t="inlineStr">
        <is>
          <t>85308000</t>
        </is>
      </c>
      <c r="D1284" t="inlineStr">
        <is>
          <t>OTHER SIGNALING/TRAFFIC CONTROL EQUIPMENT</t>
        </is>
      </c>
      <c r="E1284" s="3" t="n">
        <v>0.08</v>
      </c>
      <c r="F1284" s="3" t="n">
        <v>0.04</v>
      </c>
      <c r="G1284" s="3">
        <f>F1284-E1284</f>
        <v/>
      </c>
      <c r="H1284" s="4">
        <f>IF(E1284=0,"",F1284/E1284-1)</f>
        <v/>
      </c>
      <c r="I1284" t="inlineStr"/>
    </row>
    <row r="1285">
      <c r="A1285" t="inlineStr">
        <is>
          <t>Machinery &amp; electronics</t>
        </is>
      </c>
      <c r="B1285" t="inlineStr">
        <is>
          <t>85</t>
        </is>
      </c>
      <c r="C1285" t="inlineStr">
        <is>
          <t>85332929</t>
        </is>
      </c>
      <c r="D1285" t="inlineStr">
        <is>
          <t>ELCTRCL RESISTANCE WIRE,INSLTD EXCL NICHRM</t>
        </is>
      </c>
      <c r="E1285" s="3" t="n">
        <v>0.32</v>
      </c>
      <c r="F1285" s="3" t="n">
        <v>0.04</v>
      </c>
      <c r="G1285" s="3">
        <f>F1285-E1285</f>
        <v/>
      </c>
      <c r="H1285" s="4">
        <f>IF(E1285=0,"",F1285/E1285-1)</f>
        <v/>
      </c>
      <c r="I1285" t="inlineStr"/>
    </row>
    <row r="1286">
      <c r="A1286" t="inlineStr">
        <is>
          <t>Machinery &amp; electronics</t>
        </is>
      </c>
      <c r="B1286" t="inlineStr">
        <is>
          <t>85</t>
        </is>
      </c>
      <c r="C1286" t="inlineStr">
        <is>
          <t>85393220</t>
        </is>
      </c>
      <c r="D1286" t="inlineStr">
        <is>
          <t>SODIUM VAPOUR LAMPS</t>
        </is>
      </c>
      <c r="E1286" s="3" t="n">
        <v>0</v>
      </c>
      <c r="F1286" s="3" t="n">
        <v>0.04</v>
      </c>
      <c r="G1286" s="3">
        <f>F1286-E1286</f>
        <v/>
      </c>
      <c r="H1286" s="4">
        <f>IF(E1286=0,"",F1286/E1286-1)</f>
        <v/>
      </c>
      <c r="I1286" t="inlineStr"/>
    </row>
    <row r="1287">
      <c r="A1287" t="inlineStr">
        <is>
          <t>Machinery &amp; electronics</t>
        </is>
      </c>
      <c r="B1287" t="inlineStr">
        <is>
          <t>85</t>
        </is>
      </c>
      <c r="C1287" t="inlineStr">
        <is>
          <t>85415900</t>
        </is>
      </c>
      <c r="D1287" t="inlineStr">
        <is>
          <t>OTHERS-OF-OTHERS-OF-SEMCOND DVS[SCD]( DIOD,TRNSTR,TRNSDCER); P SENST [SCD],P VOLT IF WITH MDL/ OF PNEL, LED,IF WITH LED;MTD PI</t>
        </is>
      </c>
      <c r="E1287" s="3" t="n">
        <v>0.02</v>
      </c>
      <c r="F1287" s="3" t="n">
        <v>0.04</v>
      </c>
      <c r="G1287" s="3">
        <f>F1287-E1287</f>
        <v/>
      </c>
      <c r="H1287" s="4">
        <f>IF(E1287=0,"",F1287/E1287-1)</f>
        <v/>
      </c>
      <c r="I1287" t="inlineStr"/>
    </row>
    <row r="1288">
      <c r="A1288" t="inlineStr">
        <is>
          <t>Machinery &amp; electronics</t>
        </is>
      </c>
      <c r="B1288" t="inlineStr">
        <is>
          <t>84</t>
        </is>
      </c>
      <c r="C1288" t="inlineStr">
        <is>
          <t>84099112</t>
        </is>
      </c>
      <c r="D1288" t="inlineStr">
        <is>
          <t>PISTONS</t>
        </is>
      </c>
      <c r="E1288" s="3" t="n">
        <v>0.04</v>
      </c>
      <c r="F1288" s="3" t="n">
        <v>0.03</v>
      </c>
      <c r="G1288" s="3">
        <f>F1288-E1288</f>
        <v/>
      </c>
      <c r="H1288" s="4">
        <f>IF(E1288=0,"",F1288/E1288-1)</f>
        <v/>
      </c>
      <c r="I1288" t="inlineStr"/>
    </row>
    <row r="1289">
      <c r="A1289" t="inlineStr">
        <is>
          <t>Machinery &amp; electronics</t>
        </is>
      </c>
      <c r="B1289" t="inlineStr">
        <is>
          <t>84</t>
        </is>
      </c>
      <c r="C1289" t="inlineStr">
        <is>
          <t>84099120</t>
        </is>
      </c>
      <c r="D1289" t="inlineStr">
        <is>
          <t>FUEL INJCTN EQPMNT EXCL INJCTN PUMPS</t>
        </is>
      </c>
      <c r="E1289" s="3" t="n">
        <v>0</v>
      </c>
      <c r="F1289" s="3" t="n">
        <v>0.03</v>
      </c>
      <c r="G1289" s="3">
        <f>F1289-E1289</f>
        <v/>
      </c>
      <c r="H1289" s="4">
        <f>IF(E1289=0,"",F1289/E1289-1)</f>
        <v/>
      </c>
      <c r="I1289" t="inlineStr"/>
    </row>
    <row r="1290">
      <c r="A1290" t="inlineStr">
        <is>
          <t>Machinery &amp; electronics</t>
        </is>
      </c>
      <c r="B1290" t="inlineStr">
        <is>
          <t>84</t>
        </is>
      </c>
      <c r="C1290" t="inlineStr">
        <is>
          <t>84099920</t>
        </is>
      </c>
      <c r="D1290" t="inlineStr">
        <is>
          <t>FUEL NOZZELES</t>
        </is>
      </c>
      <c r="E1290" s="3" t="n">
        <v>0.31</v>
      </c>
      <c r="F1290" s="3" t="n">
        <v>0.03</v>
      </c>
      <c r="G1290" s="3">
        <f>F1290-E1290</f>
        <v/>
      </c>
      <c r="H1290" s="4">
        <f>IF(E1290=0,"",F1290/E1290-1)</f>
        <v/>
      </c>
      <c r="I1290" t="inlineStr"/>
    </row>
    <row r="1291">
      <c r="A1291" t="inlineStr">
        <is>
          <t>Machinery &amp; electronics</t>
        </is>
      </c>
      <c r="B1291" t="inlineStr">
        <is>
          <t>84</t>
        </is>
      </c>
      <c r="C1291" t="inlineStr">
        <is>
          <t>84138120</t>
        </is>
      </c>
      <c r="D1291" t="inlineStr">
        <is>
          <t>HYDRAULIC RAM</t>
        </is>
      </c>
      <c r="E1291" s="3" t="n">
        <v>0.01</v>
      </c>
      <c r="F1291" s="3" t="n">
        <v>0.03</v>
      </c>
      <c r="G1291" s="3">
        <f>F1291-E1291</f>
        <v/>
      </c>
      <c r="H1291" s="4">
        <f>IF(E1291=0,"",F1291/E1291-1)</f>
        <v/>
      </c>
      <c r="I1291" t="inlineStr"/>
    </row>
    <row r="1292">
      <c r="A1292" t="inlineStr">
        <is>
          <t>Machinery &amp; electronics</t>
        </is>
      </c>
      <c r="B1292" t="inlineStr">
        <is>
          <t>84</t>
        </is>
      </c>
      <c r="C1292" t="inlineStr">
        <is>
          <t>84142020</t>
        </is>
      </c>
      <c r="D1292" t="inlineStr">
        <is>
          <t>OTHER HAND AIR PUMPS</t>
        </is>
      </c>
      <c r="E1292" s="3" t="n">
        <v>0.05</v>
      </c>
      <c r="F1292" s="3" t="n">
        <v>0.03</v>
      </c>
      <c r="G1292" s="3">
        <f>F1292-E1292</f>
        <v/>
      </c>
      <c r="H1292" s="4">
        <f>IF(E1292=0,"",F1292/E1292-1)</f>
        <v/>
      </c>
      <c r="I1292" t="inlineStr"/>
    </row>
    <row r="1293">
      <c r="A1293" t="inlineStr">
        <is>
          <t>Machinery &amp; electronics</t>
        </is>
      </c>
      <c r="B1293" t="inlineStr">
        <is>
          <t>84</t>
        </is>
      </c>
      <c r="C1293" t="inlineStr">
        <is>
          <t>84178090</t>
        </is>
      </c>
      <c r="D1293" t="inlineStr">
        <is>
          <t>OTHR FURNACES AND OVENS</t>
        </is>
      </c>
      <c r="E1293" s="3" t="n">
        <v>0.08</v>
      </c>
      <c r="F1293" s="3" t="n">
        <v>0.03</v>
      </c>
      <c r="G1293" s="3">
        <f>F1293-E1293</f>
        <v/>
      </c>
      <c r="H1293" s="4">
        <f>IF(E1293=0,"",F1293/E1293-1)</f>
        <v/>
      </c>
      <c r="I1293" t="inlineStr"/>
    </row>
    <row r="1294">
      <c r="A1294" t="inlineStr">
        <is>
          <t>Machinery &amp; electronics</t>
        </is>
      </c>
      <c r="B1294" t="inlineStr">
        <is>
          <t>84</t>
        </is>
      </c>
      <c r="C1294" t="inlineStr">
        <is>
          <t>84182900</t>
        </is>
      </c>
      <c r="D1294" t="inlineStr">
        <is>
          <t>OTHER HOUSEHOLD TYPE REFRIGERATORS</t>
        </is>
      </c>
      <c r="E1294" s="3" t="n">
        <v>0.22</v>
      </c>
      <c r="F1294" s="3" t="n">
        <v>0.03</v>
      </c>
      <c r="G1294" s="3">
        <f>F1294-E1294</f>
        <v/>
      </c>
      <c r="H1294" s="4">
        <f>IF(E1294=0,"",F1294/E1294-1)</f>
        <v/>
      </c>
      <c r="I1294" t="inlineStr"/>
    </row>
    <row r="1295">
      <c r="A1295" t="inlineStr">
        <is>
          <t>Machinery &amp; electronics</t>
        </is>
      </c>
      <c r="B1295" t="inlineStr">
        <is>
          <t>84</t>
        </is>
      </c>
      <c r="C1295" t="inlineStr">
        <is>
          <t>84199010</t>
        </is>
      </c>
      <c r="D1295" t="inlineStr">
        <is>
          <t>PARTS OF INSTANTANEOUS OR STORAGE WATER HEATERS (DOMENSTIC TYPE)</t>
        </is>
      </c>
      <c r="E1295" s="3" t="n">
        <v>0</v>
      </c>
      <c r="F1295" s="3" t="n">
        <v>0.03</v>
      </c>
      <c r="G1295" s="3">
        <f>F1295-E1295</f>
        <v/>
      </c>
      <c r="H1295" s="4">
        <f>IF(E1295=0,"",F1295/E1295-1)</f>
        <v/>
      </c>
      <c r="I1295" t="inlineStr"/>
    </row>
    <row r="1296">
      <c r="A1296" t="inlineStr">
        <is>
          <t>Machinery &amp; electronics</t>
        </is>
      </c>
      <c r="B1296" t="inlineStr">
        <is>
          <t>84</t>
        </is>
      </c>
      <c r="C1296" t="inlineStr">
        <is>
          <t>84211100</t>
        </is>
      </c>
      <c r="D1296" t="inlineStr">
        <is>
          <t>CREAM SEPARATORS</t>
        </is>
      </c>
      <c r="E1296" s="3" t="n">
        <v>0.07000000000000001</v>
      </c>
      <c r="F1296" s="3" t="n">
        <v>0.03</v>
      </c>
      <c r="G1296" s="3">
        <f>F1296-E1296</f>
        <v/>
      </c>
      <c r="H1296" s="4">
        <f>IF(E1296=0,"",F1296/E1296-1)</f>
        <v/>
      </c>
      <c r="I1296" t="inlineStr"/>
    </row>
    <row r="1297">
      <c r="A1297" t="inlineStr">
        <is>
          <t>Machinery &amp; electronics</t>
        </is>
      </c>
      <c r="B1297" t="inlineStr">
        <is>
          <t>84</t>
        </is>
      </c>
      <c r="C1297" t="inlineStr">
        <is>
          <t>84211960</t>
        </is>
      </c>
      <c r="D1297" t="inlineStr">
        <is>
          <t>SCREW CONVEYOR CENTRIFUGES</t>
        </is>
      </c>
      <c r="E1297" s="3" t="n">
        <v>0.09</v>
      </c>
      <c r="F1297" s="3" t="n">
        <v>0.03</v>
      </c>
      <c r="G1297" s="3">
        <f>F1297-E1297</f>
        <v/>
      </c>
      <c r="H1297" s="4">
        <f>IF(E1297=0,"",F1297/E1297-1)</f>
        <v/>
      </c>
      <c r="I1297" t="inlineStr"/>
    </row>
    <row r="1298">
      <c r="A1298" t="inlineStr">
        <is>
          <t>Machinery &amp; electronics</t>
        </is>
      </c>
      <c r="B1298" t="inlineStr">
        <is>
          <t>84</t>
        </is>
      </c>
      <c r="C1298" t="inlineStr">
        <is>
          <t>84433240</t>
        </is>
      </c>
      <c r="D1298" t="inlineStr">
        <is>
          <t>LASER ZET PRINTER</t>
        </is>
      </c>
      <c r="E1298" s="3" t="n">
        <v>0</v>
      </c>
      <c r="F1298" s="3" t="n">
        <v>0.03</v>
      </c>
      <c r="G1298" s="3">
        <f>F1298-E1298</f>
        <v/>
      </c>
      <c r="H1298" s="4">
        <f>IF(E1298=0,"",F1298/E1298-1)</f>
        <v/>
      </c>
      <c r="I1298" t="inlineStr"/>
    </row>
    <row r="1299">
      <c r="A1299" t="inlineStr">
        <is>
          <t>Machinery &amp; electronics</t>
        </is>
      </c>
      <c r="B1299" t="inlineStr">
        <is>
          <t>84</t>
        </is>
      </c>
      <c r="C1299" t="inlineStr">
        <is>
          <t>84433990</t>
        </is>
      </c>
      <c r="D1299" t="inlineStr">
        <is>
          <t>OTHERS-OF-OTHERS-OF-PRINTNG MACHNRY,INCL INK-JET PRINTNGMCHNSEXCL HDNG. NO 8471; MCHNS FR USES ANCILARY TO PRINTNG.</t>
        </is>
      </c>
      <c r="E1299" s="3" t="n">
        <v>0.05</v>
      </c>
      <c r="F1299" s="3" t="n">
        <v>0.03</v>
      </c>
      <c r="G1299" s="3">
        <f>F1299-E1299</f>
        <v/>
      </c>
      <c r="H1299" s="4">
        <f>IF(E1299=0,"",F1299/E1299-1)</f>
        <v/>
      </c>
      <c r="I1299" t="inlineStr"/>
    </row>
    <row r="1300">
      <c r="A1300" t="inlineStr">
        <is>
          <t>Machinery &amp; electronics</t>
        </is>
      </c>
      <c r="B1300" t="inlineStr">
        <is>
          <t>84</t>
        </is>
      </c>
      <c r="C1300" t="inlineStr">
        <is>
          <t>84481900</t>
        </is>
      </c>
      <c r="D1300" t="inlineStr">
        <is>
          <t>0THERS</t>
        </is>
      </c>
      <c r="E1300" s="3" t="n">
        <v>1.79</v>
      </c>
      <c r="F1300" s="3" t="n">
        <v>0.03</v>
      </c>
      <c r="G1300" s="3">
        <f>F1300-E1300</f>
        <v/>
      </c>
      <c r="H1300" s="4">
        <f>IF(E1300=0,"",F1300/E1300-1)</f>
        <v/>
      </c>
      <c r="I1300" t="inlineStr"/>
    </row>
    <row r="1301">
      <c r="A1301" t="inlineStr">
        <is>
          <t>Machinery &amp; electronics</t>
        </is>
      </c>
      <c r="B1301" t="inlineStr">
        <is>
          <t>84</t>
        </is>
      </c>
      <c r="C1301" t="inlineStr">
        <is>
          <t>84513090</t>
        </is>
      </c>
      <c r="D1301" t="inlineStr">
        <is>
          <t>0THER PRESSES</t>
        </is>
      </c>
      <c r="E1301" s="3" t="n">
        <v>0</v>
      </c>
      <c r="F1301" s="3" t="n">
        <v>0.03</v>
      </c>
      <c r="G1301" s="3">
        <f>F1301-E1301</f>
        <v/>
      </c>
      <c r="H1301" s="4">
        <f>IF(E1301=0,"",F1301/E1301-1)</f>
        <v/>
      </c>
      <c r="I1301" t="inlineStr"/>
    </row>
    <row r="1302">
      <c r="A1302" t="inlineStr">
        <is>
          <t>Machinery &amp; electronics</t>
        </is>
      </c>
      <c r="B1302" t="inlineStr">
        <is>
          <t>84</t>
        </is>
      </c>
      <c r="C1302" t="inlineStr">
        <is>
          <t>84529099</t>
        </is>
      </c>
      <c r="D1302" t="inlineStr">
        <is>
          <t>OTHER PARTS OF NON-HOUSEHOLD SEWING MACHINES</t>
        </is>
      </c>
      <c r="E1302" s="3" t="n">
        <v>0.04</v>
      </c>
      <c r="F1302" s="3" t="n">
        <v>0.03</v>
      </c>
      <c r="G1302" s="3">
        <f>F1302-E1302</f>
        <v/>
      </c>
      <c r="H1302" s="4">
        <f>IF(E1302=0,"",F1302/E1302-1)</f>
        <v/>
      </c>
      <c r="I1302" t="inlineStr"/>
    </row>
    <row r="1303">
      <c r="A1303" t="inlineStr">
        <is>
          <t>Machinery &amp; electronics</t>
        </is>
      </c>
      <c r="B1303" t="inlineStr">
        <is>
          <t>84</t>
        </is>
      </c>
      <c r="C1303" t="inlineStr">
        <is>
          <t>84572090</t>
        </is>
      </c>
      <c r="D1303" t="inlineStr">
        <is>
          <t>OTHER UNIT CNSTRCTN MACHINS ,SINGL STATION</t>
        </is>
      </c>
      <c r="E1303" s="3" t="n">
        <v>0</v>
      </c>
      <c r="F1303" s="3" t="n">
        <v>0.03</v>
      </c>
      <c r="G1303" s="3">
        <f>F1303-E1303</f>
        <v/>
      </c>
      <c r="H1303" s="4">
        <f>IF(E1303=0,"",F1303/E1303-1)</f>
        <v/>
      </c>
      <c r="I1303" t="inlineStr"/>
    </row>
    <row r="1304">
      <c r="A1304" t="inlineStr">
        <is>
          <t>Machinery &amp; electronics</t>
        </is>
      </c>
      <c r="B1304" t="inlineStr">
        <is>
          <t>84</t>
        </is>
      </c>
      <c r="C1304" t="inlineStr">
        <is>
          <t>84622200</t>
        </is>
      </c>
      <c r="D1304" t="inlineStr">
        <is>
          <t>MPROFILE FORMING MACHINES</t>
        </is>
      </c>
      <c r="E1304" s="3" t="n">
        <v>0.01</v>
      </c>
      <c r="F1304" s="3" t="n">
        <v>0.03</v>
      </c>
      <c r="G1304" s="3">
        <f>F1304-E1304</f>
        <v/>
      </c>
      <c r="H1304" s="4">
        <f>IF(E1304=0,"",F1304/E1304-1)</f>
        <v/>
      </c>
      <c r="I1304" t="inlineStr"/>
    </row>
    <row r="1305">
      <c r="A1305" t="inlineStr">
        <is>
          <t>Machinery &amp; electronics</t>
        </is>
      </c>
      <c r="B1305" t="inlineStr">
        <is>
          <t>84</t>
        </is>
      </c>
      <c r="C1305" t="inlineStr">
        <is>
          <t>84633030</t>
        </is>
      </c>
      <c r="D1305" t="inlineStr">
        <is>
          <t>CHAIN MAKING</t>
        </is>
      </c>
      <c r="E1305" s="3" t="n">
        <v>0.04</v>
      </c>
      <c r="F1305" s="3" t="n">
        <v>0.03</v>
      </c>
      <c r="G1305" s="3">
        <f>F1305-E1305</f>
        <v/>
      </c>
      <c r="H1305" s="4">
        <f>IF(E1305=0,"",F1305/E1305-1)</f>
        <v/>
      </c>
      <c r="I1305" t="inlineStr"/>
    </row>
    <row r="1306">
      <c r="A1306" t="inlineStr">
        <is>
          <t>Machinery &amp; electronics</t>
        </is>
      </c>
      <c r="B1306" t="inlineStr">
        <is>
          <t>84</t>
        </is>
      </c>
      <c r="C1306" t="inlineStr">
        <is>
          <t>84678920</t>
        </is>
      </c>
      <c r="D1306" t="inlineStr">
        <is>
          <t>VIBRATORS,NON-ELECTRIC</t>
        </is>
      </c>
      <c r="E1306" s="3" t="n">
        <v>0.03</v>
      </c>
      <c r="F1306" s="3" t="n">
        <v>0.03</v>
      </c>
      <c r="G1306" s="3">
        <f>F1306-E1306</f>
        <v/>
      </c>
      <c r="H1306" s="4">
        <f>IF(E1306=0,"",F1306/E1306-1)</f>
        <v/>
      </c>
      <c r="I1306" t="inlineStr"/>
    </row>
    <row r="1307">
      <c r="A1307" t="inlineStr">
        <is>
          <t>Machinery &amp; electronics</t>
        </is>
      </c>
      <c r="B1307" t="inlineStr">
        <is>
          <t>84</t>
        </is>
      </c>
      <c r="C1307" t="inlineStr">
        <is>
          <t>84798940</t>
        </is>
      </c>
      <c r="D1307" t="inlineStr">
        <is>
          <t>TRANSDUCERS</t>
        </is>
      </c>
      <c r="E1307" s="3" t="n">
        <v>0</v>
      </c>
      <c r="F1307" s="3" t="n">
        <v>0.03</v>
      </c>
      <c r="G1307" s="3">
        <f>F1307-E1307</f>
        <v/>
      </c>
      <c r="H1307" s="4">
        <f>IF(E1307=0,"",F1307/E1307-1)</f>
        <v/>
      </c>
      <c r="I1307" t="inlineStr"/>
    </row>
    <row r="1308">
      <c r="A1308" t="inlineStr">
        <is>
          <t>Machinery &amp; electronics</t>
        </is>
      </c>
      <c r="B1308" t="inlineStr">
        <is>
          <t>84</t>
        </is>
      </c>
      <c r="C1308" t="inlineStr">
        <is>
          <t>84798950</t>
        </is>
      </c>
      <c r="D1308" t="inlineStr">
        <is>
          <t>CAR WASHING MACHINES AND RELATD APPLIANCES</t>
        </is>
      </c>
      <c r="E1308" s="3" t="n">
        <v>0.26</v>
      </c>
      <c r="F1308" s="3" t="n">
        <v>0.03</v>
      </c>
      <c r="G1308" s="3">
        <f>F1308-E1308</f>
        <v/>
      </c>
      <c r="H1308" s="4">
        <f>IF(E1308=0,"",F1308/E1308-1)</f>
        <v/>
      </c>
      <c r="I1308" t="inlineStr"/>
    </row>
    <row r="1309">
      <c r="A1309" t="inlineStr">
        <is>
          <t>Machinery &amp; electronics</t>
        </is>
      </c>
      <c r="B1309" t="inlineStr">
        <is>
          <t>84</t>
        </is>
      </c>
      <c r="C1309" t="inlineStr">
        <is>
          <t>84799010</t>
        </is>
      </c>
      <c r="D1309" t="inlineStr">
        <is>
          <t>PRTS OF MCHNS FR PUBLC WRKS,BUILDNG AND LIKE</t>
        </is>
      </c>
      <c r="E1309" s="3" t="n">
        <v>0.02</v>
      </c>
      <c r="F1309" s="3" t="n">
        <v>0.03</v>
      </c>
      <c r="G1309" s="3">
        <f>F1309-E1309</f>
        <v/>
      </c>
      <c r="H1309" s="4">
        <f>IF(E1309=0,"",F1309/E1309-1)</f>
        <v/>
      </c>
      <c r="I1309" t="inlineStr"/>
    </row>
    <row r="1310">
      <c r="A1310" t="inlineStr">
        <is>
          <t>Machinery &amp; electronics</t>
        </is>
      </c>
      <c r="B1310" t="inlineStr">
        <is>
          <t>84</t>
        </is>
      </c>
      <c r="C1310" t="inlineStr">
        <is>
          <t>84821012</t>
        </is>
      </c>
      <c r="D1310" t="inlineStr">
        <is>
          <t>ADAPTER BALL BEARINGS(RADIAL TYPE)&gt;50 MM OR 2 INCHES BORE DIAMETER BUT&lt;=100 MM OR 4 INCHES BORE DIAMETER</t>
        </is>
      </c>
      <c r="E1310" s="3" t="n">
        <v>0.12</v>
      </c>
      <c r="F1310" s="3" t="n">
        <v>0.03</v>
      </c>
      <c r="G1310" s="3">
        <f>F1310-E1310</f>
        <v/>
      </c>
      <c r="H1310" s="4">
        <f>IF(E1310=0,"",F1310/E1310-1)</f>
        <v/>
      </c>
      <c r="I1310" t="inlineStr"/>
    </row>
    <row r="1311">
      <c r="A1311" t="inlineStr">
        <is>
          <t>Machinery &amp; electronics</t>
        </is>
      </c>
      <c r="B1311" t="inlineStr">
        <is>
          <t>84</t>
        </is>
      </c>
      <c r="C1311" t="inlineStr">
        <is>
          <t>84821030</t>
        </is>
      </c>
      <c r="D1311" t="inlineStr">
        <is>
          <t>BALL BEARINGS(RADIAL TYPE)EXCL ADAPTER BAL BEARNG(RADL TYPE)&gt;50MM/2 INCHES BORE DIAMETER BUT&lt;=100MM OR 4 INCHES BORE</t>
        </is>
      </c>
      <c r="E1311" s="3" t="n">
        <v>0.01</v>
      </c>
      <c r="F1311" s="3" t="n">
        <v>0.03</v>
      </c>
      <c r="G1311" s="3">
        <f>F1311-E1311</f>
        <v/>
      </c>
      <c r="H1311" s="4">
        <f>IF(E1311=0,"",F1311/E1311-1)</f>
        <v/>
      </c>
      <c r="I1311" t="inlineStr"/>
    </row>
    <row r="1312">
      <c r="A1312" t="inlineStr">
        <is>
          <t>Machinery &amp; electronics</t>
        </is>
      </c>
      <c r="B1312" t="inlineStr">
        <is>
          <t>85</t>
        </is>
      </c>
      <c r="C1312" t="inlineStr">
        <is>
          <t>85011012</t>
        </is>
      </c>
      <c r="D1312" t="inlineStr">
        <is>
          <t>STEPPER MOTOR WTH OUTPUT &lt;=37.5 W</t>
        </is>
      </c>
      <c r="E1312" s="3" t="n">
        <v>0</v>
      </c>
      <c r="F1312" s="3" t="n">
        <v>0.03</v>
      </c>
      <c r="G1312" s="3">
        <f>F1312-E1312</f>
        <v/>
      </c>
      <c r="H1312" s="4">
        <f>IF(E1312=0,"",F1312/E1312-1)</f>
        <v/>
      </c>
      <c r="I1312" t="inlineStr"/>
    </row>
    <row r="1313">
      <c r="A1313" t="inlineStr">
        <is>
          <t>Machinery &amp; electronics</t>
        </is>
      </c>
      <c r="B1313" t="inlineStr">
        <is>
          <t>85</t>
        </is>
      </c>
      <c r="C1313" t="inlineStr">
        <is>
          <t>85013210</t>
        </is>
      </c>
      <c r="D1313" t="inlineStr">
        <is>
          <t>D.C.MOTORS</t>
        </is>
      </c>
      <c r="E1313" s="3" t="n">
        <v>0.03</v>
      </c>
      <c r="F1313" s="3" t="n">
        <v>0.03</v>
      </c>
      <c r="G1313" s="3">
        <f>F1313-E1313</f>
        <v/>
      </c>
      <c r="H1313" s="4">
        <f>IF(E1313=0,"",F1313/E1313-1)</f>
        <v/>
      </c>
      <c r="I1313" t="inlineStr"/>
    </row>
    <row r="1314">
      <c r="A1314" t="inlineStr">
        <is>
          <t>Machinery &amp; electronics</t>
        </is>
      </c>
      <c r="B1314" t="inlineStr">
        <is>
          <t>85</t>
        </is>
      </c>
      <c r="C1314" t="inlineStr">
        <is>
          <t>85115000</t>
        </is>
      </c>
      <c r="D1314" t="inlineStr">
        <is>
          <t>OTHER STATER-GENERATORS</t>
        </is>
      </c>
      <c r="E1314" s="3" t="n">
        <v>0</v>
      </c>
      <c r="F1314" s="3" t="n">
        <v>0.03</v>
      </c>
      <c r="G1314" s="3">
        <f>F1314-E1314</f>
        <v/>
      </c>
      <c r="H1314" s="4">
        <f>IF(E1314=0,"",F1314/E1314-1)</f>
        <v/>
      </c>
      <c r="I1314" t="inlineStr"/>
    </row>
    <row r="1315">
      <c r="A1315" t="inlineStr">
        <is>
          <t>Machinery &amp; electronics</t>
        </is>
      </c>
      <c r="B1315" t="inlineStr">
        <is>
          <t>85</t>
        </is>
      </c>
      <c r="C1315" t="inlineStr">
        <is>
          <t>85167990</t>
        </is>
      </c>
      <c r="D1315" t="inlineStr">
        <is>
          <t>OTHERS-OF-OTHR ELCTRO-THERMIC APPLIANCES</t>
        </is>
      </c>
      <c r="E1315" s="3" t="n">
        <v>0.12</v>
      </c>
      <c r="F1315" s="3" t="n">
        <v>0.03</v>
      </c>
      <c r="G1315" s="3">
        <f>F1315-E1315</f>
        <v/>
      </c>
      <c r="H1315" s="4">
        <f>IF(E1315=0,"",F1315/E1315-1)</f>
        <v/>
      </c>
      <c r="I1315" t="inlineStr"/>
    </row>
    <row r="1316">
      <c r="A1316" t="inlineStr">
        <is>
          <t>Machinery &amp; electronics</t>
        </is>
      </c>
      <c r="B1316" t="inlineStr">
        <is>
          <t>85</t>
        </is>
      </c>
      <c r="C1316" t="inlineStr">
        <is>
          <t>85176210</t>
        </is>
      </c>
      <c r="D1316" t="inlineStr">
        <is>
          <t>PLCC EQUIPMENT</t>
        </is>
      </c>
      <c r="E1316" s="3" t="n">
        <v>0.23</v>
      </c>
      <c r="F1316" s="3" t="n">
        <v>0.03</v>
      </c>
      <c r="G1316" s="3">
        <f>F1316-E1316</f>
        <v/>
      </c>
      <c r="H1316" s="4">
        <f>IF(E1316=0,"",F1316/E1316-1)</f>
        <v/>
      </c>
      <c r="I1316" t="inlineStr"/>
    </row>
    <row r="1317">
      <c r="A1317" t="inlineStr">
        <is>
          <t>Machinery &amp; electronics</t>
        </is>
      </c>
      <c r="B1317" t="inlineStr">
        <is>
          <t>85</t>
        </is>
      </c>
      <c r="C1317" t="inlineStr">
        <is>
          <t>85184000</t>
        </is>
      </c>
      <c r="D1317" t="inlineStr">
        <is>
          <t>AUDIO-FREQUENCY ELCTRC AMPLIFIERS</t>
        </is>
      </c>
      <c r="E1317" s="3" t="n">
        <v>0.06</v>
      </c>
      <c r="F1317" s="3" t="n">
        <v>0.03</v>
      </c>
      <c r="G1317" s="3">
        <f>F1317-E1317</f>
        <v/>
      </c>
      <c r="H1317" s="4">
        <f>IF(E1317=0,"",F1317/E1317-1)</f>
        <v/>
      </c>
      <c r="I1317" t="inlineStr"/>
    </row>
    <row r="1318">
      <c r="A1318" t="inlineStr">
        <is>
          <t>Machinery &amp; electronics</t>
        </is>
      </c>
      <c r="B1318" t="inlineStr">
        <is>
          <t>85</t>
        </is>
      </c>
      <c r="C1318" t="inlineStr">
        <is>
          <t>85323000</t>
        </is>
      </c>
      <c r="D1318" t="inlineStr">
        <is>
          <t>VARIABLE/ADJUSTABLE (PRE-SET) CAPPCITORS</t>
        </is>
      </c>
      <c r="E1318" s="3" t="n">
        <v>0.07000000000000001</v>
      </c>
      <c r="F1318" s="3" t="n">
        <v>0.03</v>
      </c>
      <c r="G1318" s="3">
        <f>F1318-E1318</f>
        <v/>
      </c>
      <c r="H1318" s="4">
        <f>IF(E1318=0,"",F1318/E1318-1)</f>
        <v/>
      </c>
      <c r="I1318" t="inlineStr"/>
    </row>
    <row r="1319">
      <c r="A1319" t="inlineStr">
        <is>
          <t>Machinery &amp; electronics</t>
        </is>
      </c>
      <c r="B1319" t="inlineStr">
        <is>
          <t>85</t>
        </is>
      </c>
      <c r="C1319" t="inlineStr">
        <is>
          <t>85329000</t>
        </is>
      </c>
      <c r="D1319" t="inlineStr">
        <is>
          <t>PARTS OF HDNG 8532</t>
        </is>
      </c>
      <c r="E1319" s="3" t="n">
        <v>0.02</v>
      </c>
      <c r="F1319" s="3" t="n">
        <v>0.03</v>
      </c>
      <c r="G1319" s="3">
        <f>F1319-E1319</f>
        <v/>
      </c>
      <c r="H1319" s="4">
        <f>IF(E1319=0,"",F1319/E1319-1)</f>
        <v/>
      </c>
      <c r="I1319" t="inlineStr"/>
    </row>
    <row r="1320">
      <c r="A1320" t="inlineStr">
        <is>
          <t>Machinery &amp; electronics</t>
        </is>
      </c>
      <c r="B1320" t="inlineStr">
        <is>
          <t>85</t>
        </is>
      </c>
      <c r="C1320" t="inlineStr">
        <is>
          <t>85333910</t>
        </is>
      </c>
      <c r="D1320" t="inlineStr">
        <is>
          <t>POTENTIOMETERS</t>
        </is>
      </c>
      <c r="E1320" s="3" t="n">
        <v>0.01</v>
      </c>
      <c r="F1320" s="3" t="n">
        <v>0.03</v>
      </c>
      <c r="G1320" s="3">
        <f>F1320-E1320</f>
        <v/>
      </c>
      <c r="H1320" s="4">
        <f>IF(E1320=0,"",F1320/E1320-1)</f>
        <v/>
      </c>
      <c r="I1320" t="inlineStr"/>
    </row>
    <row r="1321">
      <c r="A1321" t="inlineStr">
        <is>
          <t>Machinery &amp; electronics</t>
        </is>
      </c>
      <c r="B1321" t="inlineStr">
        <is>
          <t>85</t>
        </is>
      </c>
      <c r="C1321" t="inlineStr">
        <is>
          <t>85359010</t>
        </is>
      </c>
      <c r="D1321" t="inlineStr">
        <is>
          <t>MOTOR STARTERS FR A.C.MTRS RUNNING AT CONSTANT SPEED AT ABOVE 1000 VOLTS</t>
        </is>
      </c>
      <c r="E1321" s="3" t="n">
        <v>0.04</v>
      </c>
      <c r="F1321" s="3" t="n">
        <v>0.03</v>
      </c>
      <c r="G1321" s="3">
        <f>F1321-E1321</f>
        <v/>
      </c>
      <c r="H1321" s="4">
        <f>IF(E1321=0,"",F1321/E1321-1)</f>
        <v/>
      </c>
      <c r="I1321" t="inlineStr"/>
    </row>
    <row r="1322">
      <c r="A1322" t="inlineStr">
        <is>
          <t>Machinery &amp; electronics</t>
        </is>
      </c>
      <c r="B1322" t="inlineStr">
        <is>
          <t>85</t>
        </is>
      </c>
      <c r="C1322" t="inlineStr">
        <is>
          <t>85392990</t>
        </is>
      </c>
      <c r="D1322" t="inlineStr">
        <is>
          <t>OTERS</t>
        </is>
      </c>
      <c r="E1322" s="3" t="n">
        <v>0.03</v>
      </c>
      <c r="F1322" s="3" t="n">
        <v>0.03</v>
      </c>
      <c r="G1322" s="3">
        <f>F1322-E1322</f>
        <v/>
      </c>
      <c r="H1322" s="4">
        <f>IF(E1322=0,"",F1322/E1322-1)</f>
        <v/>
      </c>
      <c r="I1322" t="inlineStr"/>
    </row>
    <row r="1323">
      <c r="A1323" t="inlineStr">
        <is>
          <t>Machinery &amp; electronics</t>
        </is>
      </c>
      <c r="B1323" t="inlineStr">
        <is>
          <t>85</t>
        </is>
      </c>
      <c r="C1323" t="inlineStr">
        <is>
          <t>85411000</t>
        </is>
      </c>
      <c r="D1323" t="inlineStr">
        <is>
          <t>DIODES,OTHER THAN PHOTOSENSITIVE OR LIGHT EMITTING DIODES</t>
        </is>
      </c>
      <c r="E1323" s="3" t="n">
        <v>0.08</v>
      </c>
      <c r="F1323" s="3" t="n">
        <v>0.03</v>
      </c>
      <c r="G1323" s="3">
        <f>F1323-E1323</f>
        <v/>
      </c>
      <c r="H1323" s="4">
        <f>IF(E1323=0,"",F1323/E1323-1)</f>
        <v/>
      </c>
      <c r="I1323" t="inlineStr"/>
    </row>
    <row r="1324">
      <c r="A1324" t="inlineStr">
        <is>
          <t>Machinery &amp; electronics</t>
        </is>
      </c>
      <c r="B1324" t="inlineStr">
        <is>
          <t>85</t>
        </is>
      </c>
      <c r="C1324" t="inlineStr">
        <is>
          <t>85437029</t>
        </is>
      </c>
      <c r="D1324" t="inlineStr">
        <is>
          <t>OTHER AUDIO SPECIAL EFFECT EQUIPMENTS</t>
        </is>
      </c>
      <c r="E1324" s="3" t="n">
        <v>0.12</v>
      </c>
      <c r="F1324" s="3" t="n">
        <v>0.03</v>
      </c>
      <c r="G1324" s="3">
        <f>F1324-E1324</f>
        <v/>
      </c>
      <c r="H1324" s="4">
        <f>IF(E1324=0,"",F1324/E1324-1)</f>
        <v/>
      </c>
      <c r="I1324" t="inlineStr"/>
    </row>
    <row r="1325">
      <c r="A1325" t="inlineStr">
        <is>
          <t>Machinery &amp; electronics</t>
        </is>
      </c>
      <c r="B1325" t="inlineStr">
        <is>
          <t>84</t>
        </is>
      </c>
      <c r="C1325" t="inlineStr">
        <is>
          <t>84079010</t>
        </is>
      </c>
      <c r="D1325" t="inlineStr">
        <is>
          <t>PETROL ENGINES</t>
        </is>
      </c>
      <c r="E1325" s="3" t="n">
        <v>0</v>
      </c>
      <c r="F1325" s="3" t="n">
        <v>0.02</v>
      </c>
      <c r="G1325" s="3">
        <f>F1325-E1325</f>
        <v/>
      </c>
      <c r="H1325" s="4">
        <f>IF(E1325=0,"",F1325/E1325-1)</f>
        <v/>
      </c>
      <c r="I1325" t="inlineStr"/>
    </row>
    <row r="1326">
      <c r="A1326" t="inlineStr">
        <is>
          <t>Machinery &amp; electronics</t>
        </is>
      </c>
      <c r="B1326" t="inlineStr">
        <is>
          <t>84</t>
        </is>
      </c>
      <c r="C1326" t="inlineStr">
        <is>
          <t>84079090</t>
        </is>
      </c>
      <c r="D1326" t="inlineStr">
        <is>
          <t>OTHERS-OF-OTHER ENGINES:</t>
        </is>
      </c>
      <c r="E1326" s="3" t="n">
        <v>0</v>
      </c>
      <c r="F1326" s="3" t="n">
        <v>0.02</v>
      </c>
      <c r="G1326" s="3">
        <f>F1326-E1326</f>
        <v/>
      </c>
      <c r="H1326" s="4">
        <f>IF(E1326=0,"",F1326/E1326-1)</f>
        <v/>
      </c>
      <c r="I1326" t="inlineStr"/>
    </row>
    <row r="1327">
      <c r="A1327" t="inlineStr">
        <is>
          <t>Machinery &amp; electronics</t>
        </is>
      </c>
      <c r="B1327" t="inlineStr">
        <is>
          <t>84</t>
        </is>
      </c>
      <c r="C1327" t="inlineStr">
        <is>
          <t>84091000</t>
        </is>
      </c>
      <c r="D1327" t="inlineStr">
        <is>
          <t>PARTS FOR AIRCRAFT ENGINES</t>
        </is>
      </c>
      <c r="E1327" s="3" t="n">
        <v>0.01</v>
      </c>
      <c r="F1327" s="3" t="n">
        <v>0.02</v>
      </c>
      <c r="G1327" s="3">
        <f>F1327-E1327</f>
        <v/>
      </c>
      <c r="H1327" s="4">
        <f>IF(E1327=0,"",F1327/E1327-1)</f>
        <v/>
      </c>
      <c r="I1327" t="inlineStr"/>
    </row>
    <row r="1328">
      <c r="A1328" t="inlineStr">
        <is>
          <t>Machinery &amp; electronics</t>
        </is>
      </c>
      <c r="B1328" t="inlineStr">
        <is>
          <t>84</t>
        </is>
      </c>
      <c r="C1328" t="inlineStr">
        <is>
          <t>84099114</t>
        </is>
      </c>
      <c r="D1328" t="inlineStr">
        <is>
          <t>PISTON ASSEMBLES</t>
        </is>
      </c>
      <c r="E1328" s="3" t="n">
        <v>0.02</v>
      </c>
      <c r="F1328" s="3" t="n">
        <v>0.02</v>
      </c>
      <c r="G1328" s="3">
        <f>F1328-E1328</f>
        <v/>
      </c>
      <c r="H1328" s="4">
        <f>IF(E1328=0,"",F1328/E1328-1)</f>
        <v/>
      </c>
      <c r="I1328" t="inlineStr"/>
    </row>
    <row r="1329">
      <c r="A1329" t="inlineStr">
        <is>
          <t>Machinery &amp; electronics</t>
        </is>
      </c>
      <c r="B1329" t="inlineStr">
        <is>
          <t>84</t>
        </is>
      </c>
      <c r="C1329" t="inlineStr">
        <is>
          <t>84099911</t>
        </is>
      </c>
      <c r="D1329" t="inlineStr">
        <is>
          <t>VALVES,INLET AND EXHAUST</t>
        </is>
      </c>
      <c r="E1329" s="3" t="n">
        <v>0</v>
      </c>
      <c r="F1329" s="3" t="n">
        <v>0.02</v>
      </c>
      <c r="G1329" s="3">
        <f>F1329-E1329</f>
        <v/>
      </c>
      <c r="H1329" s="4">
        <f>IF(E1329=0,"",F1329/E1329-1)</f>
        <v/>
      </c>
      <c r="I1329" t="inlineStr"/>
    </row>
    <row r="1330">
      <c r="A1330" t="inlineStr">
        <is>
          <t>Machinery &amp; electronics</t>
        </is>
      </c>
      <c r="B1330" t="inlineStr">
        <is>
          <t>84</t>
        </is>
      </c>
      <c r="C1330" t="inlineStr">
        <is>
          <t>84099930</t>
        </is>
      </c>
      <c r="D1330" t="inlineStr">
        <is>
          <t>FUEL INJECTN EQPMNT EXCL INJCTN PUMPS</t>
        </is>
      </c>
      <c r="E1330" s="3" t="n">
        <v>0.01</v>
      </c>
      <c r="F1330" s="3" t="n">
        <v>0.02</v>
      </c>
      <c r="G1330" s="3">
        <f>F1330-E1330</f>
        <v/>
      </c>
      <c r="H1330" s="4">
        <f>IF(E1330=0,"",F1330/E1330-1)</f>
        <v/>
      </c>
      <c r="I1330" t="inlineStr"/>
    </row>
    <row r="1331">
      <c r="A1331" t="inlineStr">
        <is>
          <t>Machinery &amp; electronics</t>
        </is>
      </c>
      <c r="B1331" t="inlineStr">
        <is>
          <t>84</t>
        </is>
      </c>
      <c r="C1331" t="inlineStr">
        <is>
          <t>84131910</t>
        </is>
      </c>
      <c r="D1331" t="inlineStr">
        <is>
          <t>HAND PUMPS FITTED OR DESIGNED TO BE FTTD WITH A MEASURING DEVICE</t>
        </is>
      </c>
      <c r="E1331" s="3" t="n">
        <v>0</v>
      </c>
      <c r="F1331" s="3" t="n">
        <v>0.02</v>
      </c>
      <c r="G1331" s="3">
        <f>F1331-E1331</f>
        <v/>
      </c>
      <c r="H1331" s="4">
        <f>IF(E1331=0,"",F1331/E1331-1)</f>
        <v/>
      </c>
      <c r="I1331" t="inlineStr"/>
    </row>
    <row r="1332">
      <c r="A1332" t="inlineStr">
        <is>
          <t>Machinery &amp; electronics</t>
        </is>
      </c>
      <c r="B1332" t="inlineStr">
        <is>
          <t>84</t>
        </is>
      </c>
      <c r="C1332" t="inlineStr">
        <is>
          <t>84134000</t>
        </is>
      </c>
      <c r="D1332" t="inlineStr">
        <is>
          <t>CONCRETE PUMPS</t>
        </is>
      </c>
      <c r="E1332" s="3" t="n">
        <v>0</v>
      </c>
      <c r="F1332" s="3" t="n">
        <v>0.02</v>
      </c>
      <c r="G1332" s="3">
        <f>F1332-E1332</f>
        <v/>
      </c>
      <c r="H1332" s="4">
        <f>IF(E1332=0,"",F1332/E1332-1)</f>
        <v/>
      </c>
      <c r="I1332" t="inlineStr"/>
    </row>
    <row r="1333">
      <c r="A1333" t="inlineStr">
        <is>
          <t>Machinery &amp; electronics</t>
        </is>
      </c>
      <c r="B1333" t="inlineStr">
        <is>
          <t>84</t>
        </is>
      </c>
      <c r="C1333" t="inlineStr">
        <is>
          <t>84148030</t>
        </is>
      </c>
      <c r="D1333" t="inlineStr">
        <is>
          <t>TURBO CHARGER</t>
        </is>
      </c>
      <c r="E1333" s="3" t="n">
        <v>0.06</v>
      </c>
      <c r="F1333" s="3" t="n">
        <v>0.02</v>
      </c>
      <c r="G1333" s="3">
        <f>F1333-E1333</f>
        <v/>
      </c>
      <c r="H1333" s="4">
        <f>IF(E1333=0,"",F1333/E1333-1)</f>
        <v/>
      </c>
      <c r="I1333" t="inlineStr"/>
    </row>
    <row r="1334">
      <c r="A1334" t="inlineStr">
        <is>
          <t>Machinery &amp; electronics</t>
        </is>
      </c>
      <c r="B1334" t="inlineStr">
        <is>
          <t>84</t>
        </is>
      </c>
      <c r="C1334" t="inlineStr">
        <is>
          <t>84209900</t>
        </is>
      </c>
      <c r="D1334" t="inlineStr">
        <is>
          <t>OTHER PARTS OF CALENDRNG/OTHR RLNG MACHNS</t>
        </is>
      </c>
      <c r="E1334" s="3" t="n">
        <v>0.02</v>
      </c>
      <c r="F1334" s="3" t="n">
        <v>0.02</v>
      </c>
      <c r="G1334" s="3">
        <f>F1334-E1334</f>
        <v/>
      </c>
      <c r="H1334" s="4">
        <f>IF(E1334=0,"",F1334/E1334-1)</f>
        <v/>
      </c>
      <c r="I1334" t="inlineStr"/>
    </row>
    <row r="1335">
      <c r="A1335" t="inlineStr">
        <is>
          <t>Machinery &amp; electronics</t>
        </is>
      </c>
      <c r="B1335" t="inlineStr">
        <is>
          <t>84</t>
        </is>
      </c>
      <c r="C1335" t="inlineStr">
        <is>
          <t>84212200</t>
        </is>
      </c>
      <c r="D1335" t="inlineStr">
        <is>
          <t>MCHNRY AND APPRTS FR FLTRNG AND PURFYNG BVRGS</t>
        </is>
      </c>
      <c r="E1335" s="3" t="n">
        <v>0.04</v>
      </c>
      <c r="F1335" s="3" t="n">
        <v>0.02</v>
      </c>
      <c r="G1335" s="3">
        <f>F1335-E1335</f>
        <v/>
      </c>
      <c r="H1335" s="4">
        <f>IF(E1335=0,"",F1335/E1335-1)</f>
        <v/>
      </c>
      <c r="I1335" t="inlineStr"/>
    </row>
    <row r="1336">
      <c r="A1336" t="inlineStr">
        <is>
          <t>Machinery &amp; electronics</t>
        </is>
      </c>
      <c r="B1336" t="inlineStr">
        <is>
          <t>84</t>
        </is>
      </c>
      <c r="C1336" t="inlineStr">
        <is>
          <t>84323900</t>
        </is>
      </c>
      <c r="D1336" t="inlineStr">
        <is>
          <t>OTHER SEEDERS, PLANTERS AND TRANSPLANTERS</t>
        </is>
      </c>
      <c r="E1336" s="3" t="n">
        <v>0</v>
      </c>
      <c r="F1336" s="3" t="n">
        <v>0.02</v>
      </c>
      <c r="G1336" s="3">
        <f>F1336-E1336</f>
        <v/>
      </c>
      <c r="H1336" s="4">
        <f>IF(E1336=0,"",F1336/E1336-1)</f>
        <v/>
      </c>
      <c r="I1336" t="inlineStr"/>
    </row>
    <row r="1337">
      <c r="A1337" t="inlineStr">
        <is>
          <t>Machinery &amp; electronics</t>
        </is>
      </c>
      <c r="B1337" t="inlineStr">
        <is>
          <t>84</t>
        </is>
      </c>
      <c r="C1337" t="inlineStr">
        <is>
          <t>84512100</t>
        </is>
      </c>
      <c r="D1337" t="inlineStr">
        <is>
          <t>DRYNG MCHNS OF DRY LINEN CPCTY&lt;= 10 KG</t>
        </is>
      </c>
      <c r="E1337" s="3" t="n">
        <v>0</v>
      </c>
      <c r="F1337" s="3" t="n">
        <v>0.02</v>
      </c>
      <c r="G1337" s="3">
        <f>F1337-E1337</f>
        <v/>
      </c>
      <c r="H1337" s="4">
        <f>IF(E1337=0,"",F1337/E1337-1)</f>
        <v/>
      </c>
      <c r="I1337" t="inlineStr"/>
    </row>
    <row r="1338">
      <c r="A1338" t="inlineStr">
        <is>
          <t>Machinery &amp; electronics</t>
        </is>
      </c>
      <c r="B1338" t="inlineStr">
        <is>
          <t>84</t>
        </is>
      </c>
      <c r="C1338" t="inlineStr">
        <is>
          <t>84539090</t>
        </is>
      </c>
      <c r="D1338" t="inlineStr">
        <is>
          <t>PARTS OF OTHER MACNS OF HDNG 8453</t>
        </is>
      </c>
      <c r="E1338" s="3" t="n">
        <v>0</v>
      </c>
      <c r="F1338" s="3" t="n">
        <v>0.02</v>
      </c>
      <c r="G1338" s="3">
        <f>F1338-E1338</f>
        <v/>
      </c>
      <c r="H1338" s="4">
        <f>IF(E1338=0,"",F1338/E1338-1)</f>
        <v/>
      </c>
      <c r="I1338" t="inlineStr"/>
    </row>
    <row r="1339">
      <c r="A1339" t="inlineStr">
        <is>
          <t>Machinery &amp; electronics</t>
        </is>
      </c>
      <c r="B1339" t="inlineStr">
        <is>
          <t>84</t>
        </is>
      </c>
      <c r="C1339" t="inlineStr">
        <is>
          <t>84552200</t>
        </is>
      </c>
      <c r="D1339" t="inlineStr">
        <is>
          <t>ROLLING MILLS-COLD</t>
        </is>
      </c>
      <c r="E1339" s="3" t="n">
        <v>0.03</v>
      </c>
      <c r="F1339" s="3" t="n">
        <v>0.02</v>
      </c>
      <c r="G1339" s="3">
        <f>F1339-E1339</f>
        <v/>
      </c>
      <c r="H1339" s="4">
        <f>IF(E1339=0,"",F1339/E1339-1)</f>
        <v/>
      </c>
      <c r="I1339" t="inlineStr"/>
    </row>
    <row r="1340">
      <c r="A1340" t="inlineStr">
        <is>
          <t>Machinery &amp; electronics</t>
        </is>
      </c>
      <c r="B1340" t="inlineStr">
        <is>
          <t>84</t>
        </is>
      </c>
      <c r="C1340" t="inlineStr">
        <is>
          <t>84561200</t>
        </is>
      </c>
      <c r="D1340" t="inlineStr">
        <is>
          <t>OPERATED BY OTHER LIGHT OR PHOTON BEAM PROCESSES</t>
        </is>
      </c>
      <c r="E1340" s="3" t="n">
        <v>0</v>
      </c>
      <c r="F1340" s="3" t="n">
        <v>0.02</v>
      </c>
      <c r="G1340" s="3">
        <f>F1340-E1340</f>
        <v/>
      </c>
      <c r="H1340" s="4">
        <f>IF(E1340=0,"",F1340/E1340-1)</f>
        <v/>
      </c>
      <c r="I1340" t="inlineStr"/>
    </row>
    <row r="1341">
      <c r="A1341" t="inlineStr">
        <is>
          <t>Machinery &amp; electronics</t>
        </is>
      </c>
      <c r="B1341" t="inlineStr">
        <is>
          <t>84</t>
        </is>
      </c>
      <c r="C1341" t="inlineStr">
        <is>
          <t>84594910</t>
        </is>
      </c>
      <c r="D1341" t="inlineStr">
        <is>
          <t>JIG BORING MACHINES, HORIZONTAL</t>
        </is>
      </c>
      <c r="E1341" s="3" t="n">
        <v>0</v>
      </c>
      <c r="F1341" s="3" t="n">
        <v>0.02</v>
      </c>
      <c r="G1341" s="3">
        <f>F1341-E1341</f>
        <v/>
      </c>
      <c r="H1341" s="4">
        <f>IF(E1341=0,"",F1341/E1341-1)</f>
        <v/>
      </c>
      <c r="I1341" t="inlineStr"/>
    </row>
    <row r="1342">
      <c r="A1342" t="inlineStr">
        <is>
          <t>Machinery &amp; electronics</t>
        </is>
      </c>
      <c r="B1342" t="inlineStr">
        <is>
          <t>84</t>
        </is>
      </c>
      <c r="C1342" t="inlineStr">
        <is>
          <t>84609090</t>
        </is>
      </c>
      <c r="D1342" t="inlineStr">
        <is>
          <t>OTHERS-OF-OTHER MACHINE-TOOLS OF HD 8460</t>
        </is>
      </c>
      <c r="E1342" s="3" t="n">
        <v>0.14</v>
      </c>
      <c r="F1342" s="3" t="n">
        <v>0.02</v>
      </c>
      <c r="G1342" s="3">
        <f>F1342-E1342</f>
        <v/>
      </c>
      <c r="H1342" s="4">
        <f>IF(E1342=0,"",F1342/E1342-1)</f>
        <v/>
      </c>
      <c r="I1342" t="inlineStr"/>
    </row>
    <row r="1343">
      <c r="A1343" t="inlineStr">
        <is>
          <t>Machinery &amp; electronics</t>
        </is>
      </c>
      <c r="B1343" t="inlineStr">
        <is>
          <t>84</t>
        </is>
      </c>
      <c r="C1343" t="inlineStr">
        <is>
          <t>84751000</t>
        </is>
      </c>
      <c r="D1343" t="inlineStr">
        <is>
          <t>MCHNS FR ASSMBLNG ELCTRC/ELCTRNC LAMPS TUBES/VALVE/FLSHBULBS IN GLASS ENVELOPS</t>
        </is>
      </c>
      <c r="E1343" s="3" t="n">
        <v>0</v>
      </c>
      <c r="F1343" s="3" t="n">
        <v>0.02</v>
      </c>
      <c r="G1343" s="3">
        <f>F1343-E1343</f>
        <v/>
      </c>
      <c r="H1343" s="4">
        <f>IF(E1343=0,"",F1343/E1343-1)</f>
        <v/>
      </c>
      <c r="I1343" t="inlineStr"/>
    </row>
    <row r="1344">
      <c r="A1344" t="inlineStr">
        <is>
          <t>Machinery &amp; electronics</t>
        </is>
      </c>
      <c r="B1344" t="inlineStr">
        <is>
          <t>84</t>
        </is>
      </c>
      <c r="C1344" t="inlineStr">
        <is>
          <t>84798910</t>
        </is>
      </c>
      <c r="D1344" t="inlineStr">
        <is>
          <t>SOAP-MANUFACTURING MACHINERY</t>
        </is>
      </c>
      <c r="E1344" s="3" t="n">
        <v>0.07000000000000001</v>
      </c>
      <c r="F1344" s="3" t="n">
        <v>0.02</v>
      </c>
      <c r="G1344" s="3">
        <f>F1344-E1344</f>
        <v/>
      </c>
      <c r="H1344" s="4">
        <f>IF(E1344=0,"",F1344/E1344-1)</f>
        <v/>
      </c>
      <c r="I1344" t="inlineStr"/>
    </row>
    <row r="1345">
      <c r="A1345" t="inlineStr">
        <is>
          <t>Machinery &amp; electronics</t>
        </is>
      </c>
      <c r="B1345" t="inlineStr">
        <is>
          <t>84</t>
        </is>
      </c>
      <c r="C1345" t="inlineStr">
        <is>
          <t>84819010</t>
        </is>
      </c>
      <c r="D1345" t="inlineStr">
        <is>
          <t>BICYCLES VALVES</t>
        </is>
      </c>
      <c r="E1345" s="3" t="n">
        <v>0.01</v>
      </c>
      <c r="F1345" s="3" t="n">
        <v>0.02</v>
      </c>
      <c r="G1345" s="3">
        <f>F1345-E1345</f>
        <v/>
      </c>
      <c r="H1345" s="4">
        <f>IF(E1345=0,"",F1345/E1345-1)</f>
        <v/>
      </c>
      <c r="I1345" t="inlineStr"/>
    </row>
    <row r="1346">
      <c r="A1346" t="inlineStr">
        <is>
          <t>Machinery &amp; electronics</t>
        </is>
      </c>
      <c r="B1346" t="inlineStr">
        <is>
          <t>84</t>
        </is>
      </c>
      <c r="C1346" t="inlineStr">
        <is>
          <t>84822013</t>
        </is>
      </c>
      <c r="D1346" t="inlineStr">
        <is>
          <t>TAPERED ROLLER BEARINGS(RADIAL TYPE) &gt;100 MM OR4 INCHES BORE DIAMETER</t>
        </is>
      </c>
      <c r="E1346" s="3" t="n">
        <v>0.03</v>
      </c>
      <c r="F1346" s="3" t="n">
        <v>0.02</v>
      </c>
      <c r="G1346" s="3">
        <f>F1346-E1346</f>
        <v/>
      </c>
      <c r="H1346" s="4">
        <f>IF(E1346=0,"",F1346/E1346-1)</f>
        <v/>
      </c>
      <c r="I1346" t="inlineStr"/>
    </row>
    <row r="1347">
      <c r="A1347" t="inlineStr">
        <is>
          <t>Machinery &amp; electronics</t>
        </is>
      </c>
      <c r="B1347" t="inlineStr">
        <is>
          <t>85</t>
        </is>
      </c>
      <c r="C1347" t="inlineStr">
        <is>
          <t>85114000</t>
        </is>
      </c>
      <c r="D1347" t="inlineStr">
        <is>
          <t>STRTR MTRS AND DUAL PURPOSE STRTR GNRTRS</t>
        </is>
      </c>
      <c r="E1347" s="3" t="n">
        <v>0.02</v>
      </c>
      <c r="F1347" s="3" t="n">
        <v>0.02</v>
      </c>
      <c r="G1347" s="3">
        <f>F1347-E1347</f>
        <v/>
      </c>
      <c r="H1347" s="4">
        <f>IF(E1347=0,"",F1347/E1347-1)</f>
        <v/>
      </c>
      <c r="I1347" t="inlineStr"/>
    </row>
    <row r="1348">
      <c r="A1348" t="inlineStr">
        <is>
          <t>Machinery &amp; electronics</t>
        </is>
      </c>
      <c r="B1348" t="inlineStr">
        <is>
          <t>85</t>
        </is>
      </c>
      <c r="C1348" t="inlineStr">
        <is>
          <t>85181000</t>
        </is>
      </c>
      <c r="D1348" t="inlineStr">
        <is>
          <t>MICROPHONES AND STANDS THERE FOR</t>
        </is>
      </c>
      <c r="E1348" s="3" t="n">
        <v>0</v>
      </c>
      <c r="F1348" s="3" t="n">
        <v>0.02</v>
      </c>
      <c r="G1348" s="3">
        <f>F1348-E1348</f>
        <v/>
      </c>
      <c r="H1348" s="4">
        <f>IF(E1348=0,"",F1348/E1348-1)</f>
        <v/>
      </c>
      <c r="I1348" t="inlineStr"/>
    </row>
    <row r="1349">
      <c r="A1349" t="inlineStr">
        <is>
          <t>Machinery &amp; electronics</t>
        </is>
      </c>
      <c r="B1349" t="inlineStr">
        <is>
          <t>85</t>
        </is>
      </c>
      <c r="C1349" t="inlineStr">
        <is>
          <t>85232100</t>
        </is>
      </c>
      <c r="D1349" t="inlineStr">
        <is>
          <t>CARDS INCORPORTNG A MAGNETIC STRIPE</t>
        </is>
      </c>
      <c r="E1349" s="3" t="n">
        <v>0</v>
      </c>
      <c r="F1349" s="3" t="n">
        <v>0.02</v>
      </c>
      <c r="G1349" s="3">
        <f>F1349-E1349</f>
        <v/>
      </c>
      <c r="H1349" s="4">
        <f>IF(E1349=0,"",F1349/E1349-1)</f>
        <v/>
      </c>
      <c r="I1349" t="inlineStr"/>
    </row>
    <row r="1350">
      <c r="A1350" t="inlineStr">
        <is>
          <t>Machinery &amp; electronics</t>
        </is>
      </c>
      <c r="B1350" t="inlineStr">
        <is>
          <t>85</t>
        </is>
      </c>
      <c r="C1350" t="inlineStr">
        <is>
          <t>85234990</t>
        </is>
      </c>
      <c r="D1350" t="inlineStr">
        <is>
          <t>OTHER OPTICAL MEDIA OF HDG 852349</t>
        </is>
      </c>
      <c r="E1350" s="3" t="n">
        <v>0</v>
      </c>
      <c r="F1350" s="3" t="n">
        <v>0.02</v>
      </c>
      <c r="G1350" s="3">
        <f>F1350-E1350</f>
        <v/>
      </c>
      <c r="H1350" s="4">
        <f>IF(E1350=0,"",F1350/E1350-1)</f>
        <v/>
      </c>
      <c r="I1350" t="inlineStr"/>
    </row>
    <row r="1351">
      <c r="A1351" t="inlineStr">
        <is>
          <t>Machinery &amp; electronics</t>
        </is>
      </c>
      <c r="B1351" t="inlineStr">
        <is>
          <t>85</t>
        </is>
      </c>
      <c r="C1351" t="inlineStr">
        <is>
          <t>85291019</t>
        </is>
      </c>
      <c r="D1351" t="inlineStr">
        <is>
          <t>DISH ANTENNA FR OTHR USE</t>
        </is>
      </c>
      <c r="E1351" s="3" t="n">
        <v>0.01</v>
      </c>
      <c r="F1351" s="3" t="n">
        <v>0.02</v>
      </c>
      <c r="G1351" s="3">
        <f>F1351-E1351</f>
        <v/>
      </c>
      <c r="H1351" s="4">
        <f>IF(E1351=0,"",F1351/E1351-1)</f>
        <v/>
      </c>
      <c r="I1351" t="inlineStr"/>
    </row>
    <row r="1352">
      <c r="A1352" t="inlineStr">
        <is>
          <t>Machinery &amp; electronics</t>
        </is>
      </c>
      <c r="B1352" t="inlineStr">
        <is>
          <t>85</t>
        </is>
      </c>
      <c r="C1352" t="inlineStr">
        <is>
          <t>85291099</t>
        </is>
      </c>
      <c r="D1352" t="inlineStr">
        <is>
          <t>AERIAL PARTS FR OTHR USE</t>
        </is>
      </c>
      <c r="E1352" s="3" t="n">
        <v>0</v>
      </c>
      <c r="F1352" s="3" t="n">
        <v>0.02</v>
      </c>
      <c r="G1352" s="3">
        <f>F1352-E1352</f>
        <v/>
      </c>
      <c r="H1352" s="4">
        <f>IF(E1352=0,"",F1352/E1352-1)</f>
        <v/>
      </c>
      <c r="I1352" t="inlineStr"/>
    </row>
    <row r="1353">
      <c r="A1353" t="inlineStr">
        <is>
          <t>Machinery &amp; electronics</t>
        </is>
      </c>
      <c r="B1353" t="inlineStr">
        <is>
          <t>85</t>
        </is>
      </c>
      <c r="C1353" t="inlineStr">
        <is>
          <t>85333990</t>
        </is>
      </c>
      <c r="D1353" t="inlineStr">
        <is>
          <t>OTHERS-OF-OTHR WIREWND VARIABLE RESISTORS INCLRHEOSTATS AND POTENTIOMETERS FR A PWR HANDLING CAPACITY MORE THAN 20 W</t>
        </is>
      </c>
      <c r="E1353" s="3" t="n">
        <v>0</v>
      </c>
      <c r="F1353" s="3" t="n">
        <v>0.02</v>
      </c>
      <c r="G1353" s="3">
        <f>F1353-E1353</f>
        <v/>
      </c>
      <c r="H1353" s="4">
        <f>IF(E1353=0,"",F1353/E1353-1)</f>
        <v/>
      </c>
      <c r="I1353" t="inlineStr"/>
    </row>
    <row r="1354">
      <c r="A1354" t="inlineStr">
        <is>
          <t>Machinery &amp; electronics</t>
        </is>
      </c>
      <c r="B1354" t="inlineStr">
        <is>
          <t>85</t>
        </is>
      </c>
      <c r="C1354" t="inlineStr">
        <is>
          <t>85339000</t>
        </is>
      </c>
      <c r="D1354" t="inlineStr">
        <is>
          <t>PARTS OF ARTICLES OF HEADING 8533</t>
        </is>
      </c>
      <c r="E1354" s="3" t="n">
        <v>0</v>
      </c>
      <c r="F1354" s="3" t="n">
        <v>0.02</v>
      </c>
      <c r="G1354" s="3">
        <f>F1354-E1354</f>
        <v/>
      </c>
      <c r="H1354" s="4">
        <f>IF(E1354=0,"",F1354/E1354-1)</f>
        <v/>
      </c>
      <c r="I1354" t="inlineStr"/>
    </row>
    <row r="1355">
      <c r="A1355" t="inlineStr">
        <is>
          <t>Machinery &amp; electronics</t>
        </is>
      </c>
      <c r="B1355" t="inlineStr">
        <is>
          <t>85</t>
        </is>
      </c>
      <c r="C1355" t="inlineStr">
        <is>
          <t>85414300</t>
        </is>
      </c>
      <c r="D1355" t="inlineStr">
        <is>
          <t>Photovoltaic cells assembled in modules or made up into panels</t>
        </is>
      </c>
      <c r="E1355" s="3" t="n">
        <v>1.93</v>
      </c>
      <c r="F1355" s="3" t="n">
        <v>0.02</v>
      </c>
      <c r="G1355" s="3">
        <f>F1355-E1355</f>
        <v/>
      </c>
      <c r="H1355" s="4">
        <f>IF(E1355=0,"",F1355/E1355-1)</f>
        <v/>
      </c>
      <c r="I1355" t="inlineStr"/>
    </row>
    <row r="1356">
      <c r="A1356" t="inlineStr">
        <is>
          <t>Machinery &amp; electronics</t>
        </is>
      </c>
      <c r="B1356" t="inlineStr">
        <is>
          <t>85</t>
        </is>
      </c>
      <c r="C1356" t="inlineStr">
        <is>
          <t>85414900</t>
        </is>
      </c>
      <c r="D1356" t="inlineStr">
        <is>
          <t>OTHERS-OF-OTHERS-OF-SEMCOND DVS[SCD]( DIOD,TRNSTR,TRNSDCER); P SENST [SCD],P VOLT IF WITH MDL/ OF PNEL, LED,IF WITH LED;MTD PI</t>
        </is>
      </c>
      <c r="E1356" s="3" t="n">
        <v>0.06</v>
      </c>
      <c r="F1356" s="3" t="n">
        <v>0.02</v>
      </c>
      <c r="G1356" s="3">
        <f>F1356-E1356</f>
        <v/>
      </c>
      <c r="H1356" s="4">
        <f>IF(E1356=0,"",F1356/E1356-1)</f>
        <v/>
      </c>
      <c r="I1356" t="inlineStr"/>
    </row>
    <row r="1357">
      <c r="A1357" t="inlineStr">
        <is>
          <t>Machinery &amp; electronics</t>
        </is>
      </c>
      <c r="B1357" t="inlineStr">
        <is>
          <t>85</t>
        </is>
      </c>
      <c r="C1357" t="inlineStr">
        <is>
          <t>85437019</t>
        </is>
      </c>
      <c r="D1357" t="inlineStr">
        <is>
          <t>ELECTRIC FENCE ENERGISERS</t>
        </is>
      </c>
      <c r="E1357" s="3" t="n">
        <v>0.01</v>
      </c>
      <c r="F1357" s="3" t="n">
        <v>0.02</v>
      </c>
      <c r="G1357" s="3">
        <f>F1357-E1357</f>
        <v/>
      </c>
      <c r="H1357" s="4">
        <f>IF(E1357=0,"",F1357/E1357-1)</f>
        <v/>
      </c>
      <c r="I1357" t="inlineStr"/>
    </row>
    <row r="1358">
      <c r="A1358" t="inlineStr">
        <is>
          <t>Machinery &amp; electronics</t>
        </is>
      </c>
      <c r="B1358" t="inlineStr">
        <is>
          <t>85</t>
        </is>
      </c>
      <c r="C1358" t="inlineStr">
        <is>
          <t>85462022</t>
        </is>
      </c>
      <c r="D1358" t="inlineStr">
        <is>
          <t>PORCELAIN POST INSULATORS 6.6KV TO 11KV</t>
        </is>
      </c>
      <c r="E1358" s="3" t="n">
        <v>0</v>
      </c>
      <c r="F1358" s="3" t="n">
        <v>0.02</v>
      </c>
      <c r="G1358" s="3">
        <f>F1358-E1358</f>
        <v/>
      </c>
      <c r="H1358" s="4">
        <f>IF(E1358=0,"",F1358/E1358-1)</f>
        <v/>
      </c>
      <c r="I1358" t="inlineStr"/>
    </row>
    <row r="1359">
      <c r="A1359" t="inlineStr">
        <is>
          <t>Machinery &amp; electronics</t>
        </is>
      </c>
      <c r="B1359" t="inlineStr">
        <is>
          <t>84</t>
        </is>
      </c>
      <c r="C1359" t="inlineStr">
        <is>
          <t>84072100</t>
        </is>
      </c>
      <c r="D1359" t="inlineStr">
        <is>
          <t>OUT BOARD MOTORS</t>
        </is>
      </c>
      <c r="E1359" s="3" t="n">
        <v>0</v>
      </c>
      <c r="F1359" s="3" t="n">
        <v>0.01</v>
      </c>
      <c r="G1359" s="3">
        <f>F1359-E1359</f>
        <v/>
      </c>
      <c r="H1359" s="4">
        <f>IF(E1359=0,"",F1359/E1359-1)</f>
        <v/>
      </c>
      <c r="I1359" t="inlineStr"/>
    </row>
    <row r="1360">
      <c r="A1360" t="inlineStr">
        <is>
          <t>Machinery &amp; electronics</t>
        </is>
      </c>
      <c r="B1360" t="inlineStr">
        <is>
          <t>84</t>
        </is>
      </c>
      <c r="C1360" t="inlineStr">
        <is>
          <t>84099912</t>
        </is>
      </c>
      <c r="D1360" t="inlineStr">
        <is>
          <t>PISTONS</t>
        </is>
      </c>
      <c r="E1360" s="3" t="n">
        <v>0</v>
      </c>
      <c r="F1360" s="3" t="n">
        <v>0.01</v>
      </c>
      <c r="G1360" s="3">
        <f>F1360-E1360</f>
        <v/>
      </c>
      <c r="H1360" s="4">
        <f>IF(E1360=0,"",F1360/E1360-1)</f>
        <v/>
      </c>
      <c r="I1360" t="inlineStr"/>
    </row>
    <row r="1361">
      <c r="A1361" t="inlineStr">
        <is>
          <t>Machinery &amp; electronics</t>
        </is>
      </c>
      <c r="B1361" t="inlineStr">
        <is>
          <t>84</t>
        </is>
      </c>
      <c r="C1361" t="inlineStr">
        <is>
          <t>84099913</t>
        </is>
      </c>
      <c r="D1361" t="inlineStr">
        <is>
          <t>PISTON RINGS</t>
        </is>
      </c>
      <c r="E1361" s="3" t="n">
        <v>0.01</v>
      </c>
      <c r="F1361" s="3" t="n">
        <v>0.01</v>
      </c>
      <c r="G1361" s="3">
        <f>F1361-E1361</f>
        <v/>
      </c>
      <c r="H1361" s="4">
        <f>IF(E1361=0,"",F1361/E1361-1)</f>
        <v/>
      </c>
      <c r="I1361" t="inlineStr"/>
    </row>
    <row r="1362">
      <c r="A1362" t="inlineStr">
        <is>
          <t>Machinery &amp; electronics</t>
        </is>
      </c>
      <c r="B1362" t="inlineStr">
        <is>
          <t>84</t>
        </is>
      </c>
      <c r="C1362" t="inlineStr">
        <is>
          <t>84128030</t>
        </is>
      </c>
      <c r="D1362" t="inlineStr">
        <is>
          <t>WIND MILL,WIND TURBINE/ENGINE</t>
        </is>
      </c>
      <c r="E1362" s="3" t="n">
        <v>0</v>
      </c>
      <c r="F1362" s="3" t="n">
        <v>0.01</v>
      </c>
      <c r="G1362" s="3">
        <f>F1362-E1362</f>
        <v/>
      </c>
      <c r="H1362" s="4">
        <f>IF(E1362=0,"",F1362/E1362-1)</f>
        <v/>
      </c>
      <c r="I1362" t="inlineStr"/>
    </row>
    <row r="1363">
      <c r="A1363" t="inlineStr">
        <is>
          <t>Machinery &amp; electronics</t>
        </is>
      </c>
      <c r="B1363" t="inlineStr">
        <is>
          <t>84</t>
        </is>
      </c>
      <c r="C1363" t="inlineStr">
        <is>
          <t>84132000</t>
        </is>
      </c>
      <c r="D1363" t="inlineStr">
        <is>
          <t>HAND PUMPS,EXCL THOSE OF 841311/841319</t>
        </is>
      </c>
      <c r="E1363" s="3" t="n">
        <v>0.04</v>
      </c>
      <c r="F1363" s="3" t="n">
        <v>0.01</v>
      </c>
      <c r="G1363" s="3">
        <f>F1363-E1363</f>
        <v/>
      </c>
      <c r="H1363" s="4">
        <f>IF(E1363=0,"",F1363/E1363-1)</f>
        <v/>
      </c>
      <c r="I1363" t="inlineStr"/>
    </row>
    <row r="1364">
      <c r="A1364" t="inlineStr">
        <is>
          <t>Machinery &amp; electronics</t>
        </is>
      </c>
      <c r="B1364" t="inlineStr">
        <is>
          <t>84</t>
        </is>
      </c>
      <c r="C1364" t="inlineStr">
        <is>
          <t>84137093</t>
        </is>
      </c>
      <c r="D1364" t="inlineStr">
        <is>
          <t>HORIZONTAL SELF PRIMING PUMPS</t>
        </is>
      </c>
      <c r="E1364" s="3" t="n">
        <v>0</v>
      </c>
      <c r="F1364" s="3" t="n">
        <v>0.01</v>
      </c>
      <c r="G1364" s="3">
        <f>F1364-E1364</f>
        <v/>
      </c>
      <c r="H1364" s="4">
        <f>IF(E1364=0,"",F1364/E1364-1)</f>
        <v/>
      </c>
      <c r="I1364" t="inlineStr"/>
    </row>
    <row r="1365">
      <c r="A1365" t="inlineStr">
        <is>
          <t>Machinery &amp; electronics</t>
        </is>
      </c>
      <c r="B1365" t="inlineStr">
        <is>
          <t>84</t>
        </is>
      </c>
      <c r="C1365" t="inlineStr">
        <is>
          <t>84139140</t>
        </is>
      </c>
      <c r="D1365" t="inlineStr">
        <is>
          <t>PARTS OF HAND PUMP FOR HANDLING WATER</t>
        </is>
      </c>
      <c r="E1365" s="3" t="n">
        <v>0</v>
      </c>
      <c r="F1365" s="3" t="n">
        <v>0.01</v>
      </c>
      <c r="G1365" s="3">
        <f>F1365-E1365</f>
        <v/>
      </c>
      <c r="H1365" s="4">
        <f>IF(E1365=0,"",F1365/E1365-1)</f>
        <v/>
      </c>
      <c r="I1365" t="inlineStr"/>
    </row>
    <row r="1366">
      <c r="A1366" t="inlineStr">
        <is>
          <t>Machinery &amp; electronics</t>
        </is>
      </c>
      <c r="B1366" t="inlineStr">
        <is>
          <t>84</t>
        </is>
      </c>
      <c r="C1366" t="inlineStr">
        <is>
          <t>84139200</t>
        </is>
      </c>
      <c r="D1366" t="inlineStr">
        <is>
          <t>PARTS OF LIQUID ELEVATORS</t>
        </is>
      </c>
      <c r="E1366" s="3" t="n">
        <v>0</v>
      </c>
      <c r="F1366" s="3" t="n">
        <v>0.01</v>
      </c>
      <c r="G1366" s="3">
        <f>F1366-E1366</f>
        <v/>
      </c>
      <c r="H1366" s="4">
        <f>IF(E1366=0,"",F1366/E1366-1)</f>
        <v/>
      </c>
      <c r="I1366" t="inlineStr"/>
    </row>
    <row r="1367">
      <c r="A1367" t="inlineStr">
        <is>
          <t>Machinery &amp; electronics</t>
        </is>
      </c>
      <c r="B1367" t="inlineStr">
        <is>
          <t>84</t>
        </is>
      </c>
      <c r="C1367" t="inlineStr">
        <is>
          <t>84183090</t>
        </is>
      </c>
      <c r="D1367" t="inlineStr">
        <is>
          <t>FREEZERS,OTHER THAN ELECTRICAL</t>
        </is>
      </c>
      <c r="E1367" s="3" t="n">
        <v>0</v>
      </c>
      <c r="F1367" s="3" t="n">
        <v>0.01</v>
      </c>
      <c r="G1367" s="3">
        <f>F1367-E1367</f>
        <v/>
      </c>
      <c r="H1367" s="4">
        <f>IF(E1367=0,"",F1367/E1367-1)</f>
        <v/>
      </c>
      <c r="I1367" t="inlineStr"/>
    </row>
    <row r="1368">
      <c r="A1368" t="inlineStr">
        <is>
          <t>Machinery &amp; electronics</t>
        </is>
      </c>
      <c r="B1368" t="inlineStr">
        <is>
          <t>84</t>
        </is>
      </c>
      <c r="C1368" t="inlineStr">
        <is>
          <t>84186950</t>
        </is>
      </c>
      <c r="D1368" t="inlineStr">
        <is>
          <t>RFRGRTD FARM TNKS, INDSTRIAL ICE CRM FRZER</t>
        </is>
      </c>
      <c r="E1368" s="3" t="n">
        <v>0.04</v>
      </c>
      <c r="F1368" s="3" t="n">
        <v>0.01</v>
      </c>
      <c r="G1368" s="3">
        <f>F1368-E1368</f>
        <v/>
      </c>
      <c r="H1368" s="4">
        <f>IF(E1368=0,"",F1368/E1368-1)</f>
        <v/>
      </c>
      <c r="I1368" t="inlineStr"/>
    </row>
    <row r="1369">
      <c r="A1369" t="inlineStr">
        <is>
          <t>Machinery &amp; electronics</t>
        </is>
      </c>
      <c r="B1369" t="inlineStr">
        <is>
          <t>84</t>
        </is>
      </c>
      <c r="C1369" t="inlineStr">
        <is>
          <t>84191110</t>
        </is>
      </c>
      <c r="D1369" t="inlineStr">
        <is>
          <t>NON-ELECTRICAL(DOMESTIC TYPE)</t>
        </is>
      </c>
      <c r="E1369" s="3" t="n">
        <v>0.09</v>
      </c>
      <c r="F1369" s="3" t="n">
        <v>0.01</v>
      </c>
      <c r="G1369" s="3">
        <f>F1369-E1369</f>
        <v/>
      </c>
      <c r="H1369" s="4">
        <f>IF(E1369=0,"",F1369/E1369-1)</f>
        <v/>
      </c>
      <c r="I1369" t="inlineStr"/>
    </row>
    <row r="1370">
      <c r="A1370" t="inlineStr">
        <is>
          <t>Machinery &amp; electronics</t>
        </is>
      </c>
      <c r="B1370" t="inlineStr">
        <is>
          <t>84</t>
        </is>
      </c>
      <c r="C1370" t="inlineStr">
        <is>
          <t>84191910</t>
        </is>
      </c>
      <c r="D1370" t="inlineStr">
        <is>
          <t>NON-ELECTRICAL (DOMESTIC TYPE)</t>
        </is>
      </c>
      <c r="E1370" s="3" t="n">
        <v>0</v>
      </c>
      <c r="F1370" s="3" t="n">
        <v>0.01</v>
      </c>
      <c r="G1370" s="3">
        <f>F1370-E1370</f>
        <v/>
      </c>
      <c r="H1370" s="4">
        <f>IF(E1370=0,"",F1370/E1370-1)</f>
        <v/>
      </c>
      <c r="I1370" t="inlineStr"/>
    </row>
    <row r="1371">
      <c r="A1371" t="inlineStr">
        <is>
          <t>Machinery &amp; electronics</t>
        </is>
      </c>
      <c r="B1371" t="inlineStr">
        <is>
          <t>84</t>
        </is>
      </c>
      <c r="C1371" t="inlineStr">
        <is>
          <t>84209100</t>
        </is>
      </c>
      <c r="D1371" t="inlineStr">
        <is>
          <t>PARTS OF CYLINDERS</t>
        </is>
      </c>
      <c r="E1371" s="3" t="n">
        <v>0.01</v>
      </c>
      <c r="F1371" s="3" t="n">
        <v>0.01</v>
      </c>
      <c r="G1371" s="3">
        <f>F1371-E1371</f>
        <v/>
      </c>
      <c r="H1371" s="4">
        <f>IF(E1371=0,"",F1371/E1371-1)</f>
        <v/>
      </c>
      <c r="I1371" t="inlineStr"/>
    </row>
    <row r="1372">
      <c r="A1372" t="inlineStr">
        <is>
          <t>Machinery &amp; electronics</t>
        </is>
      </c>
      <c r="B1372" t="inlineStr">
        <is>
          <t>84</t>
        </is>
      </c>
      <c r="C1372" t="inlineStr">
        <is>
          <t>84231000</t>
        </is>
      </c>
      <c r="D1372" t="inlineStr">
        <is>
          <t>PERSONAL WEIGHING MACHINES,INCLUDING BABY SCALES;HOUSEHOLD SCALES</t>
        </is>
      </c>
      <c r="E1372" s="3" t="n">
        <v>0.05</v>
      </c>
      <c r="F1372" s="3" t="n">
        <v>0.01</v>
      </c>
      <c r="G1372" s="3">
        <f>F1372-E1372</f>
        <v/>
      </c>
      <c r="H1372" s="4">
        <f>IF(E1372=0,"",F1372/E1372-1)</f>
        <v/>
      </c>
      <c r="I1372" t="inlineStr"/>
    </row>
    <row r="1373">
      <c r="A1373" t="inlineStr">
        <is>
          <t>Machinery &amp; electronics</t>
        </is>
      </c>
      <c r="B1373" t="inlineStr">
        <is>
          <t>84</t>
        </is>
      </c>
      <c r="C1373" t="inlineStr">
        <is>
          <t>84238290</t>
        </is>
      </c>
      <c r="D1373" t="inlineStr">
        <is>
          <t>OTHERS-OF-OTHR WGHNG MCHNRY HVNG A MXM WGHNG CPCTYEXCDNG 30 KG BUT NOT EXCDNG 5000 KG</t>
        </is>
      </c>
      <c r="E1373" s="3" t="n">
        <v>0.04</v>
      </c>
      <c r="F1373" s="3" t="n">
        <v>0.01</v>
      </c>
      <c r="G1373" s="3">
        <f>F1373-E1373</f>
        <v/>
      </c>
      <c r="H1373" s="4">
        <f>IF(E1373=0,"",F1373/E1373-1)</f>
        <v/>
      </c>
      <c r="I1373" t="inlineStr"/>
    </row>
    <row r="1374">
      <c r="A1374" t="inlineStr">
        <is>
          <t>Machinery &amp; electronics</t>
        </is>
      </c>
      <c r="B1374" t="inlineStr">
        <is>
          <t>84</t>
        </is>
      </c>
      <c r="C1374" t="inlineStr">
        <is>
          <t>84244900</t>
        </is>
      </c>
      <c r="D1374" t="inlineStr">
        <is>
          <t>OTHERS-OF-OTHERS-OF-MCHNCL APPLNCS (W/N HND-OPRTD)FR PRJCTNG, DSPRSNG LQDS/PWDR;FIRE EXTNGSHR,W/N CHRGD;SPRY GUNS AND LIKE;STM</t>
        </is>
      </c>
      <c r="E1374" s="3" t="n">
        <v>0.07000000000000001</v>
      </c>
      <c r="F1374" s="3" t="n">
        <v>0.01</v>
      </c>
      <c r="G1374" s="3">
        <f>F1374-E1374</f>
        <v/>
      </c>
      <c r="H1374" s="4">
        <f>IF(E1374=0,"",F1374/E1374-1)</f>
        <v/>
      </c>
      <c r="I1374" t="inlineStr"/>
    </row>
    <row r="1375">
      <c r="A1375" t="inlineStr">
        <is>
          <t>Machinery &amp; electronics</t>
        </is>
      </c>
      <c r="B1375" t="inlineStr">
        <is>
          <t>84</t>
        </is>
      </c>
      <c r="C1375" t="inlineStr">
        <is>
          <t>84269990</t>
        </is>
      </c>
      <c r="D1375" t="inlineStr">
        <is>
          <t>OTHERS-OF-OTHER MACHINERY OF HDG 8426</t>
        </is>
      </c>
      <c r="E1375" s="3" t="n">
        <v>0.1</v>
      </c>
      <c r="F1375" s="3" t="n">
        <v>0.01</v>
      </c>
      <c r="G1375" s="3">
        <f>F1375-E1375</f>
        <v/>
      </c>
      <c r="H1375" s="4">
        <f>IF(E1375=0,"",F1375/E1375-1)</f>
        <v/>
      </c>
      <c r="I1375" t="inlineStr"/>
    </row>
    <row r="1376">
      <c r="A1376" t="inlineStr">
        <is>
          <t>Machinery &amp; electronics</t>
        </is>
      </c>
      <c r="B1376" t="inlineStr">
        <is>
          <t>84</t>
        </is>
      </c>
      <c r="C1376" t="inlineStr">
        <is>
          <t>84339000</t>
        </is>
      </c>
      <c r="D1376" t="inlineStr">
        <is>
          <t>PARTS OF HRVESTNG,THRSHNG MACHINES ETC</t>
        </is>
      </c>
      <c r="E1376" s="3" t="n">
        <v>0.09</v>
      </c>
      <c r="F1376" s="3" t="n">
        <v>0.01</v>
      </c>
      <c r="G1376" s="3">
        <f>F1376-E1376</f>
        <v/>
      </c>
      <c r="H1376" s="4">
        <f>IF(E1376=0,"",F1376/E1376-1)</f>
        <v/>
      </c>
      <c r="I1376" t="inlineStr"/>
    </row>
    <row r="1377">
      <c r="A1377" t="inlineStr">
        <is>
          <t>Machinery &amp; electronics</t>
        </is>
      </c>
      <c r="B1377" t="inlineStr">
        <is>
          <t>84</t>
        </is>
      </c>
      <c r="C1377" t="inlineStr">
        <is>
          <t>84379020</t>
        </is>
      </c>
      <c r="D1377" t="inlineStr">
        <is>
          <t>PARTS OF RICE MILL MACHINERY</t>
        </is>
      </c>
      <c r="E1377" s="3" t="n">
        <v>0.04</v>
      </c>
      <c r="F1377" s="3" t="n">
        <v>0.01</v>
      </c>
      <c r="G1377" s="3">
        <f>F1377-E1377</f>
        <v/>
      </c>
      <c r="H1377" s="4">
        <f>IF(E1377=0,"",F1377/E1377-1)</f>
        <v/>
      </c>
      <c r="I1377" t="inlineStr"/>
    </row>
    <row r="1378">
      <c r="A1378" t="inlineStr">
        <is>
          <t>Machinery &amp; electronics</t>
        </is>
      </c>
      <c r="B1378" t="inlineStr">
        <is>
          <t>84</t>
        </is>
      </c>
      <c r="C1378" t="inlineStr">
        <is>
          <t>84393010</t>
        </is>
      </c>
      <c r="D1378" t="inlineStr">
        <is>
          <t>PAPER LAMINATING MACHINE</t>
        </is>
      </c>
      <c r="E1378" s="3" t="n">
        <v>1.88</v>
      </c>
      <c r="F1378" s="3" t="n">
        <v>0.01</v>
      </c>
      <c r="G1378" s="3">
        <f>F1378-E1378</f>
        <v/>
      </c>
      <c r="H1378" s="4">
        <f>IF(E1378=0,"",F1378/E1378-1)</f>
        <v/>
      </c>
      <c r="I1378" t="inlineStr"/>
    </row>
    <row r="1379">
      <c r="A1379" t="inlineStr">
        <is>
          <t>Machinery &amp; electronics</t>
        </is>
      </c>
      <c r="B1379" t="inlineStr">
        <is>
          <t>84</t>
        </is>
      </c>
      <c r="C1379" t="inlineStr">
        <is>
          <t>84425090</t>
        </is>
      </c>
      <c r="D1379" t="inlineStr">
        <is>
          <t>OTHERS-OF-PRNTNG TYPE,BLOCKS,PLTS,CYLNDRS AND OTHRPRNTNG CMPNTS;BLCKS,PLTS,CYLNDR AND LTHGRPHCSTONES,PRPRD FR PRNTNG PURPOSES</t>
        </is>
      </c>
      <c r="E1379" s="3" t="n">
        <v>0.2</v>
      </c>
      <c r="F1379" s="3" t="n">
        <v>0.01</v>
      </c>
      <c r="G1379" s="3">
        <f>F1379-E1379</f>
        <v/>
      </c>
      <c r="H1379" s="4">
        <f>IF(E1379=0,"",F1379/E1379-1)</f>
        <v/>
      </c>
      <c r="I1379" t="inlineStr"/>
    </row>
    <row r="1380">
      <c r="A1380" t="inlineStr">
        <is>
          <t>Machinery &amp; electronics</t>
        </is>
      </c>
      <c r="B1380" t="inlineStr">
        <is>
          <t>84</t>
        </is>
      </c>
      <c r="C1380" t="inlineStr">
        <is>
          <t>84431500</t>
        </is>
      </c>
      <c r="D1380" t="inlineStr">
        <is>
          <t>OTR LTTRPRS PRNTNG MCHNRY EXCL FLXOGRPHC</t>
        </is>
      </c>
      <c r="E1380" s="3" t="n">
        <v>0.01</v>
      </c>
      <c r="F1380" s="3" t="n">
        <v>0.01</v>
      </c>
      <c r="G1380" s="3">
        <f>F1380-E1380</f>
        <v/>
      </c>
      <c r="H1380" s="4">
        <f>IF(E1380=0,"",F1380/E1380-1)</f>
        <v/>
      </c>
      <c r="I1380" t="inlineStr"/>
    </row>
    <row r="1381">
      <c r="A1381" t="inlineStr">
        <is>
          <t>Machinery &amp; electronics</t>
        </is>
      </c>
      <c r="B1381" t="inlineStr">
        <is>
          <t>84</t>
        </is>
      </c>
      <c r="C1381" t="inlineStr">
        <is>
          <t>84483990</t>
        </is>
      </c>
      <c r="D1381" t="inlineStr">
        <is>
          <t>0THERS</t>
        </is>
      </c>
      <c r="E1381" s="3" t="n">
        <v>0.05</v>
      </c>
      <c r="F1381" s="3" t="n">
        <v>0.01</v>
      </c>
      <c r="G1381" s="3">
        <f>F1381-E1381</f>
        <v/>
      </c>
      <c r="H1381" s="4">
        <f>IF(E1381=0,"",F1381/E1381-1)</f>
        <v/>
      </c>
      <c r="I1381" t="inlineStr"/>
    </row>
    <row r="1382">
      <c r="A1382" t="inlineStr">
        <is>
          <t>Machinery &amp; electronics</t>
        </is>
      </c>
      <c r="B1382" t="inlineStr">
        <is>
          <t>84</t>
        </is>
      </c>
      <c r="C1382" t="inlineStr">
        <is>
          <t>84485900</t>
        </is>
      </c>
      <c r="D1382" t="inlineStr">
        <is>
          <t>OTHR PRTS AND ACCSSRS OF MCHNS OF HDG 8447</t>
        </is>
      </c>
      <c r="E1382" s="3" t="n">
        <v>0</v>
      </c>
      <c r="F1382" s="3" t="n">
        <v>0.01</v>
      </c>
      <c r="G1382" s="3">
        <f>F1382-E1382</f>
        <v/>
      </c>
      <c r="H1382" s="4">
        <f>IF(E1382=0,"",F1382/E1382-1)</f>
        <v/>
      </c>
      <c r="I1382" t="inlineStr"/>
    </row>
    <row r="1383">
      <c r="A1383" t="inlineStr">
        <is>
          <t>Machinery &amp; electronics</t>
        </is>
      </c>
      <c r="B1383" t="inlineStr">
        <is>
          <t>84</t>
        </is>
      </c>
      <c r="C1383" t="inlineStr">
        <is>
          <t>84490010</t>
        </is>
      </c>
      <c r="D1383" t="inlineStr">
        <is>
          <t>MCHNRY FR MNFCTR OF FNSHNG OF FELT IN PIECE/IN SHAPES(INCL FELT HAT-MKNG MCHNS ANDHAT MKNG BLOCKS)</t>
        </is>
      </c>
      <c r="E1383" s="3" t="n">
        <v>0</v>
      </c>
      <c r="F1383" s="3" t="n">
        <v>0.01</v>
      </c>
      <c r="G1383" s="3">
        <f>F1383-E1383</f>
        <v/>
      </c>
      <c r="H1383" s="4">
        <f>IF(E1383=0,"",F1383/E1383-1)</f>
        <v/>
      </c>
      <c r="I1383" t="inlineStr"/>
    </row>
    <row r="1384">
      <c r="A1384" t="inlineStr">
        <is>
          <t>Machinery &amp; electronics</t>
        </is>
      </c>
      <c r="B1384" t="inlineStr">
        <is>
          <t>84</t>
        </is>
      </c>
      <c r="C1384" t="inlineStr">
        <is>
          <t>84509010</t>
        </is>
      </c>
      <c r="D1384" t="inlineStr">
        <is>
          <t>PRTS OF HOUSEHOLD TYPE LAUNDRY EQUIPMENTS</t>
        </is>
      </c>
      <c r="E1384" s="3" t="n">
        <v>0</v>
      </c>
      <c r="F1384" s="3" t="n">
        <v>0.01</v>
      </c>
      <c r="G1384" s="3">
        <f>F1384-E1384</f>
        <v/>
      </c>
      <c r="H1384" s="4">
        <f>IF(E1384=0,"",F1384/E1384-1)</f>
        <v/>
      </c>
      <c r="I1384" t="inlineStr"/>
    </row>
    <row r="1385">
      <c r="A1385" t="inlineStr">
        <is>
          <t>Machinery &amp; electronics</t>
        </is>
      </c>
      <c r="B1385" t="inlineStr">
        <is>
          <t>84</t>
        </is>
      </c>
      <c r="C1385" t="inlineStr">
        <is>
          <t>84591000</t>
        </is>
      </c>
      <c r="D1385" t="inlineStr">
        <is>
          <t>WAY-TYPE UNIT HEAD MACHINES</t>
        </is>
      </c>
      <c r="E1385" s="3" t="n">
        <v>0.01</v>
      </c>
      <c r="F1385" s="3" t="n">
        <v>0.01</v>
      </c>
      <c r="G1385" s="3">
        <f>F1385-E1385</f>
        <v/>
      </c>
      <c r="H1385" s="4">
        <f>IF(E1385=0,"",F1385/E1385-1)</f>
        <v/>
      </c>
      <c r="I1385" t="inlineStr"/>
    </row>
    <row r="1386">
      <c r="A1386" t="inlineStr">
        <is>
          <t>Machinery &amp; electronics</t>
        </is>
      </c>
      <c r="B1386" t="inlineStr">
        <is>
          <t>84</t>
        </is>
      </c>
      <c r="C1386" t="inlineStr">
        <is>
          <t>84592920</t>
        </is>
      </c>
      <c r="D1386" t="inlineStr">
        <is>
          <t>PILLAR OR COLUMNS,MULTI-SPINDLE</t>
        </is>
      </c>
      <c r="E1386" s="3" t="n">
        <v>0</v>
      </c>
      <c r="F1386" s="3" t="n">
        <v>0.01</v>
      </c>
      <c r="G1386" s="3">
        <f>F1386-E1386</f>
        <v/>
      </c>
      <c r="H1386" s="4">
        <f>IF(E1386=0,"",F1386/E1386-1)</f>
        <v/>
      </c>
      <c r="I1386" t="inlineStr"/>
    </row>
    <row r="1387">
      <c r="A1387" t="inlineStr">
        <is>
          <t>Machinery &amp; electronics</t>
        </is>
      </c>
      <c r="B1387" t="inlineStr">
        <is>
          <t>84</t>
        </is>
      </c>
      <c r="C1387" t="inlineStr">
        <is>
          <t>84592950</t>
        </is>
      </c>
      <c r="D1387" t="inlineStr">
        <is>
          <t>MULTI HEAD DRILLING MACHINES</t>
        </is>
      </c>
      <c r="E1387" s="3" t="n">
        <v>0</v>
      </c>
      <c r="F1387" s="3" t="n">
        <v>0.01</v>
      </c>
      <c r="G1387" s="3">
        <f>F1387-E1387</f>
        <v/>
      </c>
      <c r="H1387" s="4">
        <f>IF(E1387=0,"",F1387/E1387-1)</f>
        <v/>
      </c>
      <c r="I1387" t="inlineStr"/>
    </row>
    <row r="1388">
      <c r="A1388" t="inlineStr">
        <is>
          <t>Machinery &amp; electronics</t>
        </is>
      </c>
      <c r="B1388" t="inlineStr">
        <is>
          <t>84</t>
        </is>
      </c>
      <c r="C1388" t="inlineStr">
        <is>
          <t>84597020</t>
        </is>
      </c>
      <c r="D1388" t="inlineStr">
        <is>
          <t>TAPING MACHINES</t>
        </is>
      </c>
      <c r="E1388" s="3" t="n">
        <v>0</v>
      </c>
      <c r="F1388" s="3" t="n">
        <v>0.01</v>
      </c>
      <c r="G1388" s="3">
        <f>F1388-E1388</f>
        <v/>
      </c>
      <c r="H1388" s="4">
        <f>IF(E1388=0,"",F1388/E1388-1)</f>
        <v/>
      </c>
      <c r="I1388" t="inlineStr"/>
    </row>
    <row r="1389">
      <c r="A1389" t="inlineStr">
        <is>
          <t>Machinery &amp; electronics</t>
        </is>
      </c>
      <c r="B1389" t="inlineStr">
        <is>
          <t>84</t>
        </is>
      </c>
      <c r="C1389" t="inlineStr">
        <is>
          <t>84632000</t>
        </is>
      </c>
      <c r="D1389" t="inlineStr">
        <is>
          <t>THREAD ROLLING MACHINES</t>
        </is>
      </c>
      <c r="E1389" s="3" t="n">
        <v>0</v>
      </c>
      <c r="F1389" s="3" t="n">
        <v>0.01</v>
      </c>
      <c r="G1389" s="3">
        <f>F1389-E1389</f>
        <v/>
      </c>
      <c r="H1389" s="4">
        <f>IF(E1389=0,"",F1389/E1389-1)</f>
        <v/>
      </c>
      <c r="I1389" t="inlineStr"/>
    </row>
    <row r="1390">
      <c r="A1390" t="inlineStr">
        <is>
          <t>Machinery &amp; electronics</t>
        </is>
      </c>
      <c r="B1390" t="inlineStr">
        <is>
          <t>84</t>
        </is>
      </c>
      <c r="C1390" t="inlineStr">
        <is>
          <t>84659200</t>
        </is>
      </c>
      <c r="D1390" t="inlineStr">
        <is>
          <t>PLNG,MILLING/MLDNG MCHNS FR WRKNG WOOD ETC</t>
        </is>
      </c>
      <c r="E1390" s="3" t="n">
        <v>0</v>
      </c>
      <c r="F1390" s="3" t="n">
        <v>0.01</v>
      </c>
      <c r="G1390" s="3">
        <f>F1390-E1390</f>
        <v/>
      </c>
      <c r="H1390" s="4">
        <f>IF(E1390=0,"",F1390/E1390-1)</f>
        <v/>
      </c>
      <c r="I1390" t="inlineStr"/>
    </row>
    <row r="1391">
      <c r="A1391" t="inlineStr">
        <is>
          <t>Machinery &amp; electronics</t>
        </is>
      </c>
      <c r="B1391" t="inlineStr">
        <is>
          <t>84</t>
        </is>
      </c>
      <c r="C1391" t="inlineStr">
        <is>
          <t>84672200</t>
        </is>
      </c>
      <c r="D1391" t="inlineStr">
        <is>
          <t>SAWS WTH SELF CONTAINED ELEC. MOTOR</t>
        </is>
      </c>
      <c r="E1391" s="3" t="n">
        <v>0.03</v>
      </c>
      <c r="F1391" s="3" t="n">
        <v>0.01</v>
      </c>
      <c r="G1391" s="3">
        <f>F1391-E1391</f>
        <v/>
      </c>
      <c r="H1391" s="4">
        <f>IF(E1391=0,"",F1391/E1391-1)</f>
        <v/>
      </c>
      <c r="I1391" t="inlineStr"/>
    </row>
    <row r="1392">
      <c r="A1392" t="inlineStr">
        <is>
          <t>Machinery &amp; electronics</t>
        </is>
      </c>
      <c r="B1392" t="inlineStr">
        <is>
          <t>84</t>
        </is>
      </c>
      <c r="C1392" t="inlineStr">
        <is>
          <t>84681000</t>
        </is>
      </c>
      <c r="D1392" t="inlineStr">
        <is>
          <t>HAND-HELD BLOW LAMP</t>
        </is>
      </c>
      <c r="E1392" s="3" t="n">
        <v>0</v>
      </c>
      <c r="F1392" s="3" t="n">
        <v>0.01</v>
      </c>
      <c r="G1392" s="3">
        <f>F1392-E1392</f>
        <v/>
      </c>
      <c r="H1392" s="4">
        <f>IF(E1392=0,"",F1392/E1392-1)</f>
        <v/>
      </c>
      <c r="I1392" t="inlineStr"/>
    </row>
    <row r="1393">
      <c r="A1393" t="inlineStr">
        <is>
          <t>Machinery &amp; electronics</t>
        </is>
      </c>
      <c r="B1393" t="inlineStr">
        <is>
          <t>84</t>
        </is>
      </c>
      <c r="C1393" t="inlineStr">
        <is>
          <t>84716060</t>
        </is>
      </c>
      <c r="D1393" t="inlineStr">
        <is>
          <t>MOUSE</t>
        </is>
      </c>
      <c r="E1393" s="3" t="n">
        <v>0</v>
      </c>
      <c r="F1393" s="3" t="n">
        <v>0.01</v>
      </c>
      <c r="G1393" s="3">
        <f>F1393-E1393</f>
        <v/>
      </c>
      <c r="H1393" s="4">
        <f>IF(E1393=0,"",F1393/E1393-1)</f>
        <v/>
      </c>
      <c r="I1393" t="inlineStr"/>
    </row>
    <row r="1394">
      <c r="A1394" t="inlineStr">
        <is>
          <t>Machinery &amp; electronics</t>
        </is>
      </c>
      <c r="B1394" t="inlineStr">
        <is>
          <t>84</t>
        </is>
      </c>
      <c r="C1394" t="inlineStr">
        <is>
          <t>84716090</t>
        </is>
      </c>
      <c r="D1394" t="inlineStr">
        <is>
          <t>OTHERS-OF-INPUT/OUTPUT UNITS,WH/NOT CONTAINGSTORAGE UNITS IN THE SAME HOUSNG</t>
        </is>
      </c>
      <c r="E1394" s="3" t="n">
        <v>0</v>
      </c>
      <c r="F1394" s="3" t="n">
        <v>0.01</v>
      </c>
      <c r="G1394" s="3">
        <f>F1394-E1394</f>
        <v/>
      </c>
      <c r="H1394" s="4">
        <f>IF(E1394=0,"",F1394/E1394-1)</f>
        <v/>
      </c>
      <c r="I1394" t="inlineStr"/>
    </row>
    <row r="1395">
      <c r="A1395" t="inlineStr">
        <is>
          <t>Machinery &amp; electronics</t>
        </is>
      </c>
      <c r="B1395" t="inlineStr">
        <is>
          <t>84</t>
        </is>
      </c>
      <c r="C1395" t="inlineStr">
        <is>
          <t>84718000</t>
        </is>
      </c>
      <c r="D1395" t="inlineStr">
        <is>
          <t>ANALOGUE/HYBRID AUTOMTC DATA PRCSNG MCHNS</t>
        </is>
      </c>
      <c r="E1395" s="3" t="n">
        <v>0.01</v>
      </c>
      <c r="F1395" s="3" t="n">
        <v>0.01</v>
      </c>
      <c r="G1395" s="3">
        <f>F1395-E1395</f>
        <v/>
      </c>
      <c r="H1395" s="4">
        <f>IF(E1395=0,"",F1395/E1395-1)</f>
        <v/>
      </c>
      <c r="I1395" t="inlineStr"/>
    </row>
    <row r="1396">
      <c r="A1396" t="inlineStr">
        <is>
          <t>Machinery &amp; electronics</t>
        </is>
      </c>
      <c r="B1396" t="inlineStr">
        <is>
          <t>84</t>
        </is>
      </c>
      <c r="C1396" t="inlineStr">
        <is>
          <t>84732100</t>
        </is>
      </c>
      <c r="D1396" t="inlineStr">
        <is>
          <t>PRTS AND ACCSSRS OF ELCTRNC CALCULTNG MCHNS OF SUBHDG NO.847010,847021/847029</t>
        </is>
      </c>
      <c r="E1396" s="3" t="n">
        <v>0</v>
      </c>
      <c r="F1396" s="3" t="n">
        <v>0.01</v>
      </c>
      <c r="G1396" s="3">
        <f>F1396-E1396</f>
        <v/>
      </c>
      <c r="H1396" s="4">
        <f>IF(E1396=0,"",F1396/E1396-1)</f>
        <v/>
      </c>
      <c r="I1396" t="inlineStr"/>
    </row>
    <row r="1397">
      <c r="A1397" t="inlineStr">
        <is>
          <t>Machinery &amp; electronics</t>
        </is>
      </c>
      <c r="B1397" t="inlineStr">
        <is>
          <t>84</t>
        </is>
      </c>
      <c r="C1397" t="inlineStr">
        <is>
          <t>84821053</t>
        </is>
      </c>
      <c r="D1397" t="inlineStr">
        <is>
          <t>BALL BEARINGS(THRUST TYPE)&gt;100 MM OR 4 INCHES BORE DIAMETER</t>
        </is>
      </c>
      <c r="E1397" s="3" t="n">
        <v>0</v>
      </c>
      <c r="F1397" s="3" t="n">
        <v>0.01</v>
      </c>
      <c r="G1397" s="3">
        <f>F1397-E1397</f>
        <v/>
      </c>
      <c r="H1397" s="4">
        <f>IF(E1397=0,"",F1397/E1397-1)</f>
        <v/>
      </c>
      <c r="I1397" t="inlineStr"/>
    </row>
    <row r="1398">
      <c r="A1398" t="inlineStr">
        <is>
          <t>Machinery &amp; electronics</t>
        </is>
      </c>
      <c r="B1398" t="inlineStr">
        <is>
          <t>84</t>
        </is>
      </c>
      <c r="C1398" t="inlineStr">
        <is>
          <t>84831091</t>
        </is>
      </c>
      <c r="D1398" t="inlineStr">
        <is>
          <t>CRANK SHAFT FOR ENGINES OF HEADING 8407</t>
        </is>
      </c>
      <c r="E1398" s="3" t="n">
        <v>0</v>
      </c>
      <c r="F1398" s="3" t="n">
        <v>0.01</v>
      </c>
      <c r="G1398" s="3">
        <f>F1398-E1398</f>
        <v/>
      </c>
      <c r="H1398" s="4">
        <f>IF(E1398=0,"",F1398/E1398-1)</f>
        <v/>
      </c>
      <c r="I1398" t="inlineStr"/>
    </row>
    <row r="1399">
      <c r="A1399" t="inlineStr">
        <is>
          <t>Machinery &amp; electronics</t>
        </is>
      </c>
      <c r="B1399" t="inlineStr">
        <is>
          <t>84</t>
        </is>
      </c>
      <c r="C1399" t="inlineStr">
        <is>
          <t>84851000</t>
        </is>
      </c>
      <c r="D1399" t="inlineStr">
        <is>
          <t>MACHINES FOR ADDITIVE MANUFACTURING: By metal deposit</t>
        </is>
      </c>
      <c r="E1399" s="3" t="n">
        <v>0.01</v>
      </c>
      <c r="F1399" s="3" t="n">
        <v>0.01</v>
      </c>
      <c r="G1399" s="3">
        <f>F1399-E1399</f>
        <v/>
      </c>
      <c r="H1399" s="4">
        <f>IF(E1399=0,"",F1399/E1399-1)</f>
        <v/>
      </c>
      <c r="I1399" t="inlineStr"/>
    </row>
    <row r="1400">
      <c r="A1400" t="inlineStr">
        <is>
          <t>Machinery &amp; electronics</t>
        </is>
      </c>
      <c r="B1400" t="inlineStr">
        <is>
          <t>85</t>
        </is>
      </c>
      <c r="C1400" t="inlineStr">
        <is>
          <t>85011011</t>
        </is>
      </c>
      <c r="D1400" t="inlineStr">
        <is>
          <t>MICRO MOTOR WTH OUTPUT &lt;=37.5 W</t>
        </is>
      </c>
      <c r="E1400" s="3" t="n">
        <v>0.04</v>
      </c>
      <c r="F1400" s="3" t="n">
        <v>0.01</v>
      </c>
      <c r="G1400" s="3">
        <f>F1400-E1400</f>
        <v/>
      </c>
      <c r="H1400" s="4">
        <f>IF(E1400=0,"",F1400/E1400-1)</f>
        <v/>
      </c>
      <c r="I1400" t="inlineStr"/>
    </row>
    <row r="1401">
      <c r="A1401" t="inlineStr">
        <is>
          <t>Machinery &amp; electronics</t>
        </is>
      </c>
      <c r="B1401" t="inlineStr">
        <is>
          <t>85</t>
        </is>
      </c>
      <c r="C1401" t="inlineStr">
        <is>
          <t>85043200</t>
        </is>
      </c>
      <c r="D1401" t="inlineStr">
        <is>
          <t>OTHR TRNSFRMRS HVNG A PWR HNDLNG CAPACITY EXCDNG 1 KVA BUT NT EXCDNG 16KVA</t>
        </is>
      </c>
      <c r="E1401" s="3" t="n">
        <v>0.1</v>
      </c>
      <c r="F1401" s="3" t="n">
        <v>0.01</v>
      </c>
      <c r="G1401" s="3">
        <f>F1401-E1401</f>
        <v/>
      </c>
      <c r="H1401" s="4">
        <f>IF(E1401=0,"",F1401/E1401-1)</f>
        <v/>
      </c>
      <c r="I1401" t="inlineStr"/>
    </row>
    <row r="1402">
      <c r="A1402" t="inlineStr">
        <is>
          <t>Machinery &amp; electronics</t>
        </is>
      </c>
      <c r="B1402" t="inlineStr">
        <is>
          <t>85</t>
        </is>
      </c>
      <c r="C1402" t="inlineStr">
        <is>
          <t>85051110</t>
        </is>
      </c>
      <c r="D1402" t="inlineStr">
        <is>
          <t>FERRITE CORES</t>
        </is>
      </c>
      <c r="E1402" s="3" t="n">
        <v>0.32</v>
      </c>
      <c r="F1402" s="3" t="n">
        <v>0.01</v>
      </c>
      <c r="G1402" s="3">
        <f>F1402-E1402</f>
        <v/>
      </c>
      <c r="H1402" s="4">
        <f>IF(E1402=0,"",F1402/E1402-1)</f>
        <v/>
      </c>
      <c r="I1402" t="inlineStr"/>
    </row>
    <row r="1403">
      <c r="A1403" t="inlineStr">
        <is>
          <t>Machinery &amp; electronics</t>
        </is>
      </c>
      <c r="B1403" t="inlineStr">
        <is>
          <t>85</t>
        </is>
      </c>
      <c r="C1403" t="inlineStr">
        <is>
          <t>85098000</t>
        </is>
      </c>
      <c r="D1403" t="inlineStr">
        <is>
          <t>OTHER ELECTRO-MECHANICAL DOMESTIC APPLANCS</t>
        </is>
      </c>
      <c r="E1403" s="3" t="n">
        <v>0.02</v>
      </c>
      <c r="F1403" s="3" t="n">
        <v>0.01</v>
      </c>
      <c r="G1403" s="3">
        <f>F1403-E1403</f>
        <v/>
      </c>
      <c r="H1403" s="4">
        <f>IF(E1403=0,"",F1403/E1403-1)</f>
        <v/>
      </c>
      <c r="I1403" t="inlineStr"/>
    </row>
    <row r="1404">
      <c r="A1404" t="inlineStr">
        <is>
          <t>Machinery &amp; electronics</t>
        </is>
      </c>
      <c r="B1404" t="inlineStr">
        <is>
          <t>85</t>
        </is>
      </c>
      <c r="C1404" t="inlineStr">
        <is>
          <t>85113020</t>
        </is>
      </c>
      <c r="D1404" t="inlineStr">
        <is>
          <t>IGNITION COILS</t>
        </is>
      </c>
      <c r="E1404" s="3" t="n">
        <v>0</v>
      </c>
      <c r="F1404" s="3" t="n">
        <v>0.01</v>
      </c>
      <c r="G1404" s="3">
        <f>F1404-E1404</f>
        <v/>
      </c>
      <c r="H1404" s="4">
        <f>IF(E1404=0,"",F1404/E1404-1)</f>
        <v/>
      </c>
      <c r="I1404" t="inlineStr"/>
    </row>
    <row r="1405">
      <c r="A1405" t="inlineStr">
        <is>
          <t>Machinery &amp; electronics</t>
        </is>
      </c>
      <c r="B1405" t="inlineStr">
        <is>
          <t>85</t>
        </is>
      </c>
      <c r="C1405" t="inlineStr">
        <is>
          <t>85122020</t>
        </is>
      </c>
      <c r="D1405" t="inlineStr">
        <is>
          <t>AUTOMOBILE LIGHTING EQPMNT</t>
        </is>
      </c>
      <c r="E1405" s="3" t="n">
        <v>0.02</v>
      </c>
      <c r="F1405" s="3" t="n">
        <v>0.01</v>
      </c>
      <c r="G1405" s="3">
        <f>F1405-E1405</f>
        <v/>
      </c>
      <c r="H1405" s="4">
        <f>IF(E1405=0,"",F1405/E1405-1)</f>
        <v/>
      </c>
      <c r="I1405" t="inlineStr"/>
    </row>
    <row r="1406">
      <c r="A1406" t="inlineStr">
        <is>
          <t>Machinery &amp; electronics</t>
        </is>
      </c>
      <c r="B1406" t="inlineStr">
        <is>
          <t>85</t>
        </is>
      </c>
      <c r="C1406" t="inlineStr">
        <is>
          <t>85131090</t>
        </is>
      </c>
      <c r="D1406" t="inlineStr">
        <is>
          <t>OTHER LAMPS</t>
        </is>
      </c>
      <c r="E1406" s="3" t="n">
        <v>0</v>
      </c>
      <c r="F1406" s="3" t="n">
        <v>0.01</v>
      </c>
      <c r="G1406" s="3">
        <f>F1406-E1406</f>
        <v/>
      </c>
      <c r="H1406" s="4">
        <f>IF(E1406=0,"",F1406/E1406-1)</f>
        <v/>
      </c>
      <c r="I1406" t="inlineStr"/>
    </row>
    <row r="1407">
      <c r="A1407" t="inlineStr">
        <is>
          <t>Machinery &amp; electronics</t>
        </is>
      </c>
      <c r="B1407" t="inlineStr">
        <is>
          <t>85</t>
        </is>
      </c>
      <c r="C1407" t="inlineStr">
        <is>
          <t>85152110</t>
        </is>
      </c>
      <c r="D1407" t="inlineStr">
        <is>
          <t>AUTOMATIC SPOT WELDING MACHINERY</t>
        </is>
      </c>
      <c r="E1407" s="3" t="n">
        <v>0.15</v>
      </c>
      <c r="F1407" s="3" t="n">
        <v>0.01</v>
      </c>
      <c r="G1407" s="3">
        <f>F1407-E1407</f>
        <v/>
      </c>
      <c r="H1407" s="4">
        <f>IF(E1407=0,"",F1407/E1407-1)</f>
        <v/>
      </c>
      <c r="I1407" t="inlineStr"/>
    </row>
    <row r="1408">
      <c r="A1408" t="inlineStr">
        <is>
          <t>Machinery &amp; electronics</t>
        </is>
      </c>
      <c r="B1408" t="inlineStr">
        <is>
          <t>85</t>
        </is>
      </c>
      <c r="C1408" t="inlineStr">
        <is>
          <t>85153920</t>
        </is>
      </c>
      <c r="D1408" t="inlineStr">
        <is>
          <t>ARGON ARC WLDNG MACHNRY,MANUAL</t>
        </is>
      </c>
      <c r="E1408" s="3" t="n">
        <v>0</v>
      </c>
      <c r="F1408" s="3" t="n">
        <v>0.01</v>
      </c>
      <c r="G1408" s="3">
        <f>F1408-E1408</f>
        <v/>
      </c>
      <c r="H1408" s="4">
        <f>IF(E1408=0,"",F1408/E1408-1)</f>
        <v/>
      </c>
      <c r="I1408" t="inlineStr"/>
    </row>
    <row r="1409">
      <c r="A1409" t="inlineStr">
        <is>
          <t>Machinery &amp; electronics</t>
        </is>
      </c>
      <c r="B1409" t="inlineStr">
        <is>
          <t>85</t>
        </is>
      </c>
      <c r="C1409" t="inlineStr">
        <is>
          <t>85164000</t>
        </is>
      </c>
      <c r="D1409" t="inlineStr">
        <is>
          <t>ELECTRIC SMOOTHING IRONS</t>
        </is>
      </c>
      <c r="E1409" s="3" t="n">
        <v>0.03</v>
      </c>
      <c r="F1409" s="3" t="n">
        <v>0.01</v>
      </c>
      <c r="G1409" s="3">
        <f>F1409-E1409</f>
        <v/>
      </c>
      <c r="H1409" s="4">
        <f>IF(E1409=0,"",F1409/E1409-1)</f>
        <v/>
      </c>
      <c r="I1409" t="inlineStr"/>
    </row>
    <row r="1410">
      <c r="A1410" t="inlineStr">
        <is>
          <t>Machinery &amp; electronics</t>
        </is>
      </c>
      <c r="B1410" t="inlineStr">
        <is>
          <t>85</t>
        </is>
      </c>
      <c r="C1410" t="inlineStr">
        <is>
          <t>85171810</t>
        </is>
      </c>
      <c r="D1410" t="inlineStr">
        <is>
          <t>PUSH BUTTON TYPE</t>
        </is>
      </c>
      <c r="E1410" s="3" t="n">
        <v>0</v>
      </c>
      <c r="F1410" s="3" t="n">
        <v>0.01</v>
      </c>
      <c r="G1410" s="3">
        <f>F1410-E1410</f>
        <v/>
      </c>
      <c r="H1410" s="4">
        <f>IF(E1410=0,"",F1410/E1410-1)</f>
        <v/>
      </c>
      <c r="I1410" t="inlineStr"/>
    </row>
    <row r="1411">
      <c r="A1411" t="inlineStr">
        <is>
          <t>Machinery &amp; electronics</t>
        </is>
      </c>
      <c r="B1411" t="inlineStr">
        <is>
          <t>85</t>
        </is>
      </c>
      <c r="C1411" t="inlineStr">
        <is>
          <t>85177910</t>
        </is>
      </c>
      <c r="D1411" t="inlineStr">
        <is>
          <t>Populated, loaded or stuffed printed circuit boards</t>
        </is>
      </c>
      <c r="E1411" s="3" t="n">
        <v>0.05</v>
      </c>
      <c r="F1411" s="3" t="n">
        <v>0.01</v>
      </c>
      <c r="G1411" s="3">
        <f>F1411-E1411</f>
        <v/>
      </c>
      <c r="H1411" s="4">
        <f>IF(E1411=0,"",F1411/E1411-1)</f>
        <v/>
      </c>
      <c r="I1411" t="inlineStr"/>
    </row>
    <row r="1412">
      <c r="A1412" t="inlineStr">
        <is>
          <t>Machinery &amp; electronics</t>
        </is>
      </c>
      <c r="B1412" t="inlineStr">
        <is>
          <t>85</t>
        </is>
      </c>
      <c r="C1412" t="inlineStr">
        <is>
          <t>85177990</t>
        </is>
      </c>
      <c r="D1412" t="inlineStr">
        <is>
          <t>OTHERS-OF-OTHERS-OF-ELCTRCL APARTS FR LINE TELEPHNY/TELGRPHY, INCL TELPHON SETS WTH CORDLS HANDSETCARIER-CURENT LINE SYSTM; VI</t>
        </is>
      </c>
      <c r="E1412" s="3" t="n">
        <v>0.01</v>
      </c>
      <c r="F1412" s="3" t="n">
        <v>0.01</v>
      </c>
      <c r="G1412" s="3">
        <f>F1412-E1412</f>
        <v/>
      </c>
      <c r="H1412" s="4">
        <f>IF(E1412=0,"",F1412/E1412-1)</f>
        <v/>
      </c>
      <c r="I1412" t="inlineStr"/>
    </row>
    <row r="1413">
      <c r="A1413" t="inlineStr">
        <is>
          <t>Machinery &amp; electronics</t>
        </is>
      </c>
      <c r="B1413" t="inlineStr">
        <is>
          <t>85</t>
        </is>
      </c>
      <c r="C1413" t="inlineStr">
        <is>
          <t>85238090</t>
        </is>
      </c>
      <c r="D1413" t="inlineStr">
        <is>
          <t>OTHERS-OF-OTHERS-OF-PREPRD UNRECORDED MEDIA FOR SOUND RECRDNG/SMLR RECRDNG OF OTHRPHENOMENA,OTHR THN PRDCTS OF CH.37</t>
        </is>
      </c>
      <c r="E1413" s="3" t="n">
        <v>0</v>
      </c>
      <c r="F1413" s="3" t="n">
        <v>0.01</v>
      </c>
      <c r="G1413" s="3">
        <f>F1413-E1413</f>
        <v/>
      </c>
      <c r="H1413" s="4">
        <f>IF(E1413=0,"",F1413/E1413-1)</f>
        <v/>
      </c>
      <c r="I1413" t="inlineStr"/>
    </row>
    <row r="1414">
      <c r="A1414" t="inlineStr">
        <is>
          <t>Machinery &amp; electronics</t>
        </is>
      </c>
      <c r="B1414" t="inlineStr">
        <is>
          <t>85</t>
        </is>
      </c>
      <c r="C1414" t="inlineStr">
        <is>
          <t>85269190</t>
        </is>
      </c>
      <c r="D1414" t="inlineStr">
        <is>
          <t>OTHERS-OF-OTHR RADIO NAVIGATIONAL AID APPARATUS</t>
        </is>
      </c>
      <c r="E1414" s="3" t="n">
        <v>0.22</v>
      </c>
      <c r="F1414" s="3" t="n">
        <v>0.01</v>
      </c>
      <c r="G1414" s="3">
        <f>F1414-E1414</f>
        <v/>
      </c>
      <c r="H1414" s="4">
        <f>IF(E1414=0,"",F1414/E1414-1)</f>
        <v/>
      </c>
      <c r="I1414" t="inlineStr"/>
    </row>
    <row r="1415">
      <c r="A1415" t="inlineStr">
        <is>
          <t>Machinery &amp; electronics</t>
        </is>
      </c>
      <c r="B1415" t="inlineStr">
        <is>
          <t>85</t>
        </is>
      </c>
      <c r="C1415" t="inlineStr">
        <is>
          <t>85291029</t>
        </is>
      </c>
      <c r="D1415" t="inlineStr">
        <is>
          <t>OTHR ANTENNA FR OTHR USE</t>
        </is>
      </c>
      <c r="E1415" s="3" t="n">
        <v>0.09</v>
      </c>
      <c r="F1415" s="3" t="n">
        <v>0.01</v>
      </c>
      <c r="G1415" s="3">
        <f>F1415-E1415</f>
        <v/>
      </c>
      <c r="H1415" s="4">
        <f>IF(E1415=0,"",F1415/E1415-1)</f>
        <v/>
      </c>
      <c r="I1415" t="inlineStr"/>
    </row>
    <row r="1416">
      <c r="A1416" t="inlineStr">
        <is>
          <t>Machinery &amp; electronics</t>
        </is>
      </c>
      <c r="B1416" t="inlineStr">
        <is>
          <t>85</t>
        </is>
      </c>
      <c r="C1416" t="inlineStr">
        <is>
          <t>85334010</t>
        </is>
      </c>
      <c r="D1416" t="inlineStr">
        <is>
          <t>POTENTIOMETERS</t>
        </is>
      </c>
      <c r="E1416" s="3" t="n">
        <v>0</v>
      </c>
      <c r="F1416" s="3" t="n">
        <v>0.01</v>
      </c>
      <c r="G1416" s="3">
        <f>F1416-E1416</f>
        <v/>
      </c>
      <c r="H1416" s="4">
        <f>IF(E1416=0,"",F1416/E1416-1)</f>
        <v/>
      </c>
      <c r="I1416" t="inlineStr"/>
    </row>
    <row r="1417">
      <c r="A1417" t="inlineStr">
        <is>
          <t>Machinery &amp; electronics</t>
        </is>
      </c>
      <c r="B1417" t="inlineStr">
        <is>
          <t>85</t>
        </is>
      </c>
      <c r="C1417" t="inlineStr">
        <is>
          <t>85361030</t>
        </is>
      </c>
      <c r="D1417" t="inlineStr">
        <is>
          <t>REWIREABLE FUSES</t>
        </is>
      </c>
      <c r="E1417" s="3" t="n">
        <v>0.07000000000000001</v>
      </c>
      <c r="F1417" s="3" t="n">
        <v>0.01</v>
      </c>
      <c r="G1417" s="3">
        <f>F1417-E1417</f>
        <v/>
      </c>
      <c r="H1417" s="4">
        <f>IF(E1417=0,"",F1417/E1417-1)</f>
        <v/>
      </c>
      <c r="I1417" t="inlineStr"/>
    </row>
    <row r="1418">
      <c r="A1418" t="inlineStr">
        <is>
          <t>Machinery &amp; electronics</t>
        </is>
      </c>
      <c r="B1418" t="inlineStr">
        <is>
          <t>85</t>
        </is>
      </c>
      <c r="C1418" t="inlineStr">
        <is>
          <t>85392910</t>
        </is>
      </c>
      <c r="D1418" t="inlineStr">
        <is>
          <t>BULBS WTH RETAIL SALE PRICE RS.20/BULB</t>
        </is>
      </c>
      <c r="E1418" s="3" t="n">
        <v>0</v>
      </c>
      <c r="F1418" s="3" t="n">
        <v>0.01</v>
      </c>
      <c r="G1418" s="3">
        <f>F1418-E1418</f>
        <v/>
      </c>
      <c r="H1418" s="4">
        <f>IF(E1418=0,"",F1418/E1418-1)</f>
        <v/>
      </c>
      <c r="I1418" t="inlineStr"/>
    </row>
    <row r="1419">
      <c r="A1419" t="inlineStr">
        <is>
          <t>Machinery &amp; electronics</t>
        </is>
      </c>
      <c r="B1419" t="inlineStr">
        <is>
          <t>85</t>
        </is>
      </c>
      <c r="C1419" t="inlineStr">
        <is>
          <t>85395100</t>
        </is>
      </c>
      <c r="D1419" t="inlineStr">
        <is>
          <t>Light-emitting diode(LED) modules</t>
        </is>
      </c>
      <c r="E1419" s="3" t="n">
        <v>0.01</v>
      </c>
      <c r="F1419" s="3" t="n">
        <v>0.01</v>
      </c>
      <c r="G1419" s="3">
        <f>F1419-E1419</f>
        <v/>
      </c>
      <c r="H1419" s="4">
        <f>IF(E1419=0,"",F1419/E1419-1)</f>
        <v/>
      </c>
      <c r="I1419" t="inlineStr"/>
    </row>
    <row r="1420">
      <c r="A1420" t="inlineStr">
        <is>
          <t>Machinery &amp; electronics</t>
        </is>
      </c>
      <c r="B1420" t="inlineStr">
        <is>
          <t>85</t>
        </is>
      </c>
      <c r="C1420" t="inlineStr">
        <is>
          <t>85399090</t>
        </is>
      </c>
      <c r="D1420" t="inlineStr">
        <is>
          <t>OTHERS-OF-PARTS OF ARTICLES OF HEADING 8539</t>
        </is>
      </c>
      <c r="E1420" s="3" t="n">
        <v>0.55</v>
      </c>
      <c r="F1420" s="3" t="n">
        <v>0.01</v>
      </c>
      <c r="G1420" s="3">
        <f>F1420-E1420</f>
        <v/>
      </c>
      <c r="H1420" s="4">
        <f>IF(E1420=0,"",F1420/E1420-1)</f>
        <v/>
      </c>
      <c r="I1420" t="inlineStr"/>
    </row>
    <row r="1421">
      <c r="A1421" t="inlineStr">
        <is>
          <t>Machinery &amp; electronics</t>
        </is>
      </c>
      <c r="B1421" t="inlineStr">
        <is>
          <t>85</t>
        </is>
      </c>
      <c r="C1421" t="inlineStr">
        <is>
          <t>85419000</t>
        </is>
      </c>
      <c r="D1421" t="inlineStr">
        <is>
          <t>PARTS OF ITEMS OF HDNG 8541</t>
        </is>
      </c>
      <c r="E1421" s="3" t="n">
        <v>0.12</v>
      </c>
      <c r="F1421" s="3" t="n">
        <v>0.01</v>
      </c>
      <c r="G1421" s="3">
        <f>F1421-E1421</f>
        <v/>
      </c>
      <c r="H1421" s="4">
        <f>IF(E1421=0,"",F1421/E1421-1)</f>
        <v/>
      </c>
      <c r="I1421" t="inlineStr"/>
    </row>
    <row r="1422">
      <c r="A1422" t="inlineStr">
        <is>
          <t>Machinery &amp; electronics</t>
        </is>
      </c>
      <c r="B1422" t="inlineStr">
        <is>
          <t>85</t>
        </is>
      </c>
      <c r="C1422" t="inlineStr">
        <is>
          <t>85423900</t>
        </is>
      </c>
      <c r="D1422" t="inlineStr">
        <is>
          <t>OTHERS-OF-OTHERS-OF-ELCTRNC INTEGRTD CIRCUITS AND MICRO-ASSMBLS</t>
        </is>
      </c>
      <c r="E1422" s="3" t="n">
        <v>0.02</v>
      </c>
      <c r="F1422" s="3" t="n">
        <v>0.01</v>
      </c>
      <c r="G1422" s="3">
        <f>F1422-E1422</f>
        <v/>
      </c>
      <c r="H1422" s="4">
        <f>IF(E1422=0,"",F1422/E1422-1)</f>
        <v/>
      </c>
      <c r="I1422" t="inlineStr"/>
    </row>
    <row r="1423">
      <c r="A1423" t="inlineStr">
        <is>
          <t>Machinery &amp; electronics</t>
        </is>
      </c>
      <c r="B1423" t="inlineStr">
        <is>
          <t>85</t>
        </is>
      </c>
      <c r="C1423" t="inlineStr">
        <is>
          <t>85444293</t>
        </is>
      </c>
      <c r="D1423" t="inlineStr">
        <is>
          <t>RUBBER INSULATED CONDUCTORS USED IN TELECOM FOR VOLTAGE &lt;=1000V FITTED WITH CONNECTORS</t>
        </is>
      </c>
      <c r="E1423" s="3" t="n">
        <v>0</v>
      </c>
      <c r="F1423" s="3" t="n">
        <v>0.01</v>
      </c>
      <c r="G1423" s="3">
        <f>F1423-E1423</f>
        <v/>
      </c>
      <c r="H1423" s="4">
        <f>IF(E1423=0,"",F1423/E1423-1)</f>
        <v/>
      </c>
      <c r="I1423" t="inlineStr"/>
    </row>
    <row r="1424">
      <c r="A1424" t="inlineStr">
        <is>
          <t>Machinery &amp; electronics</t>
        </is>
      </c>
      <c r="B1424" t="inlineStr">
        <is>
          <t>85</t>
        </is>
      </c>
      <c r="C1424" t="inlineStr">
        <is>
          <t>85444991</t>
        </is>
      </c>
      <c r="D1424" t="inlineStr">
        <is>
          <t>PAPER INSULATED CONDUCTORS USED IN TELECOM FOR VOLTAGE &lt;=1000V NOT FITTED WITH CONNECTORS</t>
        </is>
      </c>
      <c r="E1424" s="3" t="n">
        <v>0</v>
      </c>
      <c r="F1424" s="3" t="n">
        <v>0.01</v>
      </c>
      <c r="G1424" s="3">
        <f>F1424-E1424</f>
        <v/>
      </c>
      <c r="H1424" s="4">
        <f>IF(E1424=0,"",F1424/E1424-1)</f>
        <v/>
      </c>
      <c r="I1424" t="inlineStr"/>
    </row>
    <row r="1425">
      <c r="A1425" t="inlineStr">
        <is>
          <t>Machinery &amp; electronics</t>
        </is>
      </c>
      <c r="B1425" t="inlineStr">
        <is>
          <t>85</t>
        </is>
      </c>
      <c r="C1425" t="inlineStr">
        <is>
          <t>85459090</t>
        </is>
      </c>
      <c r="D1425" t="inlineStr">
        <is>
          <t>OTHERS-OF-OTHR ARTCLS USED FOR ELECTRICAL PURPOSES</t>
        </is>
      </c>
      <c r="E1425" s="3" t="n">
        <v>0</v>
      </c>
      <c r="F1425" s="3" t="n">
        <v>0.01</v>
      </c>
      <c r="G1425" s="3">
        <f>F1425-E1425</f>
        <v/>
      </c>
      <c r="H1425" s="4">
        <f>IF(E1425=0,"",F1425/E1425-1)</f>
        <v/>
      </c>
      <c r="I1425" t="inlineStr"/>
    </row>
    <row r="1426">
      <c r="A1426" t="inlineStr">
        <is>
          <t>Machinery &amp; electronics</t>
        </is>
      </c>
      <c r="B1426" t="inlineStr">
        <is>
          <t>85</t>
        </is>
      </c>
      <c r="C1426" t="inlineStr">
        <is>
          <t>85462040</t>
        </is>
      </c>
      <c r="D1426" t="inlineStr">
        <is>
          <t>OTHR HIGH TENSN PORCELN SLD CORE INSLTRS</t>
        </is>
      </c>
      <c r="E1426" s="3" t="n">
        <v>0</v>
      </c>
      <c r="F1426" s="3" t="n">
        <v>0.01</v>
      </c>
      <c r="G1426" s="3">
        <f>F1426-E1426</f>
        <v/>
      </c>
      <c r="H1426" s="4">
        <f>IF(E1426=0,"",F1426/E1426-1)</f>
        <v/>
      </c>
      <c r="I1426" t="inlineStr"/>
    </row>
    <row r="1427">
      <c r="A1427" t="inlineStr">
        <is>
          <t>Machinery &amp; electronics</t>
        </is>
      </c>
      <c r="B1427" t="inlineStr">
        <is>
          <t>85</t>
        </is>
      </c>
      <c r="C1427" t="inlineStr">
        <is>
          <t>85480000</t>
        </is>
      </c>
      <c r="D1427" t="inlineStr">
        <is>
          <t>electrical parts of machinery or apparatus, not specified or included elsewhere in this chapter</t>
        </is>
      </c>
      <c r="E1427" s="3" t="n">
        <v>0</v>
      </c>
      <c r="F1427" s="3" t="n">
        <v>0.01</v>
      </c>
      <c r="G1427" s="3">
        <f>F1427-E1427</f>
        <v/>
      </c>
      <c r="H1427" s="4">
        <f>IF(E1427=0,"",F1427/E1427-1)</f>
        <v/>
      </c>
      <c r="I1427" t="inlineStr"/>
    </row>
    <row r="1428">
      <c r="A1428" t="inlineStr">
        <is>
          <t>Machinery &amp; electronics</t>
        </is>
      </c>
      <c r="B1428" t="inlineStr">
        <is>
          <t>85</t>
        </is>
      </c>
      <c r="C1428" t="inlineStr">
        <is>
          <t>85493900</t>
        </is>
      </c>
      <c r="D1428" t="inlineStr">
        <is>
          <t>OTHERS-OF-OTHERS-OF-ELCTRICAL AND ELECTRONIC WASTE AND SCRAP</t>
        </is>
      </c>
      <c r="E1428" s="3" t="n">
        <v>0</v>
      </c>
      <c r="F1428" s="3" t="n">
        <v>0.01</v>
      </c>
      <c r="G1428" s="3">
        <f>F1428-E1428</f>
        <v/>
      </c>
      <c r="H1428" s="4">
        <f>IF(E1428=0,"",F1428/E1428-1)</f>
        <v/>
      </c>
      <c r="I1428" t="inlineStr"/>
    </row>
    <row r="1429">
      <c r="A1429" t="inlineStr">
        <is>
          <t>Machinery &amp; electronics</t>
        </is>
      </c>
      <c r="B1429" t="inlineStr">
        <is>
          <t>84</t>
        </is>
      </c>
      <c r="C1429" t="inlineStr">
        <is>
          <t>84011000</t>
        </is>
      </c>
      <c r="D1429" t="inlineStr">
        <is>
          <t>NUCLEAR REACTORS</t>
        </is>
      </c>
      <c r="E1429" s="3" t="n">
        <v>0.03</v>
      </c>
      <c r="F1429" s="3" t="n">
        <v>0</v>
      </c>
      <c r="G1429" s="3">
        <f>F1429-E1429</f>
        <v/>
      </c>
      <c r="H1429" s="4">
        <f>IF(E1429=0,"",F1429/E1429-1)</f>
        <v/>
      </c>
      <c r="I1429" t="inlineStr"/>
    </row>
    <row r="1430">
      <c r="A1430" t="inlineStr">
        <is>
          <t>Machinery &amp; electronics</t>
        </is>
      </c>
      <c r="B1430" t="inlineStr">
        <is>
          <t>84</t>
        </is>
      </c>
      <c r="C1430" t="inlineStr">
        <is>
          <t>84021920</t>
        </is>
      </c>
      <c r="D1430" t="inlineStr">
        <is>
          <t>FIRETBE BOILERS,VERTICAL</t>
        </is>
      </c>
      <c r="E1430" s="3" t="n">
        <v>0</v>
      </c>
      <c r="F1430" s="3" t="n">
        <v>0</v>
      </c>
      <c r="G1430" s="3">
        <f>F1430-E1430</f>
        <v/>
      </c>
      <c r="H1430" s="4">
        <f>IF(E1430=0,"",F1430/E1430-1)</f>
        <v/>
      </c>
      <c r="I1430" t="inlineStr"/>
    </row>
    <row r="1431">
      <c r="A1431" t="inlineStr">
        <is>
          <t>Machinery &amp; electronics</t>
        </is>
      </c>
      <c r="B1431" t="inlineStr">
        <is>
          <t>84</t>
        </is>
      </c>
      <c r="C1431" t="inlineStr">
        <is>
          <t>84082010</t>
        </is>
      </c>
      <c r="D1431" t="inlineStr">
        <is>
          <t>ENGNS OF CYLNDR CPCTY&gt;50 CC BUT &lt;=250 CC</t>
        </is>
      </c>
      <c r="E1431" s="3" t="n">
        <v>0</v>
      </c>
      <c r="F1431" s="3" t="n">
        <v>0</v>
      </c>
      <c r="G1431" s="3">
        <f>F1431-E1431</f>
        <v/>
      </c>
      <c r="H1431" s="4">
        <f>IF(E1431=0,"",F1431/E1431-1)</f>
        <v/>
      </c>
      <c r="I1431" t="inlineStr"/>
    </row>
    <row r="1432">
      <c r="A1432" t="inlineStr">
        <is>
          <t>Machinery &amp; electronics</t>
        </is>
      </c>
      <c r="B1432" t="inlineStr">
        <is>
          <t>84</t>
        </is>
      </c>
      <c r="C1432" t="inlineStr">
        <is>
          <t>84099113</t>
        </is>
      </c>
      <c r="D1432" t="inlineStr">
        <is>
          <t>PISTON RINGS</t>
        </is>
      </c>
      <c r="E1432" s="3" t="n">
        <v>0.01</v>
      </c>
      <c r="F1432" s="3" t="n">
        <v>0</v>
      </c>
      <c r="G1432" s="3">
        <f>F1432-E1432</f>
        <v/>
      </c>
      <c r="H1432" s="4">
        <f>IF(E1432=0,"",F1432/E1432-1)</f>
        <v/>
      </c>
      <c r="I1432" t="inlineStr"/>
    </row>
    <row r="1433">
      <c r="A1433" t="inlineStr">
        <is>
          <t>Machinery &amp; electronics</t>
        </is>
      </c>
      <c r="B1433" t="inlineStr">
        <is>
          <t>84</t>
        </is>
      </c>
      <c r="C1433" t="inlineStr">
        <is>
          <t>84099192</t>
        </is>
      </c>
      <c r="D1433" t="inlineStr">
        <is>
          <t>PRTS OF PETROL ENGINES EXCL FR MOTOR VHCLS</t>
        </is>
      </c>
      <c r="E1433" s="3" t="n">
        <v>0</v>
      </c>
      <c r="F1433" s="3" t="n">
        <v>0</v>
      </c>
      <c r="G1433" s="3">
        <f>F1433-E1433</f>
        <v/>
      </c>
      <c r="H1433" s="4">
        <f>IF(E1433=0,"",F1433/E1433-1)</f>
        <v/>
      </c>
      <c r="I1433" t="inlineStr"/>
    </row>
    <row r="1434">
      <c r="A1434" t="inlineStr">
        <is>
          <t>Machinery &amp; electronics</t>
        </is>
      </c>
      <c r="B1434" t="inlineStr">
        <is>
          <t>84</t>
        </is>
      </c>
      <c r="C1434" t="inlineStr">
        <is>
          <t>84122910</t>
        </is>
      </c>
      <c r="D1434" t="inlineStr">
        <is>
          <t>HYDROJET (HYDRAULIC JET ENGINES</t>
        </is>
      </c>
      <c r="E1434" s="3" t="n">
        <v>0.02</v>
      </c>
      <c r="F1434" s="3" t="n">
        <v>0</v>
      </c>
      <c r="G1434" s="3">
        <f>F1434-E1434</f>
        <v/>
      </c>
      <c r="H1434" s="4">
        <f>IF(E1434=0,"",F1434/E1434-1)</f>
        <v/>
      </c>
      <c r="I1434" t="inlineStr"/>
    </row>
    <row r="1435">
      <c r="A1435" t="inlineStr">
        <is>
          <t>Machinery &amp; electronics</t>
        </is>
      </c>
      <c r="B1435" t="inlineStr">
        <is>
          <t>84</t>
        </is>
      </c>
      <c r="C1435" t="inlineStr">
        <is>
          <t>84138110</t>
        </is>
      </c>
      <c r="D1435" t="inlineStr">
        <is>
          <t>GAS PUMPS</t>
        </is>
      </c>
      <c r="E1435" s="3" t="n">
        <v>0.06</v>
      </c>
      <c r="F1435" s="3" t="n">
        <v>0</v>
      </c>
      <c r="G1435" s="3">
        <f>F1435-E1435</f>
        <v/>
      </c>
      <c r="H1435" s="4">
        <f>IF(E1435=0,"",F1435/E1435-1)</f>
        <v/>
      </c>
      <c r="I1435" t="inlineStr"/>
    </row>
    <row r="1436">
      <c r="A1436" t="inlineStr">
        <is>
          <t>Machinery &amp; electronics</t>
        </is>
      </c>
      <c r="B1436" t="inlineStr">
        <is>
          <t>84</t>
        </is>
      </c>
      <c r="C1436" t="inlineStr">
        <is>
          <t>84141010</t>
        </is>
      </c>
      <c r="D1436" t="inlineStr">
        <is>
          <t>Vacuum pumps with maximum flow-rate greater than 5 m³/h</t>
        </is>
      </c>
      <c r="E1436" s="3" t="n">
        <v>0.53</v>
      </c>
      <c r="F1436" s="3" t="n">
        <v>0</v>
      </c>
      <c r="G1436" s="3">
        <f>F1436-E1436</f>
        <v/>
      </c>
      <c r="H1436" s="4">
        <f>IF(E1436=0,"",F1436/E1436-1)</f>
        <v/>
      </c>
      <c r="I1436" t="inlineStr"/>
    </row>
    <row r="1437">
      <c r="A1437" t="inlineStr">
        <is>
          <t>Machinery &amp; electronics</t>
        </is>
      </c>
      <c r="B1437" t="inlineStr">
        <is>
          <t>84</t>
        </is>
      </c>
      <c r="C1437" t="inlineStr">
        <is>
          <t>84142010</t>
        </is>
      </c>
      <c r="D1437" t="inlineStr">
        <is>
          <t>HAND OR FOOT-OPERATED BICYCLE PUMPS</t>
        </is>
      </c>
      <c r="E1437" s="3" t="n">
        <v>0</v>
      </c>
      <c r="F1437" s="3" t="n">
        <v>0</v>
      </c>
      <c r="G1437" s="3">
        <f>F1437-E1437</f>
        <v/>
      </c>
      <c r="H1437" s="4">
        <f>IF(E1437=0,"",F1437/E1437-1)</f>
        <v/>
      </c>
      <c r="I1437" t="inlineStr"/>
    </row>
    <row r="1438">
      <c r="A1438" t="inlineStr">
        <is>
          <t>Machinery &amp; electronics</t>
        </is>
      </c>
      <c r="B1438" t="inlineStr">
        <is>
          <t>84</t>
        </is>
      </c>
      <c r="C1438" t="inlineStr">
        <is>
          <t>84142090</t>
        </is>
      </c>
      <c r="D1438" t="inlineStr">
        <is>
          <t>OTHER FOOT-OPERATED AIR PUMPS</t>
        </is>
      </c>
      <c r="E1438" s="3" t="n">
        <v>0</v>
      </c>
      <c r="F1438" s="3" t="n">
        <v>0</v>
      </c>
      <c r="G1438" s="3">
        <f>F1438-E1438</f>
        <v/>
      </c>
      <c r="H1438" s="4">
        <f>IF(E1438=0,"",F1438/E1438-1)</f>
        <v/>
      </c>
      <c r="I1438" t="inlineStr"/>
    </row>
    <row r="1439">
      <c r="A1439" t="inlineStr">
        <is>
          <t>Machinery &amp; electronics</t>
        </is>
      </c>
      <c r="B1439" t="inlineStr">
        <is>
          <t>84</t>
        </is>
      </c>
      <c r="C1439" t="inlineStr">
        <is>
          <t>84144020</t>
        </is>
      </c>
      <c r="D1439" t="inlineStr">
        <is>
          <t>CENTRIFUGAL AIR COMPRESSORS</t>
        </is>
      </c>
      <c r="E1439" s="3" t="n">
        <v>0.01</v>
      </c>
      <c r="F1439" s="3" t="n">
        <v>0</v>
      </c>
      <c r="G1439" s="3">
        <f>F1439-E1439</f>
        <v/>
      </c>
      <c r="H1439" s="4">
        <f>IF(E1439=0,"",F1439/E1439-1)</f>
        <v/>
      </c>
      <c r="I1439" t="inlineStr"/>
    </row>
    <row r="1440">
      <c r="A1440" t="inlineStr">
        <is>
          <t>Machinery &amp; electronics</t>
        </is>
      </c>
      <c r="B1440" t="inlineStr">
        <is>
          <t>84</t>
        </is>
      </c>
      <c r="C1440" t="inlineStr">
        <is>
          <t>84148020</t>
        </is>
      </c>
      <c r="D1440" t="inlineStr">
        <is>
          <t>FREE-PSTN GNRTRS FR GAS TURBINE</t>
        </is>
      </c>
      <c r="E1440" s="3" t="n">
        <v>0.02</v>
      </c>
      <c r="F1440" s="3" t="n">
        <v>0</v>
      </c>
      <c r="G1440" s="3">
        <f>F1440-E1440</f>
        <v/>
      </c>
      <c r="H1440" s="4">
        <f>IF(E1440=0,"",F1440/E1440-1)</f>
        <v/>
      </c>
      <c r="I1440" t="inlineStr"/>
    </row>
    <row r="1441">
      <c r="A1441" t="inlineStr">
        <is>
          <t>Machinery &amp; electronics</t>
        </is>
      </c>
      <c r="B1441" t="inlineStr">
        <is>
          <t>84</t>
        </is>
      </c>
      <c r="C1441" t="inlineStr">
        <is>
          <t>84152010</t>
        </is>
      </c>
      <c r="D1441" t="inlineStr">
        <is>
          <t>AIR-CONDITIONING MACHINES OF A KIND USD FRBUSES</t>
        </is>
      </c>
      <c r="E1441" s="3" t="n">
        <v>0</v>
      </c>
      <c r="F1441" s="3" t="n">
        <v>0</v>
      </c>
      <c r="G1441" s="3">
        <f>F1441-E1441</f>
        <v/>
      </c>
      <c r="H1441" s="4">
        <f>IF(E1441=0,"",F1441/E1441-1)</f>
        <v/>
      </c>
      <c r="I1441" t="inlineStr"/>
    </row>
    <row r="1442">
      <c r="A1442" t="inlineStr">
        <is>
          <t>Machinery &amp; electronics</t>
        </is>
      </c>
      <c r="B1442" t="inlineStr">
        <is>
          <t>84</t>
        </is>
      </c>
      <c r="C1442" t="inlineStr">
        <is>
          <t>84152090</t>
        </is>
      </c>
      <c r="D1442" t="inlineStr">
        <is>
          <t>AIR-CONDITIONING MACHINES OF A KIND USD FRPERSONS, IN OTHER MOTOR VEHICLES</t>
        </is>
      </c>
      <c r="E1442" s="3" t="n">
        <v>0</v>
      </c>
      <c r="F1442" s="3" t="n">
        <v>0</v>
      </c>
      <c r="G1442" s="3">
        <f>F1442-E1442</f>
        <v/>
      </c>
      <c r="H1442" s="4">
        <f>IF(E1442=0,"",F1442/E1442-1)</f>
        <v/>
      </c>
      <c r="I1442" t="inlineStr"/>
    </row>
    <row r="1443">
      <c r="A1443" t="inlineStr">
        <is>
          <t>Machinery &amp; electronics</t>
        </is>
      </c>
      <c r="B1443" t="inlineStr">
        <is>
          <t>84</t>
        </is>
      </c>
      <c r="C1443" t="inlineStr">
        <is>
          <t>84158110</t>
        </is>
      </c>
      <c r="D1443" t="inlineStr">
        <is>
          <t>SPLIT AIR-CONDITIONER TWO TONNES AND ABOVEWTH A VALVE FR RVRSL OF COOLING/HEAT CYCL</t>
        </is>
      </c>
      <c r="E1443" s="3" t="n">
        <v>0.01</v>
      </c>
      <c r="F1443" s="3" t="n">
        <v>0</v>
      </c>
      <c r="G1443" s="3">
        <f>F1443-E1443</f>
        <v/>
      </c>
      <c r="H1443" s="4">
        <f>IF(E1443=0,"",F1443/E1443-1)</f>
        <v/>
      </c>
      <c r="I1443" t="inlineStr"/>
    </row>
    <row r="1444">
      <c r="A1444" t="inlineStr">
        <is>
          <t>Machinery &amp; electronics</t>
        </is>
      </c>
      <c r="B1444" t="inlineStr">
        <is>
          <t>84</t>
        </is>
      </c>
      <c r="C1444" t="inlineStr">
        <is>
          <t>84158190</t>
        </is>
      </c>
      <c r="D1444" t="inlineStr">
        <is>
          <t>OTHER AIR CONDTNG MCHNS INCRPRTNG RFRGRTNGUNIT AND A VALVE FR RVRSL OF CLNG/ HEAT CYCLE</t>
        </is>
      </c>
      <c r="E1444" s="3" t="n">
        <v>0.12</v>
      </c>
      <c r="F1444" s="3" t="n">
        <v>0</v>
      </c>
      <c r="G1444" s="3">
        <f>F1444-E1444</f>
        <v/>
      </c>
      <c r="H1444" s="4">
        <f>IF(E1444=0,"",F1444/E1444-1)</f>
        <v/>
      </c>
      <c r="I1444" t="inlineStr"/>
    </row>
    <row r="1445">
      <c r="A1445" t="inlineStr">
        <is>
          <t>Machinery &amp; electronics</t>
        </is>
      </c>
      <c r="B1445" t="inlineStr">
        <is>
          <t>84</t>
        </is>
      </c>
      <c r="C1445" t="inlineStr">
        <is>
          <t>84158310</t>
        </is>
      </c>
      <c r="D1445" t="inlineStr">
        <is>
          <t>SPLIT AIR-CONDITIONER TWO TONNES AND ABOVENOT INCRPRTNG RFRGRTNG UNT</t>
        </is>
      </c>
      <c r="E1445" s="3" t="n">
        <v>0.24</v>
      </c>
      <c r="F1445" s="3" t="n">
        <v>0</v>
      </c>
      <c r="G1445" s="3">
        <f>F1445-E1445</f>
        <v/>
      </c>
      <c r="H1445" s="4">
        <f>IF(E1445=0,"",F1445/E1445-1)</f>
        <v/>
      </c>
      <c r="I1445" t="inlineStr"/>
    </row>
    <row r="1446">
      <c r="A1446" t="inlineStr">
        <is>
          <t>Machinery &amp; electronics</t>
        </is>
      </c>
      <c r="B1446" t="inlineStr">
        <is>
          <t>84</t>
        </is>
      </c>
      <c r="C1446" t="inlineStr">
        <is>
          <t>84183010</t>
        </is>
      </c>
      <c r="D1446" t="inlineStr">
        <is>
          <t>FREEZERS,ELECTRICAL</t>
        </is>
      </c>
      <c r="E1446" s="3" t="n">
        <v>0.38</v>
      </c>
      <c r="F1446" s="3" t="n">
        <v>0</v>
      </c>
      <c r="G1446" s="3">
        <f>F1446-E1446</f>
        <v/>
      </c>
      <c r="H1446" s="4">
        <f>IF(E1446=0,"",F1446/E1446-1)</f>
        <v/>
      </c>
      <c r="I1446" t="inlineStr"/>
    </row>
    <row r="1447">
      <c r="A1447" t="inlineStr">
        <is>
          <t>Machinery &amp; electronics</t>
        </is>
      </c>
      <c r="B1447" t="inlineStr">
        <is>
          <t>84</t>
        </is>
      </c>
      <c r="C1447" t="inlineStr">
        <is>
          <t>84185000</t>
        </is>
      </c>
      <c r="D1447" t="inlineStr">
        <is>
          <t>REFRIGERATING OR FREEZING DISPLAY COUNTERS,CABINETS,SHOW-CASES AND THE LIKE</t>
        </is>
      </c>
      <c r="E1447" s="3" t="n">
        <v>1.1</v>
      </c>
      <c r="F1447" s="3" t="n">
        <v>0</v>
      </c>
      <c r="G1447" s="3">
        <f>F1447-E1447</f>
        <v/>
      </c>
      <c r="H1447" s="4">
        <f>IF(E1447=0,"",F1447/E1447-1)</f>
        <v/>
      </c>
      <c r="I1447" t="inlineStr"/>
    </row>
    <row r="1448">
      <c r="A1448" t="inlineStr">
        <is>
          <t>Machinery &amp; electronics</t>
        </is>
      </c>
      <c r="B1448" t="inlineStr">
        <is>
          <t>84</t>
        </is>
      </c>
      <c r="C1448" t="inlineStr">
        <is>
          <t>84191200</t>
        </is>
      </c>
      <c r="D1448" t="inlineStr">
        <is>
          <t>Solar water heaters</t>
        </is>
      </c>
      <c r="E1448" s="3" t="n">
        <v>0.05</v>
      </c>
      <c r="F1448" s="3" t="n">
        <v>0</v>
      </c>
      <c r="G1448" s="3">
        <f>F1448-E1448</f>
        <v/>
      </c>
      <c r="H1448" s="4">
        <f>IF(E1448=0,"",F1448/E1448-1)</f>
        <v/>
      </c>
      <c r="I1448" t="inlineStr"/>
    </row>
    <row r="1449">
      <c r="A1449" t="inlineStr">
        <is>
          <t>Machinery &amp; electronics</t>
        </is>
      </c>
      <c r="B1449" t="inlineStr">
        <is>
          <t>84</t>
        </is>
      </c>
      <c r="C1449" t="inlineStr">
        <is>
          <t>84193300</t>
        </is>
      </c>
      <c r="D1449" t="inlineStr">
        <is>
          <t>Lyophilisation apparatus, freeze drying units: and spray dryers</t>
        </is>
      </c>
      <c r="E1449" s="3" t="n">
        <v>0.13</v>
      </c>
      <c r="F1449" s="3" t="n">
        <v>0</v>
      </c>
      <c r="G1449" s="3">
        <f>F1449-E1449</f>
        <v/>
      </c>
      <c r="H1449" s="4">
        <f>IF(E1449=0,"",F1449/E1449-1)</f>
        <v/>
      </c>
      <c r="I1449" t="inlineStr"/>
    </row>
    <row r="1450">
      <c r="A1450" t="inlineStr">
        <is>
          <t>Machinery &amp; electronics</t>
        </is>
      </c>
      <c r="B1450" t="inlineStr">
        <is>
          <t>84</t>
        </is>
      </c>
      <c r="C1450" t="inlineStr">
        <is>
          <t>84195012</t>
        </is>
      </c>
      <c r="D1450" t="inlineStr">
        <is>
          <t>Heat Exhange Units with a heat transfer surface area of greater than 0.15 m², and less than 20 m² Plate type</t>
        </is>
      </c>
      <c r="E1450" s="3" t="n">
        <v>0.22</v>
      </c>
      <c r="F1450" s="3" t="n">
        <v>0</v>
      </c>
      <c r="G1450" s="3">
        <f>F1450-E1450</f>
        <v/>
      </c>
      <c r="H1450" s="4">
        <f>IF(E1450=0,"",F1450/E1450-1)</f>
        <v/>
      </c>
      <c r="I1450" t="inlineStr"/>
    </row>
    <row r="1451">
      <c r="A1451" t="inlineStr">
        <is>
          <t>Machinery &amp; electronics</t>
        </is>
      </c>
      <c r="B1451" t="inlineStr">
        <is>
          <t>84</t>
        </is>
      </c>
      <c r="C1451" t="inlineStr">
        <is>
          <t>84198110</t>
        </is>
      </c>
      <c r="D1451" t="inlineStr">
        <is>
          <t>FRIERS</t>
        </is>
      </c>
      <c r="E1451" s="3" t="n">
        <v>0.03</v>
      </c>
      <c r="F1451" s="3" t="n">
        <v>0</v>
      </c>
      <c r="G1451" s="3">
        <f>F1451-E1451</f>
        <v/>
      </c>
      <c r="H1451" s="4">
        <f>IF(E1451=0,"",F1451/E1451-1)</f>
        <v/>
      </c>
      <c r="I1451" t="inlineStr"/>
    </row>
    <row r="1452">
      <c r="A1452" t="inlineStr">
        <is>
          <t>Machinery &amp; electronics</t>
        </is>
      </c>
      <c r="B1452" t="inlineStr">
        <is>
          <t>84</t>
        </is>
      </c>
      <c r="C1452" t="inlineStr">
        <is>
          <t>84198930</t>
        </is>
      </c>
      <c r="D1452" t="inlineStr">
        <is>
          <t>AUTO CLAVES OTHER THAN FOR COOKING OR HEATING FOOD N.E.S.</t>
        </is>
      </c>
      <c r="E1452" s="3" t="n">
        <v>0</v>
      </c>
      <c r="F1452" s="3" t="n">
        <v>0</v>
      </c>
      <c r="G1452" s="3">
        <f>F1452-E1452</f>
        <v/>
      </c>
      <c r="H1452" s="4">
        <f>IF(E1452=0,"",F1452/E1452-1)</f>
        <v/>
      </c>
      <c r="I1452" t="inlineStr"/>
    </row>
    <row r="1453">
      <c r="A1453" t="inlineStr">
        <is>
          <t>Machinery &amp; electronics</t>
        </is>
      </c>
      <c r="B1453" t="inlineStr">
        <is>
          <t>84</t>
        </is>
      </c>
      <c r="C1453" t="inlineStr">
        <is>
          <t>84211930</t>
        </is>
      </c>
      <c r="D1453" t="inlineStr">
        <is>
          <t>CONTINUOUS AUTOMATIC CENTRIFUGES</t>
        </is>
      </c>
      <c r="E1453" s="3" t="n">
        <v>0.01</v>
      </c>
      <c r="F1453" s="3" t="n">
        <v>0</v>
      </c>
      <c r="G1453" s="3">
        <f>F1453-E1453</f>
        <v/>
      </c>
      <c r="H1453" s="4">
        <f>IF(E1453=0,"",F1453/E1453-1)</f>
        <v/>
      </c>
      <c r="I1453" t="inlineStr"/>
    </row>
    <row r="1454">
      <c r="A1454" t="inlineStr">
        <is>
          <t>Machinery &amp; electronics</t>
        </is>
      </c>
      <c r="B1454" t="inlineStr">
        <is>
          <t>84</t>
        </is>
      </c>
      <c r="C1454" t="inlineStr">
        <is>
          <t>84213200</t>
        </is>
      </c>
      <c r="D1454" t="inlineStr">
        <is>
          <t>Catalytic converters or particulate filters,for purifying or filtering exhaust gases from internal combustion engines</t>
        </is>
      </c>
      <c r="E1454" s="3" t="n">
        <v>0</v>
      </c>
      <c r="F1454" s="3" t="n">
        <v>0</v>
      </c>
      <c r="G1454" s="3">
        <f>F1454-E1454</f>
        <v/>
      </c>
      <c r="H1454" s="4">
        <f>IF(E1454=0,"",F1454/E1454-1)</f>
        <v/>
      </c>
      <c r="I1454" t="inlineStr"/>
    </row>
    <row r="1455">
      <c r="A1455" t="inlineStr">
        <is>
          <t>Machinery &amp; electronics</t>
        </is>
      </c>
      <c r="B1455" t="inlineStr">
        <is>
          <t>84</t>
        </is>
      </c>
      <c r="C1455" t="inlineStr">
        <is>
          <t>84221100</t>
        </is>
      </c>
      <c r="D1455" t="inlineStr">
        <is>
          <t>DISH WSHNG MCHNS OF HOUSEHOLD TYPE</t>
        </is>
      </c>
      <c r="E1455" s="3" t="n">
        <v>0</v>
      </c>
      <c r="F1455" s="3" t="n">
        <v>0</v>
      </c>
      <c r="G1455" s="3">
        <f>F1455-E1455</f>
        <v/>
      </c>
      <c r="H1455" s="4">
        <f>IF(E1455=0,"",F1455/E1455-1)</f>
        <v/>
      </c>
      <c r="I1455" t="inlineStr"/>
    </row>
    <row r="1456">
      <c r="A1456" t="inlineStr">
        <is>
          <t>Machinery &amp; electronics</t>
        </is>
      </c>
      <c r="B1456" t="inlineStr">
        <is>
          <t>84</t>
        </is>
      </c>
      <c r="C1456" t="inlineStr">
        <is>
          <t>84244100</t>
        </is>
      </c>
      <c r="D1456" t="inlineStr">
        <is>
          <t>PORTABLE SPRAYERS</t>
        </is>
      </c>
      <c r="E1456" s="3" t="n">
        <v>0.01</v>
      </c>
      <c r="F1456" s="3" t="n">
        <v>0</v>
      </c>
      <c r="G1456" s="3">
        <f>F1456-E1456</f>
        <v/>
      </c>
      <c r="H1456" s="4">
        <f>IF(E1456=0,"",F1456/E1456-1)</f>
        <v/>
      </c>
      <c r="I1456" t="inlineStr"/>
    </row>
    <row r="1457">
      <c r="A1457" t="inlineStr">
        <is>
          <t>Machinery &amp; electronics</t>
        </is>
      </c>
      <c r="B1457" t="inlineStr">
        <is>
          <t>84</t>
        </is>
      </c>
      <c r="C1457" t="inlineStr">
        <is>
          <t>84251920</t>
        </is>
      </c>
      <c r="D1457" t="inlineStr">
        <is>
          <t>PULLEY TACKLE NOT PWRD BY ELCTRC MOTR</t>
        </is>
      </c>
      <c r="E1457" s="3" t="n">
        <v>0.03</v>
      </c>
      <c r="F1457" s="3" t="n">
        <v>0</v>
      </c>
      <c r="G1457" s="3">
        <f>F1457-E1457</f>
        <v/>
      </c>
      <c r="H1457" s="4">
        <f>IF(E1457=0,"",F1457/E1457-1)</f>
        <v/>
      </c>
      <c r="I1457" t="inlineStr"/>
    </row>
    <row r="1458">
      <c r="A1458" t="inlineStr">
        <is>
          <t>Machinery &amp; electronics</t>
        </is>
      </c>
      <c r="B1458" t="inlineStr">
        <is>
          <t>84</t>
        </is>
      </c>
      <c r="C1458" t="inlineStr">
        <is>
          <t>84269910</t>
        </is>
      </c>
      <c r="D1458" t="inlineStr">
        <is>
          <t>ROPEWAY AND TELPHERS</t>
        </is>
      </c>
      <c r="E1458" s="3" t="n">
        <v>0.03</v>
      </c>
      <c r="F1458" s="3" t="n">
        <v>0</v>
      </c>
      <c r="G1458" s="3">
        <f>F1458-E1458</f>
        <v/>
      </c>
      <c r="H1458" s="4">
        <f>IF(E1458=0,"",F1458/E1458-1)</f>
        <v/>
      </c>
      <c r="I1458" t="inlineStr"/>
    </row>
    <row r="1459">
      <c r="A1459" t="inlineStr">
        <is>
          <t>Machinery &amp; electronics</t>
        </is>
      </c>
      <c r="B1459" t="inlineStr">
        <is>
          <t>84</t>
        </is>
      </c>
      <c r="C1459" t="inlineStr">
        <is>
          <t>84283100</t>
        </is>
      </c>
      <c r="D1459" t="inlineStr">
        <is>
          <t>CONTINUOUS-ACTION ELVTRS AND CNVEYRS SPCLY DSGND FOR UNDRGRND USE FOR GOODS/MATERIALS</t>
        </is>
      </c>
      <c r="E1459" s="3" t="n">
        <v>0</v>
      </c>
      <c r="F1459" s="3" t="n">
        <v>0</v>
      </c>
      <c r="G1459" s="3">
        <f>F1459-E1459</f>
        <v/>
      </c>
      <c r="H1459" s="4">
        <f>IF(E1459=0,"",F1459/E1459-1)</f>
        <v/>
      </c>
      <c r="I1459" t="inlineStr"/>
    </row>
    <row r="1460">
      <c r="A1460" t="inlineStr">
        <is>
          <t>Machinery &amp; electronics</t>
        </is>
      </c>
      <c r="B1460" t="inlineStr">
        <is>
          <t>84</t>
        </is>
      </c>
      <c r="C1460" t="inlineStr">
        <is>
          <t>84284000</t>
        </is>
      </c>
      <c r="D1460" t="inlineStr">
        <is>
          <t>ESCALATORS AND MOVING WALKWAYS</t>
        </is>
      </c>
      <c r="E1460" s="3" t="n">
        <v>0.16</v>
      </c>
      <c r="F1460" s="3" t="n">
        <v>0</v>
      </c>
      <c r="G1460" s="3">
        <f>F1460-E1460</f>
        <v/>
      </c>
      <c r="H1460" s="4">
        <f>IF(E1460=0,"",F1460/E1460-1)</f>
        <v/>
      </c>
      <c r="I1460" t="inlineStr"/>
    </row>
    <row r="1461">
      <c r="A1461" t="inlineStr">
        <is>
          <t>Machinery &amp; electronics</t>
        </is>
      </c>
      <c r="B1461" t="inlineStr">
        <is>
          <t>84</t>
        </is>
      </c>
      <c r="C1461" t="inlineStr">
        <is>
          <t>84293000</t>
        </is>
      </c>
      <c r="D1461" t="inlineStr">
        <is>
          <t>SCRAPERS</t>
        </is>
      </c>
      <c r="E1461" s="3" t="n">
        <v>0.01</v>
      </c>
      <c r="F1461" s="3" t="n">
        <v>0</v>
      </c>
      <c r="G1461" s="3">
        <f>F1461-E1461</f>
        <v/>
      </c>
      <c r="H1461" s="4">
        <f>IF(E1461=0,"",F1461/E1461-1)</f>
        <v/>
      </c>
      <c r="I1461" t="inlineStr"/>
    </row>
    <row r="1462">
      <c r="A1462" t="inlineStr">
        <is>
          <t>Machinery &amp; electronics</t>
        </is>
      </c>
      <c r="B1462" t="inlineStr">
        <is>
          <t>84</t>
        </is>
      </c>
      <c r="C1462" t="inlineStr">
        <is>
          <t>84294030</t>
        </is>
      </c>
      <c r="D1462" t="inlineStr">
        <is>
          <t>TAMPING MACHINES</t>
        </is>
      </c>
      <c r="E1462" s="3" t="n">
        <v>4.58</v>
      </c>
      <c r="F1462" s="3" t="n">
        <v>0</v>
      </c>
      <c r="G1462" s="3">
        <f>F1462-E1462</f>
        <v/>
      </c>
      <c r="H1462" s="4">
        <f>IF(E1462=0,"",F1462/E1462-1)</f>
        <v/>
      </c>
      <c r="I1462" t="inlineStr"/>
    </row>
    <row r="1463">
      <c r="A1463" t="inlineStr">
        <is>
          <t>Machinery &amp; electronics</t>
        </is>
      </c>
      <c r="B1463" t="inlineStr">
        <is>
          <t>84</t>
        </is>
      </c>
      <c r="C1463" t="inlineStr">
        <is>
          <t>84301020</t>
        </is>
      </c>
      <c r="D1463" t="inlineStr">
        <is>
          <t>PILE-EXTRACTORS</t>
        </is>
      </c>
      <c r="E1463" s="3" t="n">
        <v>0</v>
      </c>
      <c r="F1463" s="3" t="n">
        <v>0</v>
      </c>
      <c r="G1463" s="3">
        <f>F1463-E1463</f>
        <v/>
      </c>
      <c r="H1463" s="4">
        <f>IF(E1463=0,"",F1463/E1463-1)</f>
        <v/>
      </c>
      <c r="I1463" t="inlineStr"/>
    </row>
    <row r="1464">
      <c r="A1464" t="inlineStr">
        <is>
          <t>Machinery &amp; electronics</t>
        </is>
      </c>
      <c r="B1464" t="inlineStr">
        <is>
          <t>84</t>
        </is>
      </c>
      <c r="C1464" t="inlineStr">
        <is>
          <t>84303900</t>
        </is>
      </c>
      <c r="D1464" t="inlineStr">
        <is>
          <t>OTHR COAL/ROCK CUTTERS AND TUNLNG MCHNRY</t>
        </is>
      </c>
      <c r="E1464" s="3" t="n">
        <v>0.02</v>
      </c>
      <c r="F1464" s="3" t="n">
        <v>0</v>
      </c>
      <c r="G1464" s="3">
        <f>F1464-E1464</f>
        <v/>
      </c>
      <c r="H1464" s="4">
        <f>IF(E1464=0,"",F1464/E1464-1)</f>
        <v/>
      </c>
      <c r="I1464" t="inlineStr"/>
    </row>
    <row r="1465">
      <c r="A1465" t="inlineStr">
        <is>
          <t>Machinery &amp; electronics</t>
        </is>
      </c>
      <c r="B1465" t="inlineStr">
        <is>
          <t>84</t>
        </is>
      </c>
      <c r="C1465" t="inlineStr">
        <is>
          <t>84306900</t>
        </is>
      </c>
      <c r="D1465" t="inlineStr">
        <is>
          <t>*OTHER MACHINERY,NOT SELF-PROPELLED</t>
        </is>
      </c>
      <c r="E1465" s="3" t="n">
        <v>0.02</v>
      </c>
      <c r="F1465" s="3" t="n">
        <v>0</v>
      </c>
      <c r="G1465" s="3">
        <f>F1465-E1465</f>
        <v/>
      </c>
      <c r="H1465" s="4">
        <f>IF(E1465=0,"",F1465/E1465-1)</f>
        <v/>
      </c>
      <c r="I1465" t="inlineStr"/>
    </row>
    <row r="1466">
      <c r="A1466" t="inlineStr">
        <is>
          <t>Machinery &amp; electronics</t>
        </is>
      </c>
      <c r="B1466" t="inlineStr">
        <is>
          <t>84</t>
        </is>
      </c>
      <c r="C1466" t="inlineStr">
        <is>
          <t>84314200</t>
        </is>
      </c>
      <c r="D1466" t="inlineStr">
        <is>
          <t>BULLDOZER OR ANGLEDOZER BLADES</t>
        </is>
      </c>
      <c r="E1466" s="3" t="n">
        <v>0.05</v>
      </c>
      <c r="F1466" s="3" t="n">
        <v>0</v>
      </c>
      <c r="G1466" s="3">
        <f>F1466-E1466</f>
        <v/>
      </c>
      <c r="H1466" s="4">
        <f>IF(E1466=0,"",F1466/E1466-1)</f>
        <v/>
      </c>
      <c r="I1466" t="inlineStr"/>
    </row>
    <row r="1467">
      <c r="A1467" t="inlineStr">
        <is>
          <t>Machinery &amp; electronics</t>
        </is>
      </c>
      <c r="B1467" t="inlineStr">
        <is>
          <t>84</t>
        </is>
      </c>
      <c r="C1467" t="inlineStr">
        <is>
          <t>84321020</t>
        </is>
      </c>
      <c r="D1467" t="inlineStr">
        <is>
          <t>TRACTOR PLOUGHS</t>
        </is>
      </c>
      <c r="E1467" s="3" t="n">
        <v>0</v>
      </c>
      <c r="F1467" s="3" t="n">
        <v>0</v>
      </c>
      <c r="G1467" s="3">
        <f>F1467-E1467</f>
        <v/>
      </c>
      <c r="H1467" s="4">
        <f>IF(E1467=0,"",F1467/E1467-1)</f>
        <v/>
      </c>
      <c r="I1467" t="inlineStr"/>
    </row>
    <row r="1468">
      <c r="A1468" t="inlineStr">
        <is>
          <t>Machinery &amp; electronics</t>
        </is>
      </c>
      <c r="B1468" t="inlineStr">
        <is>
          <t>84</t>
        </is>
      </c>
      <c r="C1468" t="inlineStr">
        <is>
          <t>84322100</t>
        </is>
      </c>
      <c r="D1468" t="inlineStr">
        <is>
          <t>DISC HARROWS</t>
        </is>
      </c>
      <c r="E1468" s="3" t="n">
        <v>0</v>
      </c>
      <c r="F1468" s="3" t="n">
        <v>0</v>
      </c>
      <c r="G1468" s="3">
        <f>F1468-E1468</f>
        <v/>
      </c>
      <c r="H1468" s="4">
        <f>IF(E1468=0,"",F1468/E1468-1)</f>
        <v/>
      </c>
      <c r="I1468" t="inlineStr"/>
    </row>
    <row r="1469">
      <c r="A1469" t="inlineStr">
        <is>
          <t>Machinery &amp; electronics</t>
        </is>
      </c>
      <c r="B1469" t="inlineStr">
        <is>
          <t>84</t>
        </is>
      </c>
      <c r="C1469" t="inlineStr">
        <is>
          <t>84324200</t>
        </is>
      </c>
      <c r="D1469" t="inlineStr">
        <is>
          <t>FERTILISER DISTRIBUTORS</t>
        </is>
      </c>
      <c r="E1469" s="3" t="n">
        <v>0.03</v>
      </c>
      <c r="F1469" s="3" t="n">
        <v>0</v>
      </c>
      <c r="G1469" s="3">
        <f>F1469-E1469</f>
        <v/>
      </c>
      <c r="H1469" s="4">
        <f>IF(E1469=0,"",F1469/E1469-1)</f>
        <v/>
      </c>
      <c r="I1469" t="inlineStr"/>
    </row>
    <row r="1470">
      <c r="A1470" t="inlineStr">
        <is>
          <t>Machinery &amp; electronics</t>
        </is>
      </c>
      <c r="B1470" t="inlineStr">
        <is>
          <t>84</t>
        </is>
      </c>
      <c r="C1470" t="inlineStr">
        <is>
          <t>84331190</t>
        </is>
      </c>
      <c r="D1470" t="inlineStr">
        <is>
          <t>OTHER PWRD MOWRS FR LAWNS,PRKS/SPRTS GRNDS</t>
        </is>
      </c>
      <c r="E1470" s="3" t="n">
        <v>0.01</v>
      </c>
      <c r="F1470" s="3" t="n">
        <v>0</v>
      </c>
      <c r="G1470" s="3">
        <f>F1470-E1470</f>
        <v/>
      </c>
      <c r="H1470" s="4">
        <f>IF(E1470=0,"",F1470/E1470-1)</f>
        <v/>
      </c>
      <c r="I1470" t="inlineStr"/>
    </row>
    <row r="1471">
      <c r="A1471" t="inlineStr">
        <is>
          <t>Machinery &amp; electronics</t>
        </is>
      </c>
      <c r="B1471" t="inlineStr">
        <is>
          <t>84</t>
        </is>
      </c>
      <c r="C1471" t="inlineStr">
        <is>
          <t>84336010</t>
        </is>
      </c>
      <c r="D1471" t="inlineStr">
        <is>
          <t>WINNOWING AND SIMILAR CLEANING MACHINES FOR SEED,GRAIN OR LEGUMINOUS VEGETABLES</t>
        </is>
      </c>
      <c r="E1471" s="3" t="n">
        <v>0.08</v>
      </c>
      <c r="F1471" s="3" t="n">
        <v>0</v>
      </c>
      <c r="G1471" s="3">
        <f>F1471-E1471</f>
        <v/>
      </c>
      <c r="H1471" s="4">
        <f>IF(E1471=0,"",F1471/E1471-1)</f>
        <v/>
      </c>
      <c r="I1471" t="inlineStr"/>
    </row>
    <row r="1472">
      <c r="A1472" t="inlineStr">
        <is>
          <t>Machinery &amp; electronics</t>
        </is>
      </c>
      <c r="B1472" t="inlineStr">
        <is>
          <t>84</t>
        </is>
      </c>
      <c r="C1472" t="inlineStr">
        <is>
          <t>84336020</t>
        </is>
      </c>
      <c r="D1472" t="inlineStr">
        <is>
          <t>EGG-GRADING AND OTHER GRADING MACHINES FORAGRICULTURAL PRODUCE</t>
        </is>
      </c>
      <c r="E1472" s="3" t="n">
        <v>0.03</v>
      </c>
      <c r="F1472" s="3" t="n">
        <v>0</v>
      </c>
      <c r="G1472" s="3">
        <f>F1472-E1472</f>
        <v/>
      </c>
      <c r="H1472" s="4">
        <f>IF(E1472=0,"",F1472/E1472-1)</f>
        <v/>
      </c>
      <c r="I1472" t="inlineStr"/>
    </row>
    <row r="1473">
      <c r="A1473" t="inlineStr">
        <is>
          <t>Machinery &amp; electronics</t>
        </is>
      </c>
      <c r="B1473" t="inlineStr">
        <is>
          <t>84</t>
        </is>
      </c>
      <c r="C1473" t="inlineStr">
        <is>
          <t>84349020</t>
        </is>
      </c>
      <c r="D1473" t="inlineStr">
        <is>
          <t>PARTS OF DAIRY MACHINERY</t>
        </is>
      </c>
      <c r="E1473" s="3" t="n">
        <v>0.05</v>
      </c>
      <c r="F1473" s="3" t="n">
        <v>0</v>
      </c>
      <c r="G1473" s="3">
        <f>F1473-E1473</f>
        <v/>
      </c>
      <c r="H1473" s="4">
        <f>IF(E1473=0,"",F1473/E1473-1)</f>
        <v/>
      </c>
      <c r="I1473" t="inlineStr"/>
    </row>
    <row r="1474">
      <c r="A1474" t="inlineStr">
        <is>
          <t>Machinery &amp; electronics</t>
        </is>
      </c>
      <c r="B1474" t="inlineStr">
        <is>
          <t>84</t>
        </is>
      </c>
      <c r="C1474" t="inlineStr">
        <is>
          <t>84368010</t>
        </is>
      </c>
      <c r="D1474" t="inlineStr">
        <is>
          <t>GRMNTN PLNT FTD WTH MCHNCL/THRML EQPMNT</t>
        </is>
      </c>
      <c r="E1474" s="3" t="n">
        <v>0.15</v>
      </c>
      <c r="F1474" s="3" t="n">
        <v>0</v>
      </c>
      <c r="G1474" s="3">
        <f>F1474-E1474</f>
        <v/>
      </c>
      <c r="H1474" s="4">
        <f>IF(E1474=0,"",F1474/E1474-1)</f>
        <v/>
      </c>
      <c r="I1474" t="inlineStr"/>
    </row>
    <row r="1475">
      <c r="A1475" t="inlineStr">
        <is>
          <t>Machinery &amp; electronics</t>
        </is>
      </c>
      <c r="B1475" t="inlineStr">
        <is>
          <t>84</t>
        </is>
      </c>
      <c r="C1475" t="inlineStr">
        <is>
          <t>84378090</t>
        </is>
      </c>
      <c r="D1475" t="inlineStr">
        <is>
          <t>MCHNRY USD IN BREAD GRAIN MLNG INDUSTRY,AND OTHR MCHNRY(EXCL FARM-TYPE MCHNRY FR WRKNGOF CERELS/DRIED LEGUMINOUS,N.</t>
        </is>
      </c>
      <c r="E1475" s="3" t="n">
        <v>0</v>
      </c>
      <c r="F1475" s="3" t="n">
        <v>0</v>
      </c>
      <c r="G1475" s="3">
        <f>F1475-E1475</f>
        <v/>
      </c>
      <c r="H1475" s="4">
        <f>IF(E1475=0,"",F1475/E1475-1)</f>
        <v/>
      </c>
      <c r="I1475" t="inlineStr"/>
    </row>
    <row r="1476">
      <c r="A1476" t="inlineStr">
        <is>
          <t>Machinery &amp; electronics</t>
        </is>
      </c>
      <c r="B1476" t="inlineStr">
        <is>
          <t>84</t>
        </is>
      </c>
      <c r="C1476" t="inlineStr">
        <is>
          <t>84379090</t>
        </is>
      </c>
      <c r="D1476" t="inlineStr">
        <is>
          <t>PRTS OF OTHR MCHNRY OF HDG NO 8437</t>
        </is>
      </c>
      <c r="E1476" s="3" t="n">
        <v>0.01</v>
      </c>
      <c r="F1476" s="3" t="n">
        <v>0</v>
      </c>
      <c r="G1476" s="3">
        <f>F1476-E1476</f>
        <v/>
      </c>
      <c r="H1476" s="4">
        <f>IF(E1476=0,"",F1476/E1476-1)</f>
        <v/>
      </c>
      <c r="I1476" t="inlineStr"/>
    </row>
    <row r="1477">
      <c r="A1477" t="inlineStr">
        <is>
          <t>Machinery &amp; electronics</t>
        </is>
      </c>
      <c r="B1477" t="inlineStr">
        <is>
          <t>84</t>
        </is>
      </c>
      <c r="C1477" t="inlineStr">
        <is>
          <t>84384000</t>
        </is>
      </c>
      <c r="D1477" t="inlineStr">
        <is>
          <t>BREWERY MACHINERY</t>
        </is>
      </c>
      <c r="E1477" s="3" t="n">
        <v>0</v>
      </c>
      <c r="F1477" s="3" t="n">
        <v>0</v>
      </c>
      <c r="G1477" s="3">
        <f>F1477-E1477</f>
        <v/>
      </c>
      <c r="H1477" s="4">
        <f>IF(E1477=0,"",F1477/E1477-1)</f>
        <v/>
      </c>
      <c r="I1477" t="inlineStr"/>
    </row>
    <row r="1478">
      <c r="A1478" t="inlineStr">
        <is>
          <t>Machinery &amp; electronics</t>
        </is>
      </c>
      <c r="B1478" t="inlineStr">
        <is>
          <t>84</t>
        </is>
      </c>
      <c r="C1478" t="inlineStr">
        <is>
          <t>84388030</t>
        </is>
      </c>
      <c r="D1478" t="inlineStr">
        <is>
          <t>DIFFUSING MACHINES (DIFFUSORS)</t>
        </is>
      </c>
      <c r="E1478" s="3" t="n">
        <v>0</v>
      </c>
      <c r="F1478" s="3" t="n">
        <v>0</v>
      </c>
      <c r="G1478" s="3">
        <f>F1478-E1478</f>
        <v/>
      </c>
      <c r="H1478" s="4">
        <f>IF(E1478=0,"",F1478/E1478-1)</f>
        <v/>
      </c>
      <c r="I1478" t="inlineStr"/>
    </row>
    <row r="1479">
      <c r="A1479" t="inlineStr">
        <is>
          <t>Machinery &amp; electronics</t>
        </is>
      </c>
      <c r="B1479" t="inlineStr">
        <is>
          <t>84</t>
        </is>
      </c>
      <c r="C1479" t="inlineStr">
        <is>
          <t>84389010</t>
        </is>
      </c>
      <c r="D1479" t="inlineStr">
        <is>
          <t>PARTS OF SUGAR MANUFACTURING MACHINERY</t>
        </is>
      </c>
      <c r="E1479" s="3" t="n">
        <v>0.01</v>
      </c>
      <c r="F1479" s="3" t="n">
        <v>0</v>
      </c>
      <c r="G1479" s="3">
        <f>F1479-E1479</f>
        <v/>
      </c>
      <c r="H1479" s="4">
        <f>IF(E1479=0,"",F1479/E1479-1)</f>
        <v/>
      </c>
      <c r="I1479" t="inlineStr"/>
    </row>
    <row r="1480">
      <c r="A1480" t="inlineStr">
        <is>
          <t>Machinery &amp; electronics</t>
        </is>
      </c>
      <c r="B1480" t="inlineStr">
        <is>
          <t>84</t>
        </is>
      </c>
      <c r="C1480" t="inlineStr">
        <is>
          <t>84393090</t>
        </is>
      </c>
      <c r="D1480" t="inlineStr">
        <is>
          <t>OTHERS-OF-MCHNRY FOR FNSHNG PAPER/PAPERBOARD</t>
        </is>
      </c>
      <c r="E1480" s="3" t="n">
        <v>0</v>
      </c>
      <c r="F1480" s="3" t="n">
        <v>0</v>
      </c>
      <c r="G1480" s="3">
        <f>F1480-E1480</f>
        <v/>
      </c>
      <c r="H1480" s="4">
        <f>IF(E1480=0,"",F1480/E1480-1)</f>
        <v/>
      </c>
      <c r="I1480" t="inlineStr"/>
    </row>
    <row r="1481">
      <c r="A1481" t="inlineStr">
        <is>
          <t>Machinery &amp; electronics</t>
        </is>
      </c>
      <c r="B1481" t="inlineStr">
        <is>
          <t>84</t>
        </is>
      </c>
      <c r="C1481" t="inlineStr">
        <is>
          <t>84401090</t>
        </is>
      </c>
      <c r="D1481" t="inlineStr">
        <is>
          <t>OTHER BOOK-BINDNG MCHNRY</t>
        </is>
      </c>
      <c r="E1481" s="3" t="n">
        <v>0.02</v>
      </c>
      <c r="F1481" s="3" t="n">
        <v>0</v>
      </c>
      <c r="G1481" s="3">
        <f>F1481-E1481</f>
        <v/>
      </c>
      <c r="H1481" s="4">
        <f>IF(E1481=0,"",F1481/E1481-1)</f>
        <v/>
      </c>
      <c r="I1481" t="inlineStr"/>
    </row>
    <row r="1482">
      <c r="A1482" t="inlineStr">
        <is>
          <t>Machinery &amp; electronics</t>
        </is>
      </c>
      <c r="B1482" t="inlineStr">
        <is>
          <t>84</t>
        </is>
      </c>
      <c r="C1482" t="inlineStr">
        <is>
          <t>84423090</t>
        </is>
      </c>
      <c r="D1482" t="inlineStr">
        <is>
          <t>OTHER MACHNRY,APPRTUS AND EQPMNT OF HD 8442</t>
        </is>
      </c>
      <c r="E1482" s="3" t="n">
        <v>0.02</v>
      </c>
      <c r="F1482" s="3" t="n">
        <v>0</v>
      </c>
      <c r="G1482" s="3">
        <f>F1482-E1482</f>
        <v/>
      </c>
      <c r="H1482" s="4">
        <f>IF(E1482=0,"",F1482/E1482-1)</f>
        <v/>
      </c>
      <c r="I1482" t="inlineStr"/>
    </row>
    <row r="1483">
      <c r="A1483" t="inlineStr">
        <is>
          <t>Machinery &amp; electronics</t>
        </is>
      </c>
      <c r="B1483" t="inlineStr">
        <is>
          <t>84</t>
        </is>
      </c>
      <c r="C1483" t="inlineStr">
        <is>
          <t>84424000</t>
        </is>
      </c>
      <c r="D1483" t="inlineStr">
        <is>
          <t>PRTS OF MCHNRY,APPRTS/EQPMNT OF HDG 8442 OF HEADING 8442</t>
        </is>
      </c>
      <c r="E1483" s="3" t="n">
        <v>0.01</v>
      </c>
      <c r="F1483" s="3" t="n">
        <v>0</v>
      </c>
      <c r="G1483" s="3">
        <f>F1483-E1483</f>
        <v/>
      </c>
      <c r="H1483" s="4">
        <f>IF(E1483=0,"",F1483/E1483-1)</f>
        <v/>
      </c>
      <c r="I1483" t="inlineStr"/>
    </row>
    <row r="1484">
      <c r="A1484" t="inlineStr">
        <is>
          <t>Machinery &amp; electronics</t>
        </is>
      </c>
      <c r="B1484" t="inlineStr">
        <is>
          <t>84</t>
        </is>
      </c>
      <c r="C1484" t="inlineStr">
        <is>
          <t>84425031</t>
        </is>
      </c>
      <c r="D1484" t="inlineStr">
        <is>
          <t>PLATE, BLOCK AND CYLINDER FOR TEXTILE PRINTING MACHINE</t>
        </is>
      </c>
      <c r="E1484" s="3" t="n">
        <v>0</v>
      </c>
      <c r="F1484" s="3" t="n">
        <v>0</v>
      </c>
      <c r="G1484" s="3">
        <f>F1484-E1484</f>
        <v/>
      </c>
      <c r="H1484" s="4">
        <f>IF(E1484=0,"",F1484/E1484-1)</f>
        <v/>
      </c>
      <c r="I1484" t="inlineStr"/>
    </row>
    <row r="1485">
      <c r="A1485" t="inlineStr">
        <is>
          <t>Machinery &amp; electronics</t>
        </is>
      </c>
      <c r="B1485" t="inlineStr">
        <is>
          <t>84</t>
        </is>
      </c>
      <c r="C1485" t="inlineStr">
        <is>
          <t>84431200</t>
        </is>
      </c>
      <c r="D1485" t="inlineStr">
        <is>
          <t>OFFSET PRINTING MACHINERY-SHEET FED, OFFICE TYPE(SHEET SIZE NT EXCDNG 22X36 CM)</t>
        </is>
      </c>
      <c r="E1485" s="3" t="n">
        <v>0</v>
      </c>
      <c r="F1485" s="3" t="n">
        <v>0</v>
      </c>
      <c r="G1485" s="3">
        <f>F1485-E1485</f>
        <v/>
      </c>
      <c r="H1485" s="4">
        <f>IF(E1485=0,"",F1485/E1485-1)</f>
        <v/>
      </c>
      <c r="I1485" t="inlineStr"/>
    </row>
    <row r="1486">
      <c r="A1486" t="inlineStr">
        <is>
          <t>Machinery &amp; electronics</t>
        </is>
      </c>
      <c r="B1486" t="inlineStr">
        <is>
          <t>84</t>
        </is>
      </c>
      <c r="C1486" t="inlineStr">
        <is>
          <t>84431700</t>
        </is>
      </c>
      <c r="D1486" t="inlineStr">
        <is>
          <t>GRAVURE PRINTING MACHINERY</t>
        </is>
      </c>
      <c r="E1486" s="3" t="n">
        <v>3.73</v>
      </c>
      <c r="F1486" s="3" t="n">
        <v>0</v>
      </c>
      <c r="G1486" s="3">
        <f>F1486-E1486</f>
        <v/>
      </c>
      <c r="H1486" s="4">
        <f>IF(E1486=0,"",F1486/E1486-1)</f>
        <v/>
      </c>
      <c r="I1486" t="inlineStr"/>
    </row>
    <row r="1487">
      <c r="A1487" t="inlineStr">
        <is>
          <t>Machinery &amp; electronics</t>
        </is>
      </c>
      <c r="B1487" t="inlineStr">
        <is>
          <t>84</t>
        </is>
      </c>
      <c r="C1487" t="inlineStr">
        <is>
          <t>84431949</t>
        </is>
      </c>
      <c r="D1487" t="inlineStr">
        <is>
          <t>OTHER MACHINERY FOR PRINTING REPETITIVE WORD OR DESIGN OR COLOUR</t>
        </is>
      </c>
      <c r="E1487" s="3" t="n">
        <v>0.01</v>
      </c>
      <c r="F1487" s="3" t="n">
        <v>0</v>
      </c>
      <c r="G1487" s="3">
        <f>F1487-E1487</f>
        <v/>
      </c>
      <c r="H1487" s="4">
        <f>IF(E1487=0,"",F1487/E1487-1)</f>
        <v/>
      </c>
      <c r="I1487" t="inlineStr"/>
    </row>
    <row r="1488">
      <c r="A1488" t="inlineStr">
        <is>
          <t>Machinery &amp; electronics</t>
        </is>
      </c>
      <c r="B1488" t="inlineStr">
        <is>
          <t>84</t>
        </is>
      </c>
      <c r="C1488" t="inlineStr">
        <is>
          <t>84433100</t>
        </is>
      </c>
      <c r="D1488" t="inlineStr">
        <is>
          <t>MACHINES WHICH PERFORM TWO OR MORE OF THE FUNCTIONS OF PRINTING, COPYING OR FACSIMILE TRANSMISSION, CAPABLE OF C</t>
        </is>
      </c>
      <c r="E1488" s="3" t="n">
        <v>0.01</v>
      </c>
      <c r="F1488" s="3" t="n">
        <v>0</v>
      </c>
      <c r="G1488" s="3">
        <f>F1488-E1488</f>
        <v/>
      </c>
      <c r="H1488" s="4">
        <f>IF(E1488=0,"",F1488/E1488-1)</f>
        <v/>
      </c>
      <c r="I1488" t="inlineStr"/>
    </row>
    <row r="1489">
      <c r="A1489" t="inlineStr">
        <is>
          <t>Machinery &amp; electronics</t>
        </is>
      </c>
      <c r="B1489" t="inlineStr">
        <is>
          <t>84</t>
        </is>
      </c>
      <c r="C1489" t="inlineStr">
        <is>
          <t>84439951</t>
        </is>
      </c>
      <c r="D1489" t="inlineStr">
        <is>
          <t>CARTRIDGES OR TONERS, WITH PRINT HEAD ASSEMBLY</t>
        </is>
      </c>
      <c r="E1489" s="3" t="n">
        <v>0.01</v>
      </c>
      <c r="F1489" s="3" t="n">
        <v>0</v>
      </c>
      <c r="G1489" s="3">
        <f>F1489-E1489</f>
        <v/>
      </c>
      <c r="H1489" s="4">
        <f>IF(E1489=0,"",F1489/E1489-1)</f>
        <v/>
      </c>
      <c r="I1489" t="inlineStr"/>
    </row>
    <row r="1490">
      <c r="A1490" t="inlineStr">
        <is>
          <t>Machinery &amp; electronics</t>
        </is>
      </c>
      <c r="B1490" t="inlineStr">
        <is>
          <t>84</t>
        </is>
      </c>
      <c r="C1490" t="inlineStr">
        <is>
          <t>84439952</t>
        </is>
      </c>
      <c r="D1490" t="inlineStr">
        <is>
          <t>CARTRIDGES OR TONERS, WITHOUT PRINT HEAD ASSEMBLY</t>
        </is>
      </c>
      <c r="E1490" s="3" t="n">
        <v>0</v>
      </c>
      <c r="F1490" s="3" t="n">
        <v>0</v>
      </c>
      <c r="G1490" s="3">
        <f>F1490-E1490</f>
        <v/>
      </c>
      <c r="H1490" s="4">
        <f>IF(E1490=0,"",F1490/E1490-1)</f>
        <v/>
      </c>
      <c r="I1490" t="inlineStr"/>
    </row>
    <row r="1491">
      <c r="A1491" t="inlineStr">
        <is>
          <t>Machinery &amp; electronics</t>
        </is>
      </c>
      <c r="B1491" t="inlineStr">
        <is>
          <t>84</t>
        </is>
      </c>
      <c r="C1491" t="inlineStr">
        <is>
          <t>84440010</t>
        </is>
      </c>
      <c r="D1491" t="inlineStr">
        <is>
          <t>MCHNS FR EXTRDNG MAN-MADE TXTL MTRLS</t>
        </is>
      </c>
      <c r="E1491" s="3" t="n">
        <v>0</v>
      </c>
      <c r="F1491" s="3" t="n">
        <v>0</v>
      </c>
      <c r="G1491" s="3">
        <f>F1491-E1491</f>
        <v/>
      </c>
      <c r="H1491" s="4">
        <f>IF(E1491=0,"",F1491/E1491-1)</f>
        <v/>
      </c>
      <c r="I1491" t="inlineStr"/>
    </row>
    <row r="1492">
      <c r="A1492" t="inlineStr">
        <is>
          <t>Machinery &amp; electronics</t>
        </is>
      </c>
      <c r="B1492" t="inlineStr">
        <is>
          <t>84</t>
        </is>
      </c>
      <c r="C1492" t="inlineStr">
        <is>
          <t>84454090</t>
        </is>
      </c>
      <c r="D1492" t="inlineStr">
        <is>
          <t>OTHR TXTL FBRS WINDING AND REELING MACHINES</t>
        </is>
      </c>
      <c r="E1492" s="3" t="n">
        <v>0.02</v>
      </c>
      <c r="F1492" s="3" t="n">
        <v>0</v>
      </c>
      <c r="G1492" s="3">
        <f>F1492-E1492</f>
        <v/>
      </c>
      <c r="H1492" s="4">
        <f>IF(E1492=0,"",F1492/E1492-1)</f>
        <v/>
      </c>
      <c r="I1492" t="inlineStr"/>
    </row>
    <row r="1493">
      <c r="A1493" t="inlineStr">
        <is>
          <t>Machinery &amp; electronics</t>
        </is>
      </c>
      <c r="B1493" t="inlineStr">
        <is>
          <t>84</t>
        </is>
      </c>
      <c r="C1493" t="inlineStr">
        <is>
          <t>84459000</t>
        </is>
      </c>
      <c r="D1493" t="inlineStr">
        <is>
          <t>OTHER TEXTILE MACHINES OF HDG 8445</t>
        </is>
      </c>
      <c r="E1493" s="3" t="n">
        <v>0</v>
      </c>
      <c r="F1493" s="3" t="n">
        <v>0</v>
      </c>
      <c r="G1493" s="3">
        <f>F1493-E1493</f>
        <v/>
      </c>
      <c r="H1493" s="4">
        <f>IF(E1493=0,"",F1493/E1493-1)</f>
        <v/>
      </c>
      <c r="I1493" t="inlineStr"/>
    </row>
    <row r="1494">
      <c r="A1494" t="inlineStr">
        <is>
          <t>Machinery &amp; electronics</t>
        </is>
      </c>
      <c r="B1494" t="inlineStr">
        <is>
          <t>84</t>
        </is>
      </c>
      <c r="C1494" t="inlineStr">
        <is>
          <t>84461011</t>
        </is>
      </c>
      <c r="D1494" t="inlineStr">
        <is>
          <t>COTN WEAVNG MCHNS AUTMTC,POWERLOOM</t>
        </is>
      </c>
      <c r="E1494" s="3" t="n">
        <v>0</v>
      </c>
      <c r="F1494" s="3" t="n">
        <v>0</v>
      </c>
      <c r="G1494" s="3">
        <f>F1494-E1494</f>
        <v/>
      </c>
      <c r="H1494" s="4">
        <f>IF(E1494=0,"",F1494/E1494-1)</f>
        <v/>
      </c>
      <c r="I1494" t="inlineStr"/>
    </row>
    <row r="1495">
      <c r="A1495" t="inlineStr">
        <is>
          <t>Machinery &amp; electronics</t>
        </is>
      </c>
      <c r="B1495" t="inlineStr">
        <is>
          <t>84</t>
        </is>
      </c>
      <c r="C1495" t="inlineStr">
        <is>
          <t>84461019</t>
        </is>
      </c>
      <c r="D1495" t="inlineStr">
        <is>
          <t>OTHER COTTON WEAVING MACHINES</t>
        </is>
      </c>
      <c r="E1495" s="3" t="n">
        <v>0.01</v>
      </c>
      <c r="F1495" s="3" t="n">
        <v>0</v>
      </c>
      <c r="G1495" s="3">
        <f>F1495-E1495</f>
        <v/>
      </c>
      <c r="H1495" s="4">
        <f>IF(E1495=0,"",F1495/E1495-1)</f>
        <v/>
      </c>
      <c r="I1495" t="inlineStr"/>
    </row>
    <row r="1496">
      <c r="A1496" t="inlineStr">
        <is>
          <t>Machinery &amp; electronics</t>
        </is>
      </c>
      <c r="B1496" t="inlineStr">
        <is>
          <t>84</t>
        </is>
      </c>
      <c r="C1496" t="inlineStr">
        <is>
          <t>84461090</t>
        </is>
      </c>
      <c r="D1496" t="inlineStr">
        <is>
          <t>OTHERS-OF-MACHINES FOR WEAVNG FABRCS OF A WDTH&lt;=30CM</t>
        </is>
      </c>
      <c r="E1496" s="3" t="n">
        <v>0</v>
      </c>
      <c r="F1496" s="3" t="n">
        <v>0</v>
      </c>
      <c r="G1496" s="3">
        <f>F1496-E1496</f>
        <v/>
      </c>
      <c r="H1496" s="4">
        <f>IF(E1496=0,"",F1496/E1496-1)</f>
        <v/>
      </c>
      <c r="I1496" t="inlineStr"/>
    </row>
    <row r="1497">
      <c r="A1497" t="inlineStr">
        <is>
          <t>Machinery &amp; electronics</t>
        </is>
      </c>
      <c r="B1497" t="inlineStr">
        <is>
          <t>84</t>
        </is>
      </c>
      <c r="C1497" t="inlineStr">
        <is>
          <t>84462190</t>
        </is>
      </c>
      <c r="D1497" t="inlineStr">
        <is>
          <t>OTHERS-OF-WEAVING MACHINES FOR WEAVING FABRICS OF A WIDTH&gt;30 CM,SHUTTLE TYPE,POWERLOOM</t>
        </is>
      </c>
      <c r="E1497" s="3" t="n">
        <v>0.01</v>
      </c>
      <c r="F1497" s="3" t="n">
        <v>0</v>
      </c>
      <c r="G1497" s="3">
        <f>F1497-E1497</f>
        <v/>
      </c>
      <c r="H1497" s="4">
        <f>IF(E1497=0,"",F1497/E1497-1)</f>
        <v/>
      </c>
      <c r="I1497" t="inlineStr"/>
    </row>
    <row r="1498">
      <c r="A1498" t="inlineStr">
        <is>
          <t>Machinery &amp; electronics</t>
        </is>
      </c>
      <c r="B1498" t="inlineStr">
        <is>
          <t>84</t>
        </is>
      </c>
      <c r="C1498" t="inlineStr">
        <is>
          <t>84462990</t>
        </is>
      </c>
      <c r="D1498" t="inlineStr">
        <is>
          <t>OTHERS-OF-WEAVING MACINES FOR WEAVING FABRICS OF A WIDTH 30 CM,SHUTTLE TYPE,OTHERS</t>
        </is>
      </c>
      <c r="E1498" s="3" t="n">
        <v>0.61</v>
      </c>
      <c r="F1498" s="3" t="n">
        <v>0</v>
      </c>
      <c r="G1498" s="3">
        <f>F1498-E1498</f>
        <v/>
      </c>
      <c r="H1498" s="4">
        <f>IF(E1498=0,"",F1498/E1498-1)</f>
        <v/>
      </c>
      <c r="I1498" t="inlineStr"/>
    </row>
    <row r="1499">
      <c r="A1499" t="inlineStr">
        <is>
          <t>Machinery &amp; electronics</t>
        </is>
      </c>
      <c r="B1499" t="inlineStr">
        <is>
          <t>84</t>
        </is>
      </c>
      <c r="C1499" t="inlineStr">
        <is>
          <t>84463012</t>
        </is>
      </c>
      <c r="D1499" t="inlineStr">
        <is>
          <t>COTN WEAVING MACHINES PLAIN,POWERLOOM</t>
        </is>
      </c>
      <c r="E1499" s="3" t="n">
        <v>0.09</v>
      </c>
      <c r="F1499" s="3" t="n">
        <v>0</v>
      </c>
      <c r="G1499" s="3">
        <f>F1499-E1499</f>
        <v/>
      </c>
      <c r="H1499" s="4">
        <f>IF(E1499=0,"",F1499/E1499-1)</f>
        <v/>
      </c>
      <c r="I1499" t="inlineStr"/>
    </row>
    <row r="1500">
      <c r="A1500" t="inlineStr">
        <is>
          <t>Machinery &amp; electronics</t>
        </is>
      </c>
      <c r="B1500" t="inlineStr">
        <is>
          <t>84</t>
        </is>
      </c>
      <c r="C1500" t="inlineStr">
        <is>
          <t>84463090</t>
        </is>
      </c>
      <c r="D1500" t="inlineStr">
        <is>
          <t>OTHERS-OF-WEAVING MACHINES FOR WEAVING FABRICS OF A WIDTH&gt;30 CM,SHUTTLESS TYPE</t>
        </is>
      </c>
      <c r="E1500" s="3" t="n">
        <v>0.04</v>
      </c>
      <c r="F1500" s="3" t="n">
        <v>0</v>
      </c>
      <c r="G1500" s="3">
        <f>F1500-E1500</f>
        <v/>
      </c>
      <c r="H1500" s="4">
        <f>IF(E1500=0,"",F1500/E1500-1)</f>
        <v/>
      </c>
      <c r="I1500" t="inlineStr"/>
    </row>
    <row r="1501">
      <c r="A1501" t="inlineStr">
        <is>
          <t>Machinery &amp; electronics</t>
        </is>
      </c>
      <c r="B1501" t="inlineStr">
        <is>
          <t>84</t>
        </is>
      </c>
      <c r="C1501" t="inlineStr">
        <is>
          <t>84481190</t>
        </is>
      </c>
      <c r="D1501" t="inlineStr">
        <is>
          <t>OTHER(E.G.CARD REDUCING,COPYING,PUNCHING OR ASSEMBLING MCHNS FR USE THEREWITH</t>
        </is>
      </c>
      <c r="E1501" s="3" t="n">
        <v>0.01</v>
      </c>
      <c r="F1501" s="3" t="n">
        <v>0</v>
      </c>
      <c r="G1501" s="3">
        <f>F1501-E1501</f>
        <v/>
      </c>
      <c r="H1501" s="4">
        <f>IF(E1501=0,"",F1501/E1501-1)</f>
        <v/>
      </c>
      <c r="I1501" t="inlineStr"/>
    </row>
    <row r="1502">
      <c r="A1502" t="inlineStr">
        <is>
          <t>Machinery &amp; electronics</t>
        </is>
      </c>
      <c r="B1502" t="inlineStr">
        <is>
          <t>84</t>
        </is>
      </c>
      <c r="C1502" t="inlineStr">
        <is>
          <t>84483310</t>
        </is>
      </c>
      <c r="D1502" t="inlineStr">
        <is>
          <t>SPNDLS ETC FR COTN SPNG MCHNS</t>
        </is>
      </c>
      <c r="E1502" s="3" t="n">
        <v>1.32</v>
      </c>
      <c r="F1502" s="3" t="n">
        <v>0</v>
      </c>
      <c r="G1502" s="3">
        <f>F1502-E1502</f>
        <v/>
      </c>
      <c r="H1502" s="4">
        <f>IF(E1502=0,"",F1502/E1502-1)</f>
        <v/>
      </c>
      <c r="I1502" t="inlineStr"/>
    </row>
    <row r="1503">
      <c r="A1503" t="inlineStr">
        <is>
          <t>Machinery &amp; electronics</t>
        </is>
      </c>
      <c r="B1503" t="inlineStr">
        <is>
          <t>84</t>
        </is>
      </c>
      <c r="C1503" t="inlineStr">
        <is>
          <t>84484220</t>
        </is>
      </c>
      <c r="D1503" t="inlineStr">
        <is>
          <t>HEALDS,WIRE</t>
        </is>
      </c>
      <c r="E1503" s="3" t="n">
        <v>0</v>
      </c>
      <c r="F1503" s="3" t="n">
        <v>0</v>
      </c>
      <c r="G1503" s="3">
        <f>F1503-E1503</f>
        <v/>
      </c>
      <c r="H1503" s="4">
        <f>IF(E1503=0,"",F1503/E1503-1)</f>
        <v/>
      </c>
      <c r="I1503" t="inlineStr"/>
    </row>
    <row r="1504">
      <c r="A1504" t="inlineStr">
        <is>
          <t>Machinery &amp; electronics</t>
        </is>
      </c>
      <c r="B1504" t="inlineStr">
        <is>
          <t>84</t>
        </is>
      </c>
      <c r="C1504" t="inlineStr">
        <is>
          <t>84484290</t>
        </is>
      </c>
      <c r="D1504" t="inlineStr">
        <is>
          <t>HEALDS AND HEALD LIFTERS, N.E.S.</t>
        </is>
      </c>
      <c r="E1504" s="3" t="n">
        <v>0</v>
      </c>
      <c r="F1504" s="3" t="n">
        <v>0</v>
      </c>
      <c r="G1504" s="3">
        <f>F1504-E1504</f>
        <v/>
      </c>
      <c r="H1504" s="4">
        <f>IF(E1504=0,"",F1504/E1504-1)</f>
        <v/>
      </c>
      <c r="I1504" t="inlineStr"/>
    </row>
    <row r="1505">
      <c r="A1505" t="inlineStr">
        <is>
          <t>Machinery &amp; electronics</t>
        </is>
      </c>
      <c r="B1505" t="inlineStr">
        <is>
          <t>84</t>
        </is>
      </c>
      <c r="C1505" t="inlineStr">
        <is>
          <t>84501200</t>
        </is>
      </c>
      <c r="D1505" t="inlineStr">
        <is>
          <t>OTHR MCHNS,WTH BUILT-IN CNTRFGL DRIER OF A DRY LINEN CAPACITY NOT EXCDNG 10 KG</t>
        </is>
      </c>
      <c r="E1505" s="3" t="n">
        <v>0.59</v>
      </c>
      <c r="F1505" s="3" t="n">
        <v>0</v>
      </c>
      <c r="G1505" s="3">
        <f>F1505-E1505</f>
        <v/>
      </c>
      <c r="H1505" s="4">
        <f>IF(E1505=0,"",F1505/E1505-1)</f>
        <v/>
      </c>
      <c r="I1505" t="inlineStr"/>
    </row>
    <row r="1506">
      <c r="A1506" t="inlineStr">
        <is>
          <t>Machinery &amp; electronics</t>
        </is>
      </c>
      <c r="B1506" t="inlineStr">
        <is>
          <t>84</t>
        </is>
      </c>
      <c r="C1506" t="inlineStr">
        <is>
          <t>84502000</t>
        </is>
      </c>
      <c r="D1506" t="inlineStr">
        <is>
          <t>MCHNS EACH OF A DRY LINEN CAPCTY&gt;10 KG</t>
        </is>
      </c>
      <c r="E1506" s="3" t="n">
        <v>1.64</v>
      </c>
      <c r="F1506" s="3" t="n">
        <v>0</v>
      </c>
      <c r="G1506" s="3">
        <f>F1506-E1506</f>
        <v/>
      </c>
      <c r="H1506" s="4">
        <f>IF(E1506=0,"",F1506/E1506-1)</f>
        <v/>
      </c>
      <c r="I1506" t="inlineStr"/>
    </row>
    <row r="1507">
      <c r="A1507" t="inlineStr">
        <is>
          <t>Machinery &amp; electronics</t>
        </is>
      </c>
      <c r="B1507" t="inlineStr">
        <is>
          <t>84</t>
        </is>
      </c>
      <c r="C1507" t="inlineStr">
        <is>
          <t>84509090</t>
        </is>
      </c>
      <c r="D1507" t="inlineStr">
        <is>
          <t>0THER PARTS OF HOUSEHOLD LAUNDRY TYPE MCHN</t>
        </is>
      </c>
      <c r="E1507" s="3" t="n">
        <v>0</v>
      </c>
      <c r="F1507" s="3" t="n">
        <v>0</v>
      </c>
      <c r="G1507" s="3">
        <f>F1507-E1507</f>
        <v/>
      </c>
      <c r="H1507" s="4">
        <f>IF(E1507=0,"",F1507/E1507-1)</f>
        <v/>
      </c>
      <c r="I1507" t="inlineStr"/>
    </row>
    <row r="1508">
      <c r="A1508" t="inlineStr">
        <is>
          <t>Machinery &amp; electronics</t>
        </is>
      </c>
      <c r="B1508" t="inlineStr">
        <is>
          <t>84</t>
        </is>
      </c>
      <c r="C1508" t="inlineStr">
        <is>
          <t>84518090</t>
        </is>
      </c>
      <c r="D1508" t="inlineStr">
        <is>
          <t>OTHER MACHINERY OF HDG 8451</t>
        </is>
      </c>
      <c r="E1508" s="3" t="n">
        <v>0.03</v>
      </c>
      <c r="F1508" s="3" t="n">
        <v>0</v>
      </c>
      <c r="G1508" s="3">
        <f>F1508-E1508</f>
        <v/>
      </c>
      <c r="H1508" s="4">
        <f>IF(E1508=0,"",F1508/E1508-1)</f>
        <v/>
      </c>
      <c r="I1508" t="inlineStr"/>
    </row>
    <row r="1509">
      <c r="A1509" t="inlineStr">
        <is>
          <t>Machinery &amp; electronics</t>
        </is>
      </c>
      <c r="B1509" t="inlineStr">
        <is>
          <t>84</t>
        </is>
      </c>
      <c r="C1509" t="inlineStr">
        <is>
          <t>84521011</t>
        </is>
      </c>
      <c r="D1509" t="inlineStr">
        <is>
          <t>SEWNG MCHNS HH TYPE CMPLTE WTH TABLE WTH ELEC. CONTROL</t>
        </is>
      </c>
      <c r="E1509" s="3" t="n">
        <v>0.02</v>
      </c>
      <c r="F1509" s="3" t="n">
        <v>0</v>
      </c>
      <c r="G1509" s="3">
        <f>F1509-E1509</f>
        <v/>
      </c>
      <c r="H1509" s="4">
        <f>IF(E1509=0,"",F1509/E1509-1)</f>
        <v/>
      </c>
      <c r="I1509" t="inlineStr"/>
    </row>
    <row r="1510">
      <c r="A1510" t="inlineStr">
        <is>
          <t>Machinery &amp; electronics</t>
        </is>
      </c>
      <c r="B1510" t="inlineStr">
        <is>
          <t>84</t>
        </is>
      </c>
      <c r="C1510" t="inlineStr">
        <is>
          <t>84521019</t>
        </is>
      </c>
      <c r="D1510" t="inlineStr">
        <is>
          <t>OTHER SEWNG MCHNS HH TYPE CMPLTE WTH TABLE</t>
        </is>
      </c>
      <c r="E1510" s="3" t="n">
        <v>0.01</v>
      </c>
      <c r="F1510" s="3" t="n">
        <v>0</v>
      </c>
      <c r="G1510" s="3">
        <f>F1510-E1510</f>
        <v/>
      </c>
      <c r="H1510" s="4">
        <f>IF(E1510=0,"",F1510/E1510-1)</f>
        <v/>
      </c>
      <c r="I1510" t="inlineStr"/>
    </row>
    <row r="1511">
      <c r="A1511" t="inlineStr">
        <is>
          <t>Machinery &amp; electronics</t>
        </is>
      </c>
      <c r="B1511" t="inlineStr">
        <is>
          <t>84</t>
        </is>
      </c>
      <c r="C1511" t="inlineStr">
        <is>
          <t>84521021</t>
        </is>
      </c>
      <c r="D1511" t="inlineStr">
        <is>
          <t>SEWNG MCHNS HH TYPE WTHOUT TABLE WTH ELEC. CONTROL</t>
        </is>
      </c>
      <c r="E1511" s="3" t="n">
        <v>0</v>
      </c>
      <c r="F1511" s="3" t="n">
        <v>0</v>
      </c>
      <c r="G1511" s="3">
        <f>F1511-E1511</f>
        <v/>
      </c>
      <c r="H1511" s="4">
        <f>IF(E1511=0,"",F1511/E1511-1)</f>
        <v/>
      </c>
      <c r="I1511" t="inlineStr"/>
    </row>
    <row r="1512">
      <c r="A1512" t="inlineStr">
        <is>
          <t>Machinery &amp; electronics</t>
        </is>
      </c>
      <c r="B1512" t="inlineStr">
        <is>
          <t>84</t>
        </is>
      </c>
      <c r="C1512" t="inlineStr">
        <is>
          <t>84521029</t>
        </is>
      </c>
      <c r="D1512" t="inlineStr">
        <is>
          <t>OTHER SEWNG MCHNS HH TYPE WTHOUT TABLE</t>
        </is>
      </c>
      <c r="E1512" s="3" t="n">
        <v>0</v>
      </c>
      <c r="F1512" s="3" t="n">
        <v>0</v>
      </c>
      <c r="G1512" s="3">
        <f>F1512-E1512</f>
        <v/>
      </c>
      <c r="H1512" s="4">
        <f>IF(E1512=0,"",F1512/E1512-1)</f>
        <v/>
      </c>
      <c r="I1512" t="inlineStr"/>
    </row>
    <row r="1513">
      <c r="A1513" t="inlineStr">
        <is>
          <t>Machinery &amp; electronics</t>
        </is>
      </c>
      <c r="B1513" t="inlineStr">
        <is>
          <t>84</t>
        </is>
      </c>
      <c r="C1513" t="inlineStr">
        <is>
          <t>84522120</t>
        </is>
      </c>
      <c r="D1513" t="inlineStr">
        <is>
          <t>OTHER AUTMATIC SEWNG MCHNS WTH ELCC CNTRL</t>
        </is>
      </c>
      <c r="E1513" s="3" t="n">
        <v>0.01</v>
      </c>
      <c r="F1513" s="3" t="n">
        <v>0</v>
      </c>
      <c r="G1513" s="3">
        <f>F1513-E1513</f>
        <v/>
      </c>
      <c r="H1513" s="4">
        <f>IF(E1513=0,"",F1513/E1513-1)</f>
        <v/>
      </c>
      <c r="I1513" t="inlineStr"/>
    </row>
    <row r="1514">
      <c r="A1514" t="inlineStr">
        <is>
          <t>Machinery &amp; electronics</t>
        </is>
      </c>
      <c r="B1514" t="inlineStr">
        <is>
          <t>84</t>
        </is>
      </c>
      <c r="C1514" t="inlineStr">
        <is>
          <t>84522190</t>
        </is>
      </c>
      <c r="D1514" t="inlineStr">
        <is>
          <t>OTHER AUTMATIC SEWNG MCHNS</t>
        </is>
      </c>
      <c r="E1514" s="3" t="n">
        <v>0</v>
      </c>
      <c r="F1514" s="3" t="n">
        <v>0</v>
      </c>
      <c r="G1514" s="3">
        <f>F1514-E1514</f>
        <v/>
      </c>
      <c r="H1514" s="4">
        <f>IF(E1514=0,"",F1514/E1514-1)</f>
        <v/>
      </c>
      <c r="I1514" t="inlineStr"/>
    </row>
    <row r="1515">
      <c r="A1515" t="inlineStr">
        <is>
          <t>Machinery &amp; electronics</t>
        </is>
      </c>
      <c r="B1515" t="inlineStr">
        <is>
          <t>84</t>
        </is>
      </c>
      <c r="C1515" t="inlineStr">
        <is>
          <t>84523090</t>
        </is>
      </c>
      <c r="D1515" t="inlineStr">
        <is>
          <t>NEEDLES FR OTHER TYPE SEWNG MCHNS</t>
        </is>
      </c>
      <c r="E1515" s="3" t="n">
        <v>0</v>
      </c>
      <c r="F1515" s="3" t="n">
        <v>0</v>
      </c>
      <c r="G1515" s="3">
        <f>F1515-E1515</f>
        <v/>
      </c>
      <c r="H1515" s="4">
        <f>IF(E1515=0,"",F1515/E1515-1)</f>
        <v/>
      </c>
      <c r="I1515" t="inlineStr"/>
    </row>
    <row r="1516">
      <c r="A1516" t="inlineStr">
        <is>
          <t>Machinery &amp; electronics</t>
        </is>
      </c>
      <c r="B1516" t="inlineStr">
        <is>
          <t>84</t>
        </is>
      </c>
      <c r="C1516" t="inlineStr">
        <is>
          <t>84529011</t>
        </is>
      </c>
      <c r="D1516" t="inlineStr">
        <is>
          <t>FURNITURE, BASES AND COVERS</t>
        </is>
      </c>
      <c r="E1516" s="3" t="n">
        <v>0.12</v>
      </c>
      <c r="F1516" s="3" t="n">
        <v>0</v>
      </c>
      <c r="G1516" s="3">
        <f>F1516-E1516</f>
        <v/>
      </c>
      <c r="H1516" s="4">
        <f>IF(E1516=0,"",F1516/E1516-1)</f>
        <v/>
      </c>
      <c r="I1516" t="inlineStr"/>
    </row>
    <row r="1517">
      <c r="A1517" t="inlineStr">
        <is>
          <t>Machinery &amp; electronics</t>
        </is>
      </c>
      <c r="B1517" t="inlineStr">
        <is>
          <t>84</t>
        </is>
      </c>
      <c r="C1517" t="inlineStr">
        <is>
          <t>84529019</t>
        </is>
      </c>
      <c r="D1517" t="inlineStr">
        <is>
          <t>PARTS OF FURNITURE, BASES AND COVER FOR SEWING MACHINES</t>
        </is>
      </c>
      <c r="E1517" s="3" t="n">
        <v>0.03</v>
      </c>
      <c r="F1517" s="3" t="n">
        <v>0</v>
      </c>
      <c r="G1517" s="3">
        <f>F1517-E1517</f>
        <v/>
      </c>
      <c r="H1517" s="4">
        <f>IF(E1517=0,"",F1517/E1517-1)</f>
        <v/>
      </c>
      <c r="I1517" t="inlineStr"/>
    </row>
    <row r="1518">
      <c r="A1518" t="inlineStr">
        <is>
          <t>Machinery &amp; electronics</t>
        </is>
      </c>
      <c r="B1518" t="inlineStr">
        <is>
          <t>84</t>
        </is>
      </c>
      <c r="C1518" t="inlineStr">
        <is>
          <t>84529091</t>
        </is>
      </c>
      <c r="D1518" t="inlineStr">
        <is>
          <t>OF HOUSEHOLD SEWING MACHINES</t>
        </is>
      </c>
      <c r="E1518" s="3" t="n">
        <v>0</v>
      </c>
      <c r="F1518" s="3" t="n">
        <v>0</v>
      </c>
      <c r="G1518" s="3">
        <f>F1518-E1518</f>
        <v/>
      </c>
      <c r="H1518" s="4">
        <f>IF(E1518=0,"",F1518/E1518-1)</f>
        <v/>
      </c>
      <c r="I1518" t="inlineStr"/>
    </row>
    <row r="1519">
      <c r="A1519" t="inlineStr">
        <is>
          <t>Machinery &amp; electronics</t>
        </is>
      </c>
      <c r="B1519" t="inlineStr">
        <is>
          <t>84</t>
        </is>
      </c>
      <c r="C1519" t="inlineStr">
        <is>
          <t>84532000</t>
        </is>
      </c>
      <c r="D1519" t="inlineStr">
        <is>
          <t>MACHINERY FOR MAKING/REPAIRING FOOT-WEAR</t>
        </is>
      </c>
      <c r="E1519" s="3" t="n">
        <v>0</v>
      </c>
      <c r="F1519" s="3" t="n">
        <v>0</v>
      </c>
      <c r="G1519" s="3">
        <f>F1519-E1519</f>
        <v/>
      </c>
      <c r="H1519" s="4">
        <f>IF(E1519=0,"",F1519/E1519-1)</f>
        <v/>
      </c>
      <c r="I1519" t="inlineStr"/>
    </row>
    <row r="1520">
      <c r="A1520" t="inlineStr">
        <is>
          <t>Machinery &amp; electronics</t>
        </is>
      </c>
      <c r="B1520" t="inlineStr">
        <is>
          <t>84</t>
        </is>
      </c>
      <c r="C1520" t="inlineStr">
        <is>
          <t>84541000</t>
        </is>
      </c>
      <c r="D1520" t="inlineStr">
        <is>
          <t>CONVERTERS</t>
        </is>
      </c>
      <c r="E1520" s="3" t="n">
        <v>0.04</v>
      </c>
      <c r="F1520" s="3" t="n">
        <v>0</v>
      </c>
      <c r="G1520" s="3">
        <f>F1520-E1520</f>
        <v/>
      </c>
      <c r="H1520" s="4">
        <f>IF(E1520=0,"",F1520/E1520-1)</f>
        <v/>
      </c>
      <c r="I1520" t="inlineStr"/>
    </row>
    <row r="1521">
      <c r="A1521" t="inlineStr">
        <is>
          <t>Machinery &amp; electronics</t>
        </is>
      </c>
      <c r="B1521" t="inlineStr">
        <is>
          <t>84</t>
        </is>
      </c>
      <c r="C1521" t="inlineStr">
        <is>
          <t>84552110</t>
        </is>
      </c>
      <c r="D1521" t="inlineStr">
        <is>
          <t>HOT ROLLING MILLS</t>
        </is>
      </c>
      <c r="E1521" s="3" t="n">
        <v>6.27</v>
      </c>
      <c r="F1521" s="3" t="n">
        <v>0</v>
      </c>
      <c r="G1521" s="3">
        <f>F1521-E1521</f>
        <v/>
      </c>
      <c r="H1521" s="4">
        <f>IF(E1521=0,"",F1521/E1521-1)</f>
        <v/>
      </c>
      <c r="I1521" t="inlineStr"/>
    </row>
    <row r="1522">
      <c r="A1522" t="inlineStr">
        <is>
          <t>Machinery &amp; electronics</t>
        </is>
      </c>
      <c r="B1522" t="inlineStr">
        <is>
          <t>84</t>
        </is>
      </c>
      <c r="C1522" t="inlineStr">
        <is>
          <t>84571020</t>
        </is>
      </c>
      <c r="D1522" t="inlineStr">
        <is>
          <t>MACHINING CENTRES - VERTICAL</t>
        </is>
      </c>
      <c r="E1522" s="3" t="n">
        <v>0.75</v>
      </c>
      <c r="F1522" s="3" t="n">
        <v>0</v>
      </c>
      <c r="G1522" s="3">
        <f>F1522-E1522</f>
        <v/>
      </c>
      <c r="H1522" s="4">
        <f>IF(E1522=0,"",F1522/E1522-1)</f>
        <v/>
      </c>
      <c r="I1522" t="inlineStr"/>
    </row>
    <row r="1523">
      <c r="A1523" t="inlineStr">
        <is>
          <t>Machinery &amp; electronics</t>
        </is>
      </c>
      <c r="B1523" t="inlineStr">
        <is>
          <t>84</t>
        </is>
      </c>
      <c r="C1523" t="inlineStr">
        <is>
          <t>84589910</t>
        </is>
      </c>
      <c r="D1523" t="inlineStr">
        <is>
          <t>AUTOMATIC, MULTI-SPINDLE BAR</t>
        </is>
      </c>
      <c r="E1523" s="3" t="n">
        <v>0.01</v>
      </c>
      <c r="F1523" s="3" t="n">
        <v>0</v>
      </c>
      <c r="G1523" s="3">
        <f>F1523-E1523</f>
        <v/>
      </c>
      <c r="H1523" s="4">
        <f>IF(E1523=0,"",F1523/E1523-1)</f>
        <v/>
      </c>
      <c r="I1523" t="inlineStr"/>
    </row>
    <row r="1524">
      <c r="A1524" t="inlineStr">
        <is>
          <t>Machinery &amp; electronics</t>
        </is>
      </c>
      <c r="B1524" t="inlineStr">
        <is>
          <t>84</t>
        </is>
      </c>
      <c r="C1524" t="inlineStr">
        <is>
          <t>84592100</t>
        </is>
      </c>
      <c r="D1524" t="inlineStr">
        <is>
          <t>DRILLING MCHNS, NUMERICALLY CONTROLLED</t>
        </is>
      </c>
      <c r="E1524" s="3" t="n">
        <v>0.14</v>
      </c>
      <c r="F1524" s="3" t="n">
        <v>0</v>
      </c>
      <c r="G1524" s="3">
        <f>F1524-E1524</f>
        <v/>
      </c>
      <c r="H1524" s="4">
        <f>IF(E1524=0,"",F1524/E1524-1)</f>
        <v/>
      </c>
      <c r="I1524" t="inlineStr"/>
    </row>
    <row r="1525">
      <c r="A1525" t="inlineStr">
        <is>
          <t>Machinery &amp; electronics</t>
        </is>
      </c>
      <c r="B1525" t="inlineStr">
        <is>
          <t>84</t>
        </is>
      </c>
      <c r="C1525" t="inlineStr">
        <is>
          <t>84592910</t>
        </is>
      </c>
      <c r="D1525" t="inlineStr">
        <is>
          <t>BENCH AND PILLER</t>
        </is>
      </c>
      <c r="E1525" s="3" t="n">
        <v>0.03</v>
      </c>
      <c r="F1525" s="3" t="n">
        <v>0</v>
      </c>
      <c r="G1525" s="3">
        <f>F1525-E1525</f>
        <v/>
      </c>
      <c r="H1525" s="4">
        <f>IF(E1525=0,"",F1525/E1525-1)</f>
        <v/>
      </c>
      <c r="I1525" t="inlineStr"/>
    </row>
    <row r="1526">
      <c r="A1526" t="inlineStr">
        <is>
          <t>Machinery &amp; electronics</t>
        </is>
      </c>
      <c r="B1526" t="inlineStr">
        <is>
          <t>84</t>
        </is>
      </c>
      <c r="C1526" t="inlineStr">
        <is>
          <t>84594130</t>
        </is>
      </c>
      <c r="D1526" t="inlineStr">
        <is>
          <t>FINE BORING MACHINES, VERTICAL</t>
        </is>
      </c>
      <c r="E1526" s="3" t="n">
        <v>0.12</v>
      </c>
      <c r="F1526" s="3" t="n">
        <v>0</v>
      </c>
      <c r="G1526" s="3">
        <f>F1526-E1526</f>
        <v/>
      </c>
      <c r="H1526" s="4">
        <f>IF(E1526=0,"",F1526/E1526-1)</f>
        <v/>
      </c>
      <c r="I1526" t="inlineStr"/>
    </row>
    <row r="1527">
      <c r="A1527" t="inlineStr">
        <is>
          <t>Machinery &amp; electronics</t>
        </is>
      </c>
      <c r="B1527" t="inlineStr">
        <is>
          <t>84</t>
        </is>
      </c>
      <c r="C1527" t="inlineStr">
        <is>
          <t>84594190</t>
        </is>
      </c>
      <c r="D1527" t="inlineStr">
        <is>
          <t>OTHERS-OF-NUMERICALLY CONTROLLED BORING MACHINES</t>
        </is>
      </c>
      <c r="E1527" s="3" t="n">
        <v>0.1</v>
      </c>
      <c r="F1527" s="3" t="n">
        <v>0</v>
      </c>
      <c r="G1527" s="3">
        <f>F1527-E1527</f>
        <v/>
      </c>
      <c r="H1527" s="4">
        <f>IF(E1527=0,"",F1527/E1527-1)</f>
        <v/>
      </c>
      <c r="I1527" t="inlineStr"/>
    </row>
    <row r="1528">
      <c r="A1528" t="inlineStr">
        <is>
          <t>Machinery &amp; electronics</t>
        </is>
      </c>
      <c r="B1528" t="inlineStr">
        <is>
          <t>84</t>
        </is>
      </c>
      <c r="C1528" t="inlineStr">
        <is>
          <t>84595120</t>
        </is>
      </c>
      <c r="D1528" t="inlineStr">
        <is>
          <t>VERTICAL</t>
        </is>
      </c>
      <c r="E1528" s="3" t="n">
        <v>0.01</v>
      </c>
      <c r="F1528" s="3" t="n">
        <v>0</v>
      </c>
      <c r="G1528" s="3">
        <f>F1528-E1528</f>
        <v/>
      </c>
      <c r="H1528" s="4">
        <f>IF(E1528=0,"",F1528/E1528-1)</f>
        <v/>
      </c>
      <c r="I1528" t="inlineStr"/>
    </row>
    <row r="1529">
      <c r="A1529" t="inlineStr">
        <is>
          <t>Machinery &amp; electronics</t>
        </is>
      </c>
      <c r="B1529" t="inlineStr">
        <is>
          <t>84</t>
        </is>
      </c>
      <c r="C1529" t="inlineStr">
        <is>
          <t>84595190</t>
        </is>
      </c>
      <c r="D1529" t="inlineStr">
        <is>
          <t>OTHER NUMRCLY CNTRLD KNEE-TP MILLNG MACHNS</t>
        </is>
      </c>
      <c r="E1529" s="3" t="n">
        <v>0.01</v>
      </c>
      <c r="F1529" s="3" t="n">
        <v>0</v>
      </c>
      <c r="G1529" s="3">
        <f>F1529-E1529</f>
        <v/>
      </c>
      <c r="H1529" s="4">
        <f>IF(E1529=0,"",F1529/E1529-1)</f>
        <v/>
      </c>
      <c r="I1529" t="inlineStr"/>
    </row>
    <row r="1530">
      <c r="A1530" t="inlineStr">
        <is>
          <t>Machinery &amp; electronics</t>
        </is>
      </c>
      <c r="B1530" t="inlineStr">
        <is>
          <t>84</t>
        </is>
      </c>
      <c r="C1530" t="inlineStr">
        <is>
          <t>84596190</t>
        </is>
      </c>
      <c r="D1530" t="inlineStr">
        <is>
          <t>OTHERS-OF-OTHER MILLING MACHINES,NUMRCLY CNTRLLD</t>
        </is>
      </c>
      <c r="E1530" s="3" t="n">
        <v>0.13</v>
      </c>
      <c r="F1530" s="3" t="n">
        <v>0</v>
      </c>
      <c r="G1530" s="3">
        <f>F1530-E1530</f>
        <v/>
      </c>
      <c r="H1530" s="4">
        <f>IF(E1530=0,"",F1530/E1530-1)</f>
        <v/>
      </c>
      <c r="I1530" t="inlineStr"/>
    </row>
    <row r="1531">
      <c r="A1531" t="inlineStr">
        <is>
          <t>Machinery &amp; electronics</t>
        </is>
      </c>
      <c r="B1531" t="inlineStr">
        <is>
          <t>84</t>
        </is>
      </c>
      <c r="C1531" t="inlineStr">
        <is>
          <t>84601200</t>
        </is>
      </c>
      <c r="D1531" t="inlineStr">
        <is>
          <t>FLAT-SURFACE GRINDING MACHINES NUMERICALLY CONTROLLED</t>
        </is>
      </c>
      <c r="E1531" s="3" t="n">
        <v>0.04</v>
      </c>
      <c r="F1531" s="3" t="n">
        <v>0</v>
      </c>
      <c r="G1531" s="3">
        <f>F1531-E1531</f>
        <v/>
      </c>
      <c r="H1531" s="4">
        <f>IF(E1531=0,"",F1531/E1531-1)</f>
        <v/>
      </c>
      <c r="I1531" t="inlineStr"/>
    </row>
    <row r="1532">
      <c r="A1532" t="inlineStr">
        <is>
          <t>Machinery &amp; electronics</t>
        </is>
      </c>
      <c r="B1532" t="inlineStr">
        <is>
          <t>84</t>
        </is>
      </c>
      <c r="C1532" t="inlineStr">
        <is>
          <t>84602910</t>
        </is>
      </c>
      <c r="D1532" t="inlineStr">
        <is>
          <t>CYLINDRICAL GRINDERS</t>
        </is>
      </c>
      <c r="E1532" s="3" t="n">
        <v>0</v>
      </c>
      <c r="F1532" s="3" t="n">
        <v>0</v>
      </c>
      <c r="G1532" s="3">
        <f>F1532-E1532</f>
        <v/>
      </c>
      <c r="H1532" s="4">
        <f>IF(E1532=0,"",F1532/E1532-1)</f>
        <v/>
      </c>
      <c r="I1532" t="inlineStr"/>
    </row>
    <row r="1533">
      <c r="A1533" t="inlineStr">
        <is>
          <t>Machinery &amp; electronics</t>
        </is>
      </c>
      <c r="B1533" t="inlineStr">
        <is>
          <t>84</t>
        </is>
      </c>
      <c r="C1533" t="inlineStr">
        <is>
          <t>84604011</t>
        </is>
      </c>
      <c r="D1533" t="inlineStr">
        <is>
          <t>HONING,VERTICAL,SINGLE SPINDLE</t>
        </is>
      </c>
      <c r="E1533" s="3" t="n">
        <v>0.08</v>
      </c>
      <c r="F1533" s="3" t="n">
        <v>0</v>
      </c>
      <c r="G1533" s="3">
        <f>F1533-E1533</f>
        <v/>
      </c>
      <c r="H1533" s="4">
        <f>IF(E1533=0,"",F1533/E1533-1)</f>
        <v/>
      </c>
      <c r="I1533" t="inlineStr"/>
    </row>
    <row r="1534">
      <c r="A1534" t="inlineStr">
        <is>
          <t>Machinery &amp; electronics</t>
        </is>
      </c>
      <c r="B1534" t="inlineStr">
        <is>
          <t>84</t>
        </is>
      </c>
      <c r="C1534" t="inlineStr">
        <is>
          <t>84604019</t>
        </is>
      </c>
      <c r="D1534" t="inlineStr">
        <is>
          <t>OTHR HONING MACHINES</t>
        </is>
      </c>
      <c r="E1534" s="3" t="n">
        <v>0</v>
      </c>
      <c r="F1534" s="3" t="n">
        <v>0</v>
      </c>
      <c r="G1534" s="3">
        <f>F1534-E1534</f>
        <v/>
      </c>
      <c r="H1534" s="4">
        <f>IF(E1534=0,"",F1534/E1534-1)</f>
        <v/>
      </c>
      <c r="I1534" t="inlineStr"/>
    </row>
    <row r="1535">
      <c r="A1535" t="inlineStr">
        <is>
          <t>Machinery &amp; electronics</t>
        </is>
      </c>
      <c r="B1535" t="inlineStr">
        <is>
          <t>84</t>
        </is>
      </c>
      <c r="C1535" t="inlineStr">
        <is>
          <t>84613090</t>
        </is>
      </c>
      <c r="D1535" t="inlineStr">
        <is>
          <t>OTHER BROACHING MACHINES</t>
        </is>
      </c>
      <c r="E1535" s="3" t="n">
        <v>0.07000000000000001</v>
      </c>
      <c r="F1535" s="3" t="n">
        <v>0</v>
      </c>
      <c r="G1535" s="3">
        <f>F1535-E1535</f>
        <v/>
      </c>
      <c r="H1535" s="4">
        <f>IF(E1535=0,"",F1535/E1535-1)</f>
        <v/>
      </c>
      <c r="I1535" t="inlineStr"/>
    </row>
    <row r="1536">
      <c r="A1536" t="inlineStr">
        <is>
          <t>Machinery &amp; electronics</t>
        </is>
      </c>
      <c r="B1536" t="inlineStr">
        <is>
          <t>84</t>
        </is>
      </c>
      <c r="C1536" t="inlineStr">
        <is>
          <t>84614011</t>
        </is>
      </c>
      <c r="D1536" t="inlineStr">
        <is>
          <t>GEAR CUTTING BEVEL</t>
        </is>
      </c>
      <c r="E1536" s="3" t="n">
        <v>0</v>
      </c>
      <c r="F1536" s="3" t="n">
        <v>0</v>
      </c>
      <c r="G1536" s="3">
        <f>F1536-E1536</f>
        <v/>
      </c>
      <c r="H1536" s="4">
        <f>IF(E1536=0,"",F1536/E1536-1)</f>
        <v/>
      </c>
      <c r="I1536" t="inlineStr"/>
    </row>
    <row r="1537">
      <c r="A1537" t="inlineStr">
        <is>
          <t>Machinery &amp; electronics</t>
        </is>
      </c>
      <c r="B1537" t="inlineStr">
        <is>
          <t>84</t>
        </is>
      </c>
      <c r="C1537" t="inlineStr">
        <is>
          <t>84614019</t>
        </is>
      </c>
      <c r="D1537" t="inlineStr">
        <is>
          <t>GEAR CUTNG AND GNRTNG MCHNS N.E.S.</t>
        </is>
      </c>
      <c r="E1537" s="3" t="n">
        <v>0.02</v>
      </c>
      <c r="F1537" s="3" t="n">
        <v>0</v>
      </c>
      <c r="G1537" s="3">
        <f>F1537-E1537</f>
        <v/>
      </c>
      <c r="H1537" s="4">
        <f>IF(E1537=0,"",F1537/E1537-1)</f>
        <v/>
      </c>
      <c r="I1537" t="inlineStr"/>
    </row>
    <row r="1538">
      <c r="A1538" t="inlineStr">
        <is>
          <t>Machinery &amp; electronics</t>
        </is>
      </c>
      <c r="B1538" t="inlineStr">
        <is>
          <t>84</t>
        </is>
      </c>
      <c r="C1538" t="inlineStr">
        <is>
          <t>84614029</t>
        </is>
      </c>
      <c r="D1538" t="inlineStr">
        <is>
          <t>OTHR GEAR FINISHING MACHINES</t>
        </is>
      </c>
      <c r="E1538" s="3" t="n">
        <v>0</v>
      </c>
      <c r="F1538" s="3" t="n">
        <v>0</v>
      </c>
      <c r="G1538" s="3">
        <f>F1538-E1538</f>
        <v/>
      </c>
      <c r="H1538" s="4">
        <f>IF(E1538=0,"",F1538/E1538-1)</f>
        <v/>
      </c>
      <c r="I1538" t="inlineStr"/>
    </row>
    <row r="1539">
      <c r="A1539" t="inlineStr">
        <is>
          <t>Machinery &amp; electronics</t>
        </is>
      </c>
      <c r="B1539" t="inlineStr">
        <is>
          <t>84</t>
        </is>
      </c>
      <c r="C1539" t="inlineStr">
        <is>
          <t>84615021</t>
        </is>
      </c>
      <c r="D1539" t="inlineStr">
        <is>
          <t>ABRASIVE WHEEL CUTTING-OFF MACHINES</t>
        </is>
      </c>
      <c r="E1539" s="3" t="n">
        <v>0.01</v>
      </c>
      <c r="F1539" s="3" t="n">
        <v>0</v>
      </c>
      <c r="G1539" s="3">
        <f>F1539-E1539</f>
        <v/>
      </c>
      <c r="H1539" s="4">
        <f>IF(E1539=0,"",F1539/E1539-1)</f>
        <v/>
      </c>
      <c r="I1539" t="inlineStr"/>
    </row>
    <row r="1540">
      <c r="A1540" t="inlineStr">
        <is>
          <t>Machinery &amp; electronics</t>
        </is>
      </c>
      <c r="B1540" t="inlineStr">
        <is>
          <t>84</t>
        </is>
      </c>
      <c r="C1540" t="inlineStr">
        <is>
          <t>84623900</t>
        </is>
      </c>
      <c r="D1540" t="inlineStr">
        <is>
          <t>OTHERS-OF-OTHR SHEARING MCHNS(INCL PRSSES)</t>
        </is>
      </c>
      <c r="E1540" s="3" t="n">
        <v>0.37</v>
      </c>
      <c r="F1540" s="3" t="n">
        <v>0</v>
      </c>
      <c r="G1540" s="3">
        <f>F1540-E1540</f>
        <v/>
      </c>
      <c r="H1540" s="4">
        <f>IF(E1540=0,"",F1540/E1540-1)</f>
        <v/>
      </c>
      <c r="I1540" t="inlineStr"/>
    </row>
    <row r="1541">
      <c r="A1541" t="inlineStr">
        <is>
          <t>Machinery &amp; electronics</t>
        </is>
      </c>
      <c r="B1541" t="inlineStr">
        <is>
          <t>84</t>
        </is>
      </c>
      <c r="C1541" t="inlineStr">
        <is>
          <t>84631010</t>
        </is>
      </c>
      <c r="D1541" t="inlineStr">
        <is>
          <t>WIRE AND METAL RIBBON DRAWING MACHINES</t>
        </is>
      </c>
      <c r="E1541" s="3" t="n">
        <v>3.56</v>
      </c>
      <c r="F1541" s="3" t="n">
        <v>0</v>
      </c>
      <c r="G1541" s="3">
        <f>F1541-E1541</f>
        <v/>
      </c>
      <c r="H1541" s="4">
        <f>IF(E1541=0,"",F1541/E1541-1)</f>
        <v/>
      </c>
      <c r="I1541" t="inlineStr"/>
    </row>
    <row r="1542">
      <c r="A1542" t="inlineStr">
        <is>
          <t>Machinery &amp; electronics</t>
        </is>
      </c>
      <c r="B1542" t="inlineStr">
        <is>
          <t>84</t>
        </is>
      </c>
      <c r="C1542" t="inlineStr">
        <is>
          <t>84631030</t>
        </is>
      </c>
      <c r="D1542" t="inlineStr">
        <is>
          <t>TUBE DRAWING MACHINES</t>
        </is>
      </c>
      <c r="E1542" s="3" t="n">
        <v>0.04</v>
      </c>
      <c r="F1542" s="3" t="n">
        <v>0</v>
      </c>
      <c r="G1542" s="3">
        <f>F1542-E1542</f>
        <v/>
      </c>
      <c r="H1542" s="4">
        <f>IF(E1542=0,"",F1542/E1542-1)</f>
        <v/>
      </c>
      <c r="I1542" t="inlineStr"/>
    </row>
    <row r="1543">
      <c r="A1543" t="inlineStr">
        <is>
          <t>Machinery &amp; electronics</t>
        </is>
      </c>
      <c r="B1543" t="inlineStr">
        <is>
          <t>84</t>
        </is>
      </c>
      <c r="C1543" t="inlineStr">
        <is>
          <t>84631090</t>
        </is>
      </c>
      <c r="D1543" t="inlineStr">
        <is>
          <t>OTHERS-OF-DRAW-BENCHES FR BARS,TUBES,PRFLS WIRE/LIK</t>
        </is>
      </c>
      <c r="E1543" s="3" t="n">
        <v>0</v>
      </c>
      <c r="F1543" s="3" t="n">
        <v>0</v>
      </c>
      <c r="G1543" s="3">
        <f>F1543-E1543</f>
        <v/>
      </c>
      <c r="H1543" s="4">
        <f>IF(E1543=0,"",F1543/E1543-1)</f>
        <v/>
      </c>
      <c r="I1543" t="inlineStr"/>
    </row>
    <row r="1544">
      <c r="A1544" t="inlineStr">
        <is>
          <t>Machinery &amp; electronics</t>
        </is>
      </c>
      <c r="B1544" t="inlineStr">
        <is>
          <t>84</t>
        </is>
      </c>
      <c r="C1544" t="inlineStr">
        <is>
          <t>84652000</t>
        </is>
      </c>
      <c r="D1544" t="inlineStr">
        <is>
          <t>MACHINING CENTRES</t>
        </is>
      </c>
      <c r="E1544" s="3" t="n">
        <v>0</v>
      </c>
      <c r="F1544" s="3" t="n">
        <v>0</v>
      </c>
      <c r="G1544" s="3">
        <f>F1544-E1544</f>
        <v/>
      </c>
      <c r="H1544" s="4">
        <f>IF(E1544=0,"",F1544/E1544-1)</f>
        <v/>
      </c>
      <c r="I1544" t="inlineStr"/>
    </row>
    <row r="1545">
      <c r="A1545" t="inlineStr">
        <is>
          <t>Machinery &amp; electronics</t>
        </is>
      </c>
      <c r="B1545" t="inlineStr">
        <is>
          <t>84</t>
        </is>
      </c>
      <c r="C1545" t="inlineStr">
        <is>
          <t>84659400</t>
        </is>
      </c>
      <c r="D1545" t="inlineStr">
        <is>
          <t>BENDING/ASSEMBLING MCHNS FR WRKNG WOOD ETC</t>
        </is>
      </c>
      <c r="E1545" s="3" t="n">
        <v>0.04</v>
      </c>
      <c r="F1545" s="3" t="n">
        <v>0</v>
      </c>
      <c r="G1545" s="3">
        <f>F1545-E1545</f>
        <v/>
      </c>
      <c r="H1545" s="4">
        <f>IF(E1545=0,"",F1545/E1545-1)</f>
        <v/>
      </c>
      <c r="I1545" t="inlineStr"/>
    </row>
    <row r="1546">
      <c r="A1546" t="inlineStr">
        <is>
          <t>Machinery &amp; electronics</t>
        </is>
      </c>
      <c r="B1546" t="inlineStr">
        <is>
          <t>84</t>
        </is>
      </c>
      <c r="C1546" t="inlineStr">
        <is>
          <t>84659500</t>
        </is>
      </c>
      <c r="D1546" t="inlineStr">
        <is>
          <t>DRILLING/MORTICING MACHINES</t>
        </is>
      </c>
      <c r="E1546" s="3" t="n">
        <v>0.04</v>
      </c>
      <c r="F1546" s="3" t="n">
        <v>0</v>
      </c>
      <c r="G1546" s="3">
        <f>F1546-E1546</f>
        <v/>
      </c>
      <c r="H1546" s="4">
        <f>IF(E1546=0,"",F1546/E1546-1)</f>
        <v/>
      </c>
      <c r="I1546" t="inlineStr"/>
    </row>
    <row r="1547">
      <c r="A1547" t="inlineStr">
        <is>
          <t>Machinery &amp; electronics</t>
        </is>
      </c>
      <c r="B1547" t="inlineStr">
        <is>
          <t>84</t>
        </is>
      </c>
      <c r="C1547" t="inlineStr">
        <is>
          <t>84661020</t>
        </is>
      </c>
      <c r="D1547" t="inlineStr">
        <is>
          <t>SELF-OPENING DIEHEADS</t>
        </is>
      </c>
      <c r="E1547" s="3" t="n">
        <v>0</v>
      </c>
      <c r="F1547" s="3" t="n">
        <v>0</v>
      </c>
      <c r="G1547" s="3">
        <f>F1547-E1547</f>
        <v/>
      </c>
      <c r="H1547" s="4">
        <f>IF(E1547=0,"",F1547/E1547-1)</f>
        <v/>
      </c>
      <c r="I1547" t="inlineStr"/>
    </row>
    <row r="1548">
      <c r="A1548" t="inlineStr">
        <is>
          <t>Machinery &amp; electronics</t>
        </is>
      </c>
      <c r="B1548" t="inlineStr">
        <is>
          <t>84</t>
        </is>
      </c>
      <c r="C1548" t="inlineStr">
        <is>
          <t>84701000</t>
        </is>
      </c>
      <c r="D1548" t="inlineStr">
        <is>
          <t>ELCTRNC CALCULTRS CAPBL OF OPERTN EXCL EXTRNL SOURC OF ELCTRC POWR AND POCKT-SIZ DATA RECORDNG AND DISPLAYNG MACHNS</t>
        </is>
      </c>
      <c r="E1548" s="3" t="n">
        <v>0.02</v>
      </c>
      <c r="F1548" s="3" t="n">
        <v>0</v>
      </c>
      <c r="G1548" s="3">
        <f>F1548-E1548</f>
        <v/>
      </c>
      <c r="H1548" s="4">
        <f>IF(E1548=0,"",F1548/E1548-1)</f>
        <v/>
      </c>
      <c r="I1548" t="inlineStr"/>
    </row>
    <row r="1549">
      <c r="A1549" t="inlineStr">
        <is>
          <t>Machinery &amp; electronics</t>
        </is>
      </c>
      <c r="B1549" t="inlineStr">
        <is>
          <t>84</t>
        </is>
      </c>
      <c r="C1549" t="inlineStr">
        <is>
          <t>84702100</t>
        </is>
      </c>
      <c r="D1549" t="inlineStr">
        <is>
          <t>ELECTRONIC CALCULATING MACHINES INCORPORATING PRINTING DEVICE</t>
        </is>
      </c>
      <c r="E1549" s="3" t="n">
        <v>0</v>
      </c>
      <c r="F1549" s="3" t="n">
        <v>0</v>
      </c>
      <c r="G1549" s="3">
        <f>F1549-E1549</f>
        <v/>
      </c>
      <c r="H1549" s="4">
        <f>IF(E1549=0,"",F1549/E1549-1)</f>
        <v/>
      </c>
      <c r="I1549" t="inlineStr"/>
    </row>
    <row r="1550">
      <c r="A1550" t="inlineStr">
        <is>
          <t>Machinery &amp; electronics</t>
        </is>
      </c>
      <c r="B1550" t="inlineStr">
        <is>
          <t>84</t>
        </is>
      </c>
      <c r="C1550" t="inlineStr">
        <is>
          <t>84702900</t>
        </is>
      </c>
      <c r="D1550" t="inlineStr">
        <is>
          <t>OTHR ELCTRNC CALCULTNG MCHNS</t>
        </is>
      </c>
      <c r="E1550" s="3" t="n">
        <v>0.04</v>
      </c>
      <c r="F1550" s="3" t="n">
        <v>0</v>
      </c>
      <c r="G1550" s="3">
        <f>F1550-E1550</f>
        <v/>
      </c>
      <c r="H1550" s="4">
        <f>IF(E1550=0,"",F1550/E1550-1)</f>
        <v/>
      </c>
      <c r="I1550" t="inlineStr"/>
    </row>
    <row r="1551">
      <c r="A1551" t="inlineStr">
        <is>
          <t>Machinery &amp; electronics</t>
        </is>
      </c>
      <c r="B1551" t="inlineStr">
        <is>
          <t>84</t>
        </is>
      </c>
      <c r="C1551" t="inlineStr">
        <is>
          <t>84709020</t>
        </is>
      </c>
      <c r="D1551" t="inlineStr">
        <is>
          <t>MANUALLY OPERATED ACCOUNTING MACHINES</t>
        </is>
      </c>
      <c r="E1551" s="3" t="n">
        <v>0</v>
      </c>
      <c r="F1551" s="3" t="n">
        <v>0</v>
      </c>
      <c r="G1551" s="3">
        <f>F1551-E1551</f>
        <v/>
      </c>
      <c r="H1551" s="4">
        <f>IF(E1551=0,"",F1551/E1551-1)</f>
        <v/>
      </c>
      <c r="I1551" t="inlineStr"/>
    </row>
    <row r="1552">
      <c r="A1552" t="inlineStr">
        <is>
          <t>Machinery &amp; electronics</t>
        </is>
      </c>
      <c r="B1552" t="inlineStr">
        <is>
          <t>84</t>
        </is>
      </c>
      <c r="C1552" t="inlineStr">
        <is>
          <t>84716025</t>
        </is>
      </c>
      <c r="D1552" t="inlineStr">
        <is>
          <t>PLOTTER</t>
        </is>
      </c>
      <c r="E1552" s="3" t="n">
        <v>0.01</v>
      </c>
      <c r="F1552" s="3" t="n">
        <v>0</v>
      </c>
      <c r="G1552" s="3">
        <f>F1552-E1552</f>
        <v/>
      </c>
      <c r="H1552" s="4">
        <f>IF(E1552=0,"",F1552/E1552-1)</f>
        <v/>
      </c>
      <c r="I1552" t="inlineStr"/>
    </row>
    <row r="1553">
      <c r="A1553" t="inlineStr">
        <is>
          <t>Machinery &amp; electronics</t>
        </is>
      </c>
      <c r="B1553" t="inlineStr">
        <is>
          <t>84</t>
        </is>
      </c>
      <c r="C1553" t="inlineStr">
        <is>
          <t>84716040</t>
        </is>
      </c>
      <c r="D1553" t="inlineStr">
        <is>
          <t>KEYBOARD</t>
        </is>
      </c>
      <c r="E1553" s="3" t="n">
        <v>0</v>
      </c>
      <c r="F1553" s="3" t="n">
        <v>0</v>
      </c>
      <c r="G1553" s="3">
        <f>F1553-E1553</f>
        <v/>
      </c>
      <c r="H1553" s="4">
        <f>IF(E1553=0,"",F1553/E1553-1)</f>
        <v/>
      </c>
      <c r="I1553" t="inlineStr"/>
    </row>
    <row r="1554">
      <c r="A1554" t="inlineStr">
        <is>
          <t>Machinery &amp; electronics</t>
        </is>
      </c>
      <c r="B1554" t="inlineStr">
        <is>
          <t>84</t>
        </is>
      </c>
      <c r="C1554" t="inlineStr">
        <is>
          <t>84729020</t>
        </is>
      </c>
      <c r="D1554" t="inlineStr">
        <is>
          <t>DIGITAL DUPLICATOR</t>
        </is>
      </c>
      <c r="E1554" s="3" t="n">
        <v>0.02</v>
      </c>
      <c r="F1554" s="3" t="n">
        <v>0</v>
      </c>
      <c r="G1554" s="3">
        <f>F1554-E1554</f>
        <v/>
      </c>
      <c r="H1554" s="4">
        <f>IF(E1554=0,"",F1554/E1554-1)</f>
        <v/>
      </c>
      <c r="I1554" t="inlineStr"/>
    </row>
    <row r="1555">
      <c r="A1555" t="inlineStr">
        <is>
          <t>Machinery &amp; electronics</t>
        </is>
      </c>
      <c r="B1555" t="inlineStr">
        <is>
          <t>84</t>
        </is>
      </c>
      <c r="C1555" t="inlineStr">
        <is>
          <t>84732900</t>
        </is>
      </c>
      <c r="D1555" t="inlineStr">
        <is>
          <t>PRTS AND ACCSSRS OF OTHR MCHNS OF 8470</t>
        </is>
      </c>
      <c r="E1555" s="3" t="n">
        <v>0.05</v>
      </c>
      <c r="F1555" s="3" t="n">
        <v>0</v>
      </c>
      <c r="G1555" s="3">
        <f>F1555-E1555</f>
        <v/>
      </c>
      <c r="H1555" s="4">
        <f>IF(E1555=0,"",F1555/E1555-1)</f>
        <v/>
      </c>
      <c r="I1555" t="inlineStr"/>
    </row>
    <row r="1556">
      <c r="A1556" t="inlineStr">
        <is>
          <t>Machinery &amp; electronics</t>
        </is>
      </c>
      <c r="B1556" t="inlineStr">
        <is>
          <t>84</t>
        </is>
      </c>
      <c r="C1556" t="inlineStr">
        <is>
          <t>84733010</t>
        </is>
      </c>
      <c r="D1556" t="inlineStr">
        <is>
          <t>PRTS AND ACCSSRS OF MICROPROCESSORS</t>
        </is>
      </c>
      <c r="E1556" s="3" t="n">
        <v>0</v>
      </c>
      <c r="F1556" s="3" t="n">
        <v>0</v>
      </c>
      <c r="G1556" s="3">
        <f>F1556-E1556</f>
        <v/>
      </c>
      <c r="H1556" s="4">
        <f>IF(E1556=0,"",F1556/E1556-1)</f>
        <v/>
      </c>
      <c r="I1556" t="inlineStr"/>
    </row>
    <row r="1557">
      <c r="A1557" t="inlineStr">
        <is>
          <t>Machinery &amp; electronics</t>
        </is>
      </c>
      <c r="B1557" t="inlineStr">
        <is>
          <t>84</t>
        </is>
      </c>
      <c r="C1557" t="inlineStr">
        <is>
          <t>84733030</t>
        </is>
      </c>
      <c r="D1557" t="inlineStr">
        <is>
          <t>PRTS AND ACCSSRS OTHR MNTD PRNTD CRCIT BRDS</t>
        </is>
      </c>
      <c r="E1557" s="3" t="n">
        <v>0</v>
      </c>
      <c r="F1557" s="3" t="n">
        <v>0</v>
      </c>
      <c r="G1557" s="3">
        <f>F1557-E1557</f>
        <v/>
      </c>
      <c r="H1557" s="4">
        <f>IF(E1557=0,"",F1557/E1557-1)</f>
        <v/>
      </c>
      <c r="I1557" t="inlineStr"/>
    </row>
    <row r="1558">
      <c r="A1558" t="inlineStr">
        <is>
          <t>Machinery &amp; electronics</t>
        </is>
      </c>
      <c r="B1558" t="inlineStr">
        <is>
          <t>84</t>
        </is>
      </c>
      <c r="C1558" t="inlineStr">
        <is>
          <t>84735000</t>
        </is>
      </c>
      <c r="D1558" t="inlineStr">
        <is>
          <t>PARTS AND ACCESSORIES EQUALLY SUITABLE FOR USE WITH THE MACHINES OF TWO OR MORE OF THE HEADINGS 8470 TO 8472</t>
        </is>
      </c>
      <c r="E1558" s="3" t="n">
        <v>0.02</v>
      </c>
      <c r="F1558" s="3" t="n">
        <v>0</v>
      </c>
      <c r="G1558" s="3">
        <f>F1558-E1558</f>
        <v/>
      </c>
      <c r="H1558" s="4">
        <f>IF(E1558=0,"",F1558/E1558-1)</f>
        <v/>
      </c>
      <c r="I1558" t="inlineStr"/>
    </row>
    <row r="1559">
      <c r="A1559" t="inlineStr">
        <is>
          <t>Machinery &amp; electronics</t>
        </is>
      </c>
      <c r="B1559" t="inlineStr">
        <is>
          <t>84</t>
        </is>
      </c>
      <c r="C1559" t="inlineStr">
        <is>
          <t>84742020</t>
        </is>
      </c>
      <c r="D1559" t="inlineStr">
        <is>
          <t>CRUSHNG/GRINDNG MACHNS OF COAL</t>
        </is>
      </c>
      <c r="E1559" s="3" t="n">
        <v>0.13</v>
      </c>
      <c r="F1559" s="3" t="n">
        <v>0</v>
      </c>
      <c r="G1559" s="3">
        <f>F1559-E1559</f>
        <v/>
      </c>
      <c r="H1559" s="4">
        <f>IF(E1559=0,"",F1559/E1559-1)</f>
        <v/>
      </c>
      <c r="I1559" t="inlineStr"/>
    </row>
    <row r="1560">
      <c r="A1560" t="inlineStr">
        <is>
          <t>Machinery &amp; electronics</t>
        </is>
      </c>
      <c r="B1560" t="inlineStr">
        <is>
          <t>84</t>
        </is>
      </c>
      <c r="C1560" t="inlineStr">
        <is>
          <t>84748020</t>
        </is>
      </c>
      <c r="D1560" t="inlineStr">
        <is>
          <t>CERAMIC AND CLAY MAKING MACHINRY</t>
        </is>
      </c>
      <c r="E1560" s="3" t="n">
        <v>0</v>
      </c>
      <c r="F1560" s="3" t="n">
        <v>0</v>
      </c>
      <c r="G1560" s="3">
        <f>F1560-E1560</f>
        <v/>
      </c>
      <c r="H1560" s="4">
        <f>IF(E1560=0,"",F1560/E1560-1)</f>
        <v/>
      </c>
      <c r="I1560" t="inlineStr"/>
    </row>
    <row r="1561">
      <c r="A1561" t="inlineStr">
        <is>
          <t>Machinery &amp; electronics</t>
        </is>
      </c>
      <c r="B1561" t="inlineStr">
        <is>
          <t>84</t>
        </is>
      </c>
      <c r="C1561" t="inlineStr">
        <is>
          <t>84752100</t>
        </is>
      </c>
      <c r="D1561" t="inlineStr">
        <is>
          <t>MACHNS FOR MAKNG OPTICAL FIBRES AND PERFORMS</t>
        </is>
      </c>
      <c r="E1561" s="3" t="n">
        <v>0</v>
      </c>
      <c r="F1561" s="3" t="n">
        <v>0</v>
      </c>
      <c r="G1561" s="3">
        <f>F1561-E1561</f>
        <v/>
      </c>
      <c r="H1561" s="4">
        <f>IF(E1561=0,"",F1561/E1561-1)</f>
        <v/>
      </c>
      <c r="I1561" t="inlineStr"/>
    </row>
    <row r="1562">
      <c r="A1562" t="inlineStr">
        <is>
          <t>Machinery &amp; electronics</t>
        </is>
      </c>
      <c r="B1562" t="inlineStr">
        <is>
          <t>84</t>
        </is>
      </c>
      <c r="C1562" t="inlineStr">
        <is>
          <t>84752900</t>
        </is>
      </c>
      <c r="D1562" t="inlineStr">
        <is>
          <t>OTHR MACHINES FOR MANUFACTURING OR HOT WORKING GLASS OR GLASSWARE</t>
        </is>
      </c>
      <c r="E1562" s="3" t="n">
        <v>0.05</v>
      </c>
      <c r="F1562" s="3" t="n">
        <v>0</v>
      </c>
      <c r="G1562" s="3">
        <f>F1562-E1562</f>
        <v/>
      </c>
      <c r="H1562" s="4">
        <f>IF(E1562=0,"",F1562/E1562-1)</f>
        <v/>
      </c>
      <c r="I1562" t="inlineStr"/>
    </row>
    <row r="1563">
      <c r="A1563" t="inlineStr">
        <is>
          <t>Machinery &amp; electronics</t>
        </is>
      </c>
      <c r="B1563" t="inlineStr">
        <is>
          <t>84</t>
        </is>
      </c>
      <c r="C1563" t="inlineStr">
        <is>
          <t>84762110</t>
        </is>
      </c>
      <c r="D1563" t="inlineStr">
        <is>
          <t>AUTOMATC BEVEREG-VENDNG MACHNS INCORPORATING REFRIGERATING DEVICES</t>
        </is>
      </c>
      <c r="E1563" s="3" t="n">
        <v>0.02</v>
      </c>
      <c r="F1563" s="3" t="n">
        <v>0</v>
      </c>
      <c r="G1563" s="3">
        <f>F1563-E1563</f>
        <v/>
      </c>
      <c r="H1563" s="4">
        <f>IF(E1563=0,"",F1563/E1563-1)</f>
        <v/>
      </c>
      <c r="I1563" t="inlineStr"/>
    </row>
    <row r="1564">
      <c r="A1564" t="inlineStr">
        <is>
          <t>Machinery &amp; electronics</t>
        </is>
      </c>
      <c r="B1564" t="inlineStr">
        <is>
          <t>84</t>
        </is>
      </c>
      <c r="C1564" t="inlineStr">
        <is>
          <t>84762900</t>
        </is>
      </c>
      <c r="D1564" t="inlineStr">
        <is>
          <t>OTHERS AUTOMATIC BEVERAGE-VENDING MACHINES</t>
        </is>
      </c>
      <c r="E1564" s="3" t="n">
        <v>0.05</v>
      </c>
      <c r="F1564" s="3" t="n">
        <v>0</v>
      </c>
      <c r="G1564" s="3">
        <f>F1564-E1564</f>
        <v/>
      </c>
      <c r="H1564" s="4">
        <f>IF(E1564=0,"",F1564/E1564-1)</f>
        <v/>
      </c>
      <c r="I1564" t="inlineStr"/>
    </row>
    <row r="1565">
      <c r="A1565" t="inlineStr">
        <is>
          <t>Machinery &amp; electronics</t>
        </is>
      </c>
      <c r="B1565" t="inlineStr">
        <is>
          <t>84</t>
        </is>
      </c>
      <c r="C1565" t="inlineStr">
        <is>
          <t>84768990</t>
        </is>
      </c>
      <c r="D1565" t="inlineStr">
        <is>
          <t>OTHER AUTOMATIC GOODSVENDING MACHINES</t>
        </is>
      </c>
      <c r="E1565" s="3" t="n">
        <v>0</v>
      </c>
      <c r="F1565" s="3" t="n">
        <v>0</v>
      </c>
      <c r="G1565" s="3">
        <f>F1565-E1565</f>
        <v/>
      </c>
      <c r="H1565" s="4">
        <f>IF(E1565=0,"",F1565/E1565-1)</f>
        <v/>
      </c>
      <c r="I1565" t="inlineStr"/>
    </row>
    <row r="1566">
      <c r="A1566" t="inlineStr">
        <is>
          <t>Machinery &amp; electronics</t>
        </is>
      </c>
      <c r="B1566" t="inlineStr">
        <is>
          <t>84</t>
        </is>
      </c>
      <c r="C1566" t="inlineStr">
        <is>
          <t>84769010</t>
        </is>
      </c>
      <c r="D1566" t="inlineStr">
        <is>
          <t>PARTS OF MACHNS OF SUBHEADING 847621</t>
        </is>
      </c>
      <c r="E1566" s="3" t="n">
        <v>0.01</v>
      </c>
      <c r="F1566" s="3" t="n">
        <v>0</v>
      </c>
      <c r="G1566" s="3">
        <f>F1566-E1566</f>
        <v/>
      </c>
      <c r="H1566" s="4">
        <f>IF(E1566=0,"",F1566/E1566-1)</f>
        <v/>
      </c>
      <c r="I1566" t="inlineStr"/>
    </row>
    <row r="1567">
      <c r="A1567" t="inlineStr">
        <is>
          <t>Machinery &amp; electronics</t>
        </is>
      </c>
      <c r="B1567" t="inlineStr">
        <is>
          <t>84</t>
        </is>
      </c>
      <c r="C1567" t="inlineStr">
        <is>
          <t>84769090</t>
        </is>
      </c>
      <c r="D1567" t="inlineStr">
        <is>
          <t>OTHER PARTS OF MACHINES OF HEADING 8476</t>
        </is>
      </c>
      <c r="E1567" s="3" t="n">
        <v>0</v>
      </c>
      <c r="F1567" s="3" t="n">
        <v>0</v>
      </c>
      <c r="G1567" s="3">
        <f>F1567-E1567</f>
        <v/>
      </c>
      <c r="H1567" s="4">
        <f>IF(E1567=0,"",F1567/E1567-1)</f>
        <v/>
      </c>
      <c r="I1567" t="inlineStr"/>
    </row>
    <row r="1568">
      <c r="A1568" t="inlineStr">
        <is>
          <t>Machinery &amp; electronics</t>
        </is>
      </c>
      <c r="B1568" t="inlineStr">
        <is>
          <t>84</t>
        </is>
      </c>
      <c r="C1568" t="inlineStr">
        <is>
          <t>84792010</t>
        </is>
      </c>
      <c r="D1568" t="inlineStr">
        <is>
          <t>OIL SEED CRUSHNG/GRNDNG MCHNRY (INCLUDING PURIFYNG TANKS)</t>
        </is>
      </c>
      <c r="E1568" s="3" t="n">
        <v>0.05</v>
      </c>
      <c r="F1568" s="3" t="n">
        <v>0</v>
      </c>
      <c r="G1568" s="3">
        <f>F1568-E1568</f>
        <v/>
      </c>
      <c r="H1568" s="4">
        <f>IF(E1568=0,"",F1568/E1568-1)</f>
        <v/>
      </c>
      <c r="I1568" t="inlineStr"/>
    </row>
    <row r="1569">
      <c r="A1569" t="inlineStr">
        <is>
          <t>Machinery &amp; electronics</t>
        </is>
      </c>
      <c r="B1569" t="inlineStr">
        <is>
          <t>84</t>
        </is>
      </c>
      <c r="C1569" t="inlineStr">
        <is>
          <t>84798992</t>
        </is>
      </c>
      <c r="D1569" t="inlineStr">
        <is>
          <t>BRIQUETTING PLANT FR MANFCTRNG FROM WASTE</t>
        </is>
      </c>
      <c r="E1569" s="3" t="n">
        <v>0.07000000000000001</v>
      </c>
      <c r="F1569" s="3" t="n">
        <v>0</v>
      </c>
      <c r="G1569" s="3">
        <f>F1569-E1569</f>
        <v/>
      </c>
      <c r="H1569" s="4">
        <f>IF(E1569=0,"",F1569/E1569-1)</f>
        <v/>
      </c>
      <c r="I1569" t="inlineStr"/>
    </row>
    <row r="1570">
      <c r="A1570" t="inlineStr">
        <is>
          <t>Machinery &amp; electronics</t>
        </is>
      </c>
      <c r="B1570" t="inlineStr">
        <is>
          <t>84</t>
        </is>
      </c>
      <c r="C1570" t="inlineStr">
        <is>
          <t>84802000</t>
        </is>
      </c>
      <c r="D1570" t="inlineStr">
        <is>
          <t>MOULD BASES</t>
        </is>
      </c>
      <c r="E1570" s="3" t="n">
        <v>0</v>
      </c>
      <c r="F1570" s="3" t="n">
        <v>0</v>
      </c>
      <c r="G1570" s="3">
        <f>F1570-E1570</f>
        <v/>
      </c>
      <c r="H1570" s="4">
        <f>IF(E1570=0,"",F1570/E1570-1)</f>
        <v/>
      </c>
      <c r="I1570" t="inlineStr"/>
    </row>
    <row r="1571">
      <c r="A1571" t="inlineStr">
        <is>
          <t>Machinery &amp; electronics</t>
        </is>
      </c>
      <c r="B1571" t="inlineStr">
        <is>
          <t>84</t>
        </is>
      </c>
      <c r="C1571" t="inlineStr">
        <is>
          <t>84821051</t>
        </is>
      </c>
      <c r="D1571" t="inlineStr">
        <is>
          <t>BALL BEARINGS(THRUST TYPE)&lt;=50 MM OR 2 INCHES BORE DIAMETER</t>
        </is>
      </c>
      <c r="E1571" s="3" t="n">
        <v>0.02</v>
      </c>
      <c r="F1571" s="3" t="n">
        <v>0</v>
      </c>
      <c r="G1571" s="3">
        <f>F1571-E1571</f>
        <v/>
      </c>
      <c r="H1571" s="4">
        <f>IF(E1571=0,"",F1571/E1571-1)</f>
        <v/>
      </c>
      <c r="I1571" t="inlineStr"/>
    </row>
    <row r="1572">
      <c r="A1572" t="inlineStr">
        <is>
          <t>Machinery &amp; electronics</t>
        </is>
      </c>
      <c r="B1572" t="inlineStr">
        <is>
          <t>84</t>
        </is>
      </c>
      <c r="C1572" t="inlineStr">
        <is>
          <t>84824000</t>
        </is>
      </c>
      <c r="D1572" t="inlineStr">
        <is>
          <t>NEEDLE ROLLER BEARINGS</t>
        </is>
      </c>
      <c r="E1572" s="3" t="n">
        <v>0.04</v>
      </c>
      <c r="F1572" s="3" t="n">
        <v>0</v>
      </c>
      <c r="G1572" s="3">
        <f>F1572-E1572</f>
        <v/>
      </c>
      <c r="H1572" s="4">
        <f>IF(E1572=0,"",F1572/E1572-1)</f>
        <v/>
      </c>
      <c r="I1572" t="inlineStr"/>
    </row>
    <row r="1573">
      <c r="A1573" t="inlineStr">
        <is>
          <t>Machinery &amp; electronics</t>
        </is>
      </c>
      <c r="B1573" t="inlineStr">
        <is>
          <t>84</t>
        </is>
      </c>
      <c r="C1573" t="inlineStr">
        <is>
          <t>84829111</t>
        </is>
      </c>
      <c r="D1573" t="inlineStr">
        <is>
          <t>NICKEL ALLOYS BALLS</t>
        </is>
      </c>
      <c r="E1573" s="3" t="n">
        <v>0.06</v>
      </c>
      <c r="F1573" s="3" t="n">
        <v>0</v>
      </c>
      <c r="G1573" s="3">
        <f>F1573-E1573</f>
        <v/>
      </c>
      <c r="H1573" s="4">
        <f>IF(E1573=0,"",F1573/E1573-1)</f>
        <v/>
      </c>
      <c r="I1573" t="inlineStr"/>
    </row>
    <row r="1574">
      <c r="A1574" t="inlineStr">
        <is>
          <t>Machinery &amp; electronics</t>
        </is>
      </c>
      <c r="B1574" t="inlineStr">
        <is>
          <t>84</t>
        </is>
      </c>
      <c r="C1574" t="inlineStr">
        <is>
          <t>84829120</t>
        </is>
      </c>
      <c r="D1574" t="inlineStr">
        <is>
          <t>NEEDLES</t>
        </is>
      </c>
      <c r="E1574" s="3" t="n">
        <v>0.06</v>
      </c>
      <c r="F1574" s="3" t="n">
        <v>0</v>
      </c>
      <c r="G1574" s="3">
        <f>F1574-E1574</f>
        <v/>
      </c>
      <c r="H1574" s="4">
        <f>IF(E1574=0,"",F1574/E1574-1)</f>
        <v/>
      </c>
      <c r="I1574" t="inlineStr"/>
    </row>
    <row r="1575">
      <c r="A1575" t="inlineStr">
        <is>
          <t>Machinery &amp; electronics</t>
        </is>
      </c>
      <c r="B1575" t="inlineStr">
        <is>
          <t>84</t>
        </is>
      </c>
      <c r="C1575" t="inlineStr">
        <is>
          <t>84829130</t>
        </is>
      </c>
      <c r="D1575" t="inlineStr">
        <is>
          <t>ROLLERS</t>
        </is>
      </c>
      <c r="E1575" s="3" t="n">
        <v>0.27</v>
      </c>
      <c r="F1575" s="3" t="n">
        <v>0</v>
      </c>
      <c r="G1575" s="3">
        <f>F1575-E1575</f>
        <v/>
      </c>
      <c r="H1575" s="4">
        <f>IF(E1575=0,"",F1575/E1575-1)</f>
        <v/>
      </c>
      <c r="I1575" t="inlineStr"/>
    </row>
    <row r="1576">
      <c r="A1576" t="inlineStr">
        <is>
          <t>Machinery &amp; electronics</t>
        </is>
      </c>
      <c r="B1576" t="inlineStr">
        <is>
          <t>84</t>
        </is>
      </c>
      <c r="C1576" t="inlineStr">
        <is>
          <t>84859000</t>
        </is>
      </c>
      <c r="D1576" t="inlineStr">
        <is>
          <t>Parts</t>
        </is>
      </c>
      <c r="E1576" s="3" t="n">
        <v>0</v>
      </c>
      <c r="F1576" s="3" t="n">
        <v>0</v>
      </c>
      <c r="G1576" s="3">
        <f>F1576-E1576</f>
        <v/>
      </c>
      <c r="H1576" s="4">
        <f>IF(E1576=0,"",F1576/E1576-1)</f>
        <v/>
      </c>
      <c r="I1576" t="inlineStr"/>
    </row>
    <row r="1577">
      <c r="A1577" t="inlineStr">
        <is>
          <t>Machinery &amp; electronics</t>
        </is>
      </c>
      <c r="B1577" t="inlineStr">
        <is>
          <t>85</t>
        </is>
      </c>
      <c r="C1577" t="inlineStr">
        <is>
          <t>85011013</t>
        </is>
      </c>
      <c r="D1577" t="inlineStr">
        <is>
          <t>WIPER MOTOR WTH OUTPUT &lt;=37.5 W</t>
        </is>
      </c>
      <c r="E1577" s="3" t="n">
        <v>0</v>
      </c>
      <c r="F1577" s="3" t="n">
        <v>0</v>
      </c>
      <c r="G1577" s="3">
        <f>F1577-E1577</f>
        <v/>
      </c>
      <c r="H1577" s="4">
        <f>IF(E1577=0,"",F1577/E1577-1)</f>
        <v/>
      </c>
      <c r="I1577" t="inlineStr"/>
    </row>
    <row r="1578">
      <c r="A1578" t="inlineStr">
        <is>
          <t>Machinery &amp; electronics</t>
        </is>
      </c>
      <c r="B1578" t="inlineStr">
        <is>
          <t>85</t>
        </is>
      </c>
      <c r="C1578" t="inlineStr">
        <is>
          <t>85013112</t>
        </is>
      </c>
      <c r="D1578" t="inlineStr">
        <is>
          <t>STEPPER MOTOR WTH OUTPUT &gt;37.5 W</t>
        </is>
      </c>
      <c r="E1578" s="3" t="n">
        <v>0</v>
      </c>
      <c r="F1578" s="3" t="n">
        <v>0</v>
      </c>
      <c r="G1578" s="3">
        <f>F1578-E1578</f>
        <v/>
      </c>
      <c r="H1578" s="4">
        <f>IF(E1578=0,"",F1578/E1578-1)</f>
        <v/>
      </c>
      <c r="I1578" t="inlineStr"/>
    </row>
    <row r="1579">
      <c r="A1579" t="inlineStr">
        <is>
          <t>Machinery &amp; electronics</t>
        </is>
      </c>
      <c r="B1579" t="inlineStr">
        <is>
          <t>85</t>
        </is>
      </c>
      <c r="C1579" t="inlineStr">
        <is>
          <t>85013113</t>
        </is>
      </c>
      <c r="D1579" t="inlineStr">
        <is>
          <t>WIPER MOTOR WTH OUTPUT &gt;37.5 W</t>
        </is>
      </c>
      <c r="E1579" s="3" t="n">
        <v>0</v>
      </c>
      <c r="F1579" s="3" t="n">
        <v>0</v>
      </c>
      <c r="G1579" s="3">
        <f>F1579-E1579</f>
        <v/>
      </c>
      <c r="H1579" s="4">
        <f>IF(E1579=0,"",F1579/E1579-1)</f>
        <v/>
      </c>
      <c r="I1579" t="inlineStr"/>
    </row>
    <row r="1580">
      <c r="A1580" t="inlineStr">
        <is>
          <t>Machinery &amp; electronics</t>
        </is>
      </c>
      <c r="B1580" t="inlineStr">
        <is>
          <t>85</t>
        </is>
      </c>
      <c r="C1580" t="inlineStr">
        <is>
          <t>85016200</t>
        </is>
      </c>
      <c r="D1580" t="inlineStr">
        <is>
          <t>AC GENERATORS (ALTERNATORS) OF AN OUTPUT EXCEEDING 75KVA BUT NOT EXCEEDING 375KVA</t>
        </is>
      </c>
      <c r="E1580" s="3" t="n">
        <v>0.03</v>
      </c>
      <c r="F1580" s="3" t="n">
        <v>0</v>
      </c>
      <c r="G1580" s="3">
        <f>F1580-E1580</f>
        <v/>
      </c>
      <c r="H1580" s="4">
        <f>IF(E1580=0,"",F1580/E1580-1)</f>
        <v/>
      </c>
      <c r="I1580" t="inlineStr"/>
    </row>
    <row r="1581">
      <c r="A1581" t="inlineStr">
        <is>
          <t>Machinery &amp; electronics</t>
        </is>
      </c>
      <c r="B1581" t="inlineStr">
        <is>
          <t>85</t>
        </is>
      </c>
      <c r="C1581" t="inlineStr">
        <is>
          <t>85018000</t>
        </is>
      </c>
      <c r="D1581" t="inlineStr">
        <is>
          <t>Photovoltaic AC generators</t>
        </is>
      </c>
      <c r="E1581" s="3" t="n">
        <v>0.01</v>
      </c>
      <c r="F1581" s="3" t="n">
        <v>0</v>
      </c>
      <c r="G1581" s="3">
        <f>F1581-E1581</f>
        <v/>
      </c>
      <c r="H1581" s="4">
        <f>IF(E1581=0,"",F1581/E1581-1)</f>
        <v/>
      </c>
      <c r="I1581" t="inlineStr"/>
    </row>
    <row r="1582">
      <c r="A1582" t="inlineStr">
        <is>
          <t>Machinery &amp; electronics</t>
        </is>
      </c>
      <c r="B1582" t="inlineStr">
        <is>
          <t>85</t>
        </is>
      </c>
      <c r="C1582" t="inlineStr">
        <is>
          <t>85022010</t>
        </is>
      </c>
      <c r="D1582" t="inlineStr">
        <is>
          <t>ELECTRIC PORTABLE GENERATORS OF AN OUTPUT NOT EXCEEDING 3.5 KVA</t>
        </is>
      </c>
      <c r="E1582" s="3" t="n">
        <v>0</v>
      </c>
      <c r="F1582" s="3" t="n">
        <v>0</v>
      </c>
      <c r="G1582" s="3">
        <f>F1582-E1582</f>
        <v/>
      </c>
      <c r="H1582" s="4">
        <f>IF(E1582=0,"",F1582/E1582-1)</f>
        <v/>
      </c>
      <c r="I1582" t="inlineStr"/>
    </row>
    <row r="1583">
      <c r="A1583" t="inlineStr">
        <is>
          <t>Machinery &amp; electronics</t>
        </is>
      </c>
      <c r="B1583" t="inlineStr">
        <is>
          <t>85</t>
        </is>
      </c>
      <c r="C1583" t="inlineStr">
        <is>
          <t>85022090</t>
        </is>
      </c>
      <c r="D1583" t="inlineStr">
        <is>
          <t>OTHER GENRTNG SETS WTH SPARK IGNITION</t>
        </is>
      </c>
      <c r="E1583" s="3" t="n">
        <v>0</v>
      </c>
      <c r="F1583" s="3" t="n">
        <v>0</v>
      </c>
      <c r="G1583" s="3">
        <f>F1583-E1583</f>
        <v/>
      </c>
      <c r="H1583" s="4">
        <f>IF(E1583=0,"",F1583/E1583-1)</f>
        <v/>
      </c>
      <c r="I1583" t="inlineStr"/>
    </row>
    <row r="1584">
      <c r="A1584" t="inlineStr">
        <is>
          <t>Machinery &amp; electronics</t>
        </is>
      </c>
      <c r="B1584" t="inlineStr">
        <is>
          <t>85</t>
        </is>
      </c>
      <c r="C1584" t="inlineStr">
        <is>
          <t>85024000</t>
        </is>
      </c>
      <c r="D1584" t="inlineStr">
        <is>
          <t>ELECTRIC ROTARY CONVERTERS</t>
        </is>
      </c>
      <c r="E1584" s="3" t="n">
        <v>0.14</v>
      </c>
      <c r="F1584" s="3" t="n">
        <v>0</v>
      </c>
      <c r="G1584" s="3">
        <f>F1584-E1584</f>
        <v/>
      </c>
      <c r="H1584" s="4">
        <f>IF(E1584=0,"",F1584/E1584-1)</f>
        <v/>
      </c>
      <c r="I1584" t="inlineStr"/>
    </row>
    <row r="1585">
      <c r="A1585" t="inlineStr">
        <is>
          <t>Machinery &amp; electronics</t>
        </is>
      </c>
      <c r="B1585" t="inlineStr">
        <is>
          <t>85</t>
        </is>
      </c>
      <c r="C1585" t="inlineStr">
        <is>
          <t>85041020</t>
        </is>
      </c>
      <c r="D1585" t="inlineStr">
        <is>
          <t>BALLASTS FR COMPACT FLUORESCENT LAMPS</t>
        </is>
      </c>
      <c r="E1585" s="3" t="n">
        <v>0</v>
      </c>
      <c r="F1585" s="3" t="n">
        <v>0</v>
      </c>
      <c r="G1585" s="3">
        <f>F1585-E1585</f>
        <v/>
      </c>
      <c r="H1585" s="4">
        <f>IF(E1585=0,"",F1585/E1585-1)</f>
        <v/>
      </c>
      <c r="I1585" t="inlineStr"/>
    </row>
    <row r="1586">
      <c r="A1586" t="inlineStr">
        <is>
          <t>Machinery &amp; electronics</t>
        </is>
      </c>
      <c r="B1586" t="inlineStr">
        <is>
          <t>85</t>
        </is>
      </c>
      <c r="C1586" t="inlineStr">
        <is>
          <t>85044040</t>
        </is>
      </c>
      <c r="D1586" t="inlineStr">
        <is>
          <t>NON AUTOMATIC VOLTAGE REGLTOR AND STABILZR</t>
        </is>
      </c>
      <c r="E1586" s="3" t="n">
        <v>0.16</v>
      </c>
      <c r="F1586" s="3" t="n">
        <v>0</v>
      </c>
      <c r="G1586" s="3">
        <f>F1586-E1586</f>
        <v/>
      </c>
      <c r="H1586" s="4">
        <f>IF(E1586=0,"",F1586/E1586-1)</f>
        <v/>
      </c>
      <c r="I1586" t="inlineStr"/>
    </row>
    <row r="1587">
      <c r="A1587" t="inlineStr">
        <is>
          <t>Machinery &amp; electronics</t>
        </is>
      </c>
      <c r="B1587" t="inlineStr">
        <is>
          <t>85</t>
        </is>
      </c>
      <c r="C1587" t="inlineStr">
        <is>
          <t>85061000</t>
        </is>
      </c>
      <c r="D1587" t="inlineStr">
        <is>
          <t>PRIMARY CELLS AND PRIMARY BATTERIES OF MANGANESE DIOXIDE OF AN EXTRNL VOLUME &lt;= 300CC</t>
        </is>
      </c>
      <c r="E1587" s="3" t="n">
        <v>0.01</v>
      </c>
      <c r="F1587" s="3" t="n">
        <v>0</v>
      </c>
      <c r="G1587" s="3">
        <f>F1587-E1587</f>
        <v/>
      </c>
      <c r="H1587" s="4">
        <f>IF(E1587=0,"",F1587/E1587-1)</f>
        <v/>
      </c>
      <c r="I1587" t="inlineStr"/>
    </row>
    <row r="1588">
      <c r="A1588" t="inlineStr">
        <is>
          <t>Machinery &amp; electronics</t>
        </is>
      </c>
      <c r="B1588" t="inlineStr">
        <is>
          <t>85</t>
        </is>
      </c>
      <c r="C1588" t="inlineStr">
        <is>
          <t>85068090</t>
        </is>
      </c>
      <c r="D1588" t="inlineStr">
        <is>
          <t>OTHERS-OF-OTHER PRIMARY CELLS AND PRIMARY BATTERIES:</t>
        </is>
      </c>
      <c r="E1588" s="3" t="n">
        <v>0.02</v>
      </c>
      <c r="F1588" s="3" t="n">
        <v>0</v>
      </c>
      <c r="G1588" s="3">
        <f>F1588-E1588</f>
        <v/>
      </c>
      <c r="H1588" s="4">
        <f>IF(E1588=0,"",F1588/E1588-1)</f>
        <v/>
      </c>
      <c r="I1588" t="inlineStr"/>
    </row>
    <row r="1589">
      <c r="A1589" t="inlineStr">
        <is>
          <t>Machinery &amp; electronics</t>
        </is>
      </c>
      <c r="B1589" t="inlineStr">
        <is>
          <t>85</t>
        </is>
      </c>
      <c r="C1589" t="inlineStr">
        <is>
          <t>85069000</t>
        </is>
      </c>
      <c r="D1589" t="inlineStr">
        <is>
          <t>PARS OF PRIMARY CELLS AND PRIMARY BATTERIES</t>
        </is>
      </c>
      <c r="E1589" s="3" t="n">
        <v>0</v>
      </c>
      <c r="F1589" s="3" t="n">
        <v>0</v>
      </c>
      <c r="G1589" s="3">
        <f>F1589-E1589</f>
        <v/>
      </c>
      <c r="H1589" s="4">
        <f>IF(E1589=0,"",F1589/E1589-1)</f>
        <v/>
      </c>
      <c r="I1589" t="inlineStr"/>
    </row>
    <row r="1590">
      <c r="A1590" t="inlineStr">
        <is>
          <t>Machinery &amp; electronics</t>
        </is>
      </c>
      <c r="B1590" t="inlineStr">
        <is>
          <t>85</t>
        </is>
      </c>
      <c r="C1590" t="inlineStr">
        <is>
          <t>85081100</t>
        </is>
      </c>
      <c r="D1590" t="inlineStr">
        <is>
          <t>OF A POWER NOT EXCEEDING 1,500 W AND HAVING A DUST BAG OR OTHER RECEPTACLE CAPACITY NOT EXCEEDING 20 L</t>
        </is>
      </c>
      <c r="E1590" s="3" t="n">
        <v>0</v>
      </c>
      <c r="F1590" s="3" t="n">
        <v>0</v>
      </c>
      <c r="G1590" s="3">
        <f>F1590-E1590</f>
        <v/>
      </c>
      <c r="H1590" s="4">
        <f>IF(E1590=0,"",F1590/E1590-1)</f>
        <v/>
      </c>
      <c r="I1590" t="inlineStr"/>
    </row>
    <row r="1591">
      <c r="A1591" t="inlineStr">
        <is>
          <t>Machinery &amp; electronics</t>
        </is>
      </c>
      <c r="B1591" t="inlineStr">
        <is>
          <t>85</t>
        </is>
      </c>
      <c r="C1591" t="inlineStr">
        <is>
          <t>85081900</t>
        </is>
      </c>
      <c r="D1591" t="inlineStr">
        <is>
          <t>OTHERS-OF-OTHERS-OF-VACUUM CLEANERS</t>
        </is>
      </c>
      <c r="E1591" s="3" t="n">
        <v>0.04</v>
      </c>
      <c r="F1591" s="3" t="n">
        <v>0</v>
      </c>
      <c r="G1591" s="3">
        <f>F1591-E1591</f>
        <v/>
      </c>
      <c r="H1591" s="4">
        <f>IF(E1591=0,"",F1591/E1591-1)</f>
        <v/>
      </c>
      <c r="I1591" t="inlineStr"/>
    </row>
    <row r="1592">
      <c r="A1592" t="inlineStr">
        <is>
          <t>Machinery &amp; electronics</t>
        </is>
      </c>
      <c r="B1592" t="inlineStr">
        <is>
          <t>85</t>
        </is>
      </c>
      <c r="C1592" t="inlineStr">
        <is>
          <t>85087000</t>
        </is>
      </c>
      <c r="D1592" t="inlineStr">
        <is>
          <t>PARTS</t>
        </is>
      </c>
      <c r="E1592" s="3" t="n">
        <v>0</v>
      </c>
      <c r="F1592" s="3" t="n">
        <v>0</v>
      </c>
      <c r="G1592" s="3">
        <f>F1592-E1592</f>
        <v/>
      </c>
      <c r="H1592" s="4">
        <f>IF(E1592=0,"",F1592/E1592-1)</f>
        <v/>
      </c>
      <c r="I1592" t="inlineStr"/>
    </row>
    <row r="1593">
      <c r="A1593" t="inlineStr">
        <is>
          <t>Machinery &amp; electronics</t>
        </is>
      </c>
      <c r="B1593" t="inlineStr">
        <is>
          <t>85</t>
        </is>
      </c>
      <c r="C1593" t="inlineStr">
        <is>
          <t>85102000</t>
        </is>
      </c>
      <c r="D1593" t="inlineStr">
        <is>
          <t>HAIR CLIPPERS</t>
        </is>
      </c>
      <c r="E1593" s="3" t="n">
        <v>0.15</v>
      </c>
      <c r="F1593" s="3" t="n">
        <v>0</v>
      </c>
      <c r="G1593" s="3">
        <f>F1593-E1593</f>
        <v/>
      </c>
      <c r="H1593" s="4">
        <f>IF(E1593=0,"",F1593/E1593-1)</f>
        <v/>
      </c>
      <c r="I1593" t="inlineStr"/>
    </row>
    <row r="1594">
      <c r="A1594" t="inlineStr">
        <is>
          <t>Machinery &amp; electronics</t>
        </is>
      </c>
      <c r="B1594" t="inlineStr">
        <is>
          <t>85</t>
        </is>
      </c>
      <c r="C1594" t="inlineStr">
        <is>
          <t>85103000</t>
        </is>
      </c>
      <c r="D1594" t="inlineStr">
        <is>
          <t>HAIR-REMOVING APPLIANCES</t>
        </is>
      </c>
      <c r="E1594" s="3" t="n">
        <v>0.03</v>
      </c>
      <c r="F1594" s="3" t="n">
        <v>0</v>
      </c>
      <c r="G1594" s="3">
        <f>F1594-E1594</f>
        <v/>
      </c>
      <c r="H1594" s="4">
        <f>IF(E1594=0,"",F1594/E1594-1)</f>
        <v/>
      </c>
      <c r="I1594" t="inlineStr"/>
    </row>
    <row r="1595">
      <c r="A1595" t="inlineStr">
        <is>
          <t>Machinery &amp; electronics</t>
        </is>
      </c>
      <c r="B1595" t="inlineStr">
        <is>
          <t>85</t>
        </is>
      </c>
      <c r="C1595" t="inlineStr">
        <is>
          <t>85112010</t>
        </is>
      </c>
      <c r="D1595" t="inlineStr">
        <is>
          <t>ELECTRONIC MAGNETO SYSTEMS</t>
        </is>
      </c>
      <c r="E1595" s="3" t="n">
        <v>0</v>
      </c>
      <c r="F1595" s="3" t="n">
        <v>0</v>
      </c>
      <c r="G1595" s="3">
        <f>F1595-E1595</f>
        <v/>
      </c>
      <c r="H1595" s="4">
        <f>IF(E1595=0,"",F1595/E1595-1)</f>
        <v/>
      </c>
      <c r="I1595" t="inlineStr"/>
    </row>
    <row r="1596">
      <c r="A1596" t="inlineStr">
        <is>
          <t>Machinery &amp; electronics</t>
        </is>
      </c>
      <c r="B1596" t="inlineStr">
        <is>
          <t>85</t>
        </is>
      </c>
      <c r="C1596" t="inlineStr">
        <is>
          <t>85118000</t>
        </is>
      </c>
      <c r="D1596" t="inlineStr">
        <is>
          <t>OTHER STARTING EQUIPMENTS</t>
        </is>
      </c>
      <c r="E1596" s="3" t="n">
        <v>0.02</v>
      </c>
      <c r="F1596" s="3" t="n">
        <v>0</v>
      </c>
      <c r="G1596" s="3">
        <f>F1596-E1596</f>
        <v/>
      </c>
      <c r="H1596" s="4">
        <f>IF(E1596=0,"",F1596/E1596-1)</f>
        <v/>
      </c>
      <c r="I1596" t="inlineStr"/>
    </row>
    <row r="1597">
      <c r="A1597" t="inlineStr">
        <is>
          <t>Machinery &amp; electronics</t>
        </is>
      </c>
      <c r="B1597" t="inlineStr">
        <is>
          <t>85</t>
        </is>
      </c>
      <c r="C1597" t="inlineStr">
        <is>
          <t>85124000</t>
        </is>
      </c>
      <c r="D1597" t="inlineStr">
        <is>
          <t>WINDSCRN WIPERS,DEFROSTERS AND DEMISTERS</t>
        </is>
      </c>
      <c r="E1597" s="3" t="n">
        <v>0</v>
      </c>
      <c r="F1597" s="3" t="n">
        <v>0</v>
      </c>
      <c r="G1597" s="3">
        <f>F1597-E1597</f>
        <v/>
      </c>
      <c r="H1597" s="4">
        <f>IF(E1597=0,"",F1597/E1597-1)</f>
        <v/>
      </c>
      <c r="I1597" t="inlineStr"/>
    </row>
    <row r="1598">
      <c r="A1598" t="inlineStr">
        <is>
          <t>Machinery &amp; electronics</t>
        </is>
      </c>
      <c r="B1598" t="inlineStr">
        <is>
          <t>85</t>
        </is>
      </c>
      <c r="C1598" t="inlineStr">
        <is>
          <t>85131010</t>
        </is>
      </c>
      <c r="D1598" t="inlineStr">
        <is>
          <t>TORCHES</t>
        </is>
      </c>
      <c r="E1598" s="3" t="n">
        <v>0.01</v>
      </c>
      <c r="F1598" s="3" t="n">
        <v>0</v>
      </c>
      <c r="G1598" s="3">
        <f>F1598-E1598</f>
        <v/>
      </c>
      <c r="H1598" s="4">
        <f>IF(E1598=0,"",F1598/E1598-1)</f>
        <v/>
      </c>
      <c r="I1598" t="inlineStr"/>
    </row>
    <row r="1599">
      <c r="A1599" t="inlineStr">
        <is>
          <t>Machinery &amp; electronics</t>
        </is>
      </c>
      <c r="B1599" t="inlineStr">
        <is>
          <t>85</t>
        </is>
      </c>
      <c r="C1599" t="inlineStr">
        <is>
          <t>85143200</t>
        </is>
      </c>
      <c r="D1599" t="inlineStr">
        <is>
          <t>Plasma and vacuum arc furnaces</t>
        </is>
      </c>
      <c r="E1599" s="3" t="n">
        <v>0</v>
      </c>
      <c r="F1599" s="3" t="n">
        <v>0</v>
      </c>
      <c r="G1599" s="3">
        <f>F1599-E1599</f>
        <v/>
      </c>
      <c r="H1599" s="4">
        <f>IF(E1599=0,"",F1599/E1599-1)</f>
        <v/>
      </c>
      <c r="I1599" t="inlineStr"/>
    </row>
    <row r="1600">
      <c r="A1600" t="inlineStr">
        <is>
          <t>Machinery &amp; electronics</t>
        </is>
      </c>
      <c r="B1600" t="inlineStr">
        <is>
          <t>85</t>
        </is>
      </c>
      <c r="C1600" t="inlineStr">
        <is>
          <t>85151100</t>
        </is>
      </c>
      <c r="D1600" t="inlineStr">
        <is>
          <t>SOLDERING IRONS AND GUNS</t>
        </is>
      </c>
      <c r="E1600" s="3" t="n">
        <v>0.1</v>
      </c>
      <c r="F1600" s="3" t="n">
        <v>0</v>
      </c>
      <c r="G1600" s="3">
        <f>F1600-E1600</f>
        <v/>
      </c>
      <c r="H1600" s="4">
        <f>IF(E1600=0,"",F1600/E1600-1)</f>
        <v/>
      </c>
      <c r="I1600" t="inlineStr"/>
    </row>
    <row r="1601">
      <c r="A1601" t="inlineStr">
        <is>
          <t>Machinery &amp; electronics</t>
        </is>
      </c>
      <c r="B1601" t="inlineStr">
        <is>
          <t>85</t>
        </is>
      </c>
      <c r="C1601" t="inlineStr">
        <is>
          <t>85152120</t>
        </is>
      </c>
      <c r="D1601" t="inlineStr">
        <is>
          <t>AUTOMATIC BUTT WELDING MACHINERY</t>
        </is>
      </c>
      <c r="E1601" s="3" t="n">
        <v>0</v>
      </c>
      <c r="F1601" s="3" t="n">
        <v>0</v>
      </c>
      <c r="G1601" s="3">
        <f>F1601-E1601</f>
        <v/>
      </c>
      <c r="H1601" s="4">
        <f>IF(E1601=0,"",F1601/E1601-1)</f>
        <v/>
      </c>
      <c r="I1601" t="inlineStr"/>
    </row>
    <row r="1602">
      <c r="A1602" t="inlineStr">
        <is>
          <t>Machinery &amp; electronics</t>
        </is>
      </c>
      <c r="B1602" t="inlineStr">
        <is>
          <t>85</t>
        </is>
      </c>
      <c r="C1602" t="inlineStr">
        <is>
          <t>85153910</t>
        </is>
      </c>
      <c r="D1602" t="inlineStr">
        <is>
          <t>A.C. ARC WLDNG MCHNRY,MANUAL</t>
        </is>
      </c>
      <c r="E1602" s="3" t="n">
        <v>0.07000000000000001</v>
      </c>
      <c r="F1602" s="3" t="n">
        <v>0</v>
      </c>
      <c r="G1602" s="3">
        <f>F1602-E1602</f>
        <v/>
      </c>
      <c r="H1602" s="4">
        <f>IF(E1602=0,"",F1602/E1602-1)</f>
        <v/>
      </c>
      <c r="I1602" t="inlineStr"/>
    </row>
    <row r="1603">
      <c r="A1603" t="inlineStr">
        <is>
          <t>Machinery &amp; electronics</t>
        </is>
      </c>
      <c r="B1603" t="inlineStr">
        <is>
          <t>85</t>
        </is>
      </c>
      <c r="C1603" t="inlineStr">
        <is>
          <t>85158010</t>
        </is>
      </c>
      <c r="D1603" t="inlineStr">
        <is>
          <t>HIGH FREQUENCY PLASTIC WELDING MACHINES</t>
        </is>
      </c>
      <c r="E1603" s="3" t="n">
        <v>0.11</v>
      </c>
      <c r="F1603" s="3" t="n">
        <v>0</v>
      </c>
      <c r="G1603" s="3">
        <f>F1603-E1603</f>
        <v/>
      </c>
      <c r="H1603" s="4">
        <f>IF(E1603=0,"",F1603/E1603-1)</f>
        <v/>
      </c>
      <c r="I1603" t="inlineStr"/>
    </row>
    <row r="1604">
      <c r="A1604" t="inlineStr">
        <is>
          <t>Machinery &amp; electronics</t>
        </is>
      </c>
      <c r="B1604" t="inlineStr">
        <is>
          <t>85</t>
        </is>
      </c>
      <c r="C1604" t="inlineStr">
        <is>
          <t>85162100</t>
        </is>
      </c>
      <c r="D1604" t="inlineStr">
        <is>
          <t>STORAGE HEATNG RADIATORS</t>
        </is>
      </c>
      <c r="E1604" s="3" t="n">
        <v>0</v>
      </c>
      <c r="F1604" s="3" t="n">
        <v>0</v>
      </c>
      <c r="G1604" s="3">
        <f>F1604-E1604</f>
        <v/>
      </c>
      <c r="H1604" s="4">
        <f>IF(E1604=0,"",F1604/E1604-1)</f>
        <v/>
      </c>
      <c r="I1604" t="inlineStr"/>
    </row>
    <row r="1605">
      <c r="A1605" t="inlineStr">
        <is>
          <t>Machinery &amp; electronics</t>
        </is>
      </c>
      <c r="B1605" t="inlineStr">
        <is>
          <t>85</t>
        </is>
      </c>
      <c r="C1605" t="inlineStr">
        <is>
          <t>85165000</t>
        </is>
      </c>
      <c r="D1605" t="inlineStr">
        <is>
          <t>MICROWAVE OVENS</t>
        </is>
      </c>
      <c r="E1605" s="3" t="n">
        <v>0</v>
      </c>
      <c r="F1605" s="3" t="n">
        <v>0</v>
      </c>
      <c r="G1605" s="3">
        <f>F1605-E1605</f>
        <v/>
      </c>
      <c r="H1605" s="4">
        <f>IF(E1605=0,"",F1605/E1605-1)</f>
        <v/>
      </c>
      <c r="I1605" t="inlineStr"/>
    </row>
    <row r="1606">
      <c r="A1606" t="inlineStr">
        <is>
          <t>Machinery &amp; electronics</t>
        </is>
      </c>
      <c r="B1606" t="inlineStr">
        <is>
          <t>85</t>
        </is>
      </c>
      <c r="C1606" t="inlineStr">
        <is>
          <t>85167200</t>
        </is>
      </c>
      <c r="D1606" t="inlineStr">
        <is>
          <t>TOASTERS</t>
        </is>
      </c>
      <c r="E1606" s="3" t="n">
        <v>0.01</v>
      </c>
      <c r="F1606" s="3" t="n">
        <v>0</v>
      </c>
      <c r="G1606" s="3">
        <f>F1606-E1606</f>
        <v/>
      </c>
      <c r="H1606" s="4">
        <f>IF(E1606=0,"",F1606/E1606-1)</f>
        <v/>
      </c>
      <c r="I1606" t="inlineStr"/>
    </row>
    <row r="1607">
      <c r="A1607" t="inlineStr">
        <is>
          <t>Machinery &amp; electronics</t>
        </is>
      </c>
      <c r="B1607" t="inlineStr">
        <is>
          <t>85</t>
        </is>
      </c>
      <c r="C1607" t="inlineStr">
        <is>
          <t>85167910</t>
        </is>
      </c>
      <c r="D1607" t="inlineStr">
        <is>
          <t>ELECTRO THERMIC FLUID HEATER</t>
        </is>
      </c>
      <c r="E1607" s="3" t="n">
        <v>0</v>
      </c>
      <c r="F1607" s="3" t="n">
        <v>0</v>
      </c>
      <c r="G1607" s="3">
        <f>F1607-E1607</f>
        <v/>
      </c>
      <c r="H1607" s="4">
        <f>IF(E1607=0,"",F1607/E1607-1)</f>
        <v/>
      </c>
      <c r="I1607" t="inlineStr"/>
    </row>
    <row r="1608">
      <c r="A1608" t="inlineStr">
        <is>
          <t>Machinery &amp; electronics</t>
        </is>
      </c>
      <c r="B1608" t="inlineStr">
        <is>
          <t>85</t>
        </is>
      </c>
      <c r="C1608" t="inlineStr">
        <is>
          <t>85171300</t>
        </is>
      </c>
      <c r="D1608" t="inlineStr">
        <is>
          <t>Smartphones</t>
        </is>
      </c>
      <c r="E1608" s="3" t="n">
        <v>1.84</v>
      </c>
      <c r="F1608" s="3" t="n">
        <v>0</v>
      </c>
      <c r="G1608" s="3">
        <f>F1608-E1608</f>
        <v/>
      </c>
      <c r="H1608" s="4">
        <f>IF(E1608=0,"",F1608/E1608-1)</f>
        <v/>
      </c>
      <c r="I1608" t="inlineStr"/>
    </row>
    <row r="1609">
      <c r="A1609" t="inlineStr">
        <is>
          <t>Machinery &amp; electronics</t>
        </is>
      </c>
      <c r="B1609" t="inlineStr">
        <is>
          <t>85</t>
        </is>
      </c>
      <c r="C1609" t="inlineStr">
        <is>
          <t>85176100</t>
        </is>
      </c>
      <c r="D1609" t="inlineStr">
        <is>
          <t>BASE STATIONS</t>
        </is>
      </c>
      <c r="E1609" s="3" t="n">
        <v>0</v>
      </c>
      <c r="F1609" s="3" t="n">
        <v>0</v>
      </c>
      <c r="G1609" s="3">
        <f>F1609-E1609</f>
        <v/>
      </c>
      <c r="H1609" s="4">
        <f>IF(E1609=0,"",F1609/E1609-1)</f>
        <v/>
      </c>
      <c r="I1609" t="inlineStr"/>
    </row>
    <row r="1610">
      <c r="A1610" t="inlineStr">
        <is>
          <t>Machinery &amp; electronics</t>
        </is>
      </c>
      <c r="B1610" t="inlineStr">
        <is>
          <t>85</t>
        </is>
      </c>
      <c r="C1610" t="inlineStr">
        <is>
          <t>85176270</t>
        </is>
      </c>
      <c r="D1610" t="inlineStr">
        <is>
          <t>Multiplexers, statistical multiplexers for PDH based Wireline Telephony</t>
        </is>
      </c>
      <c r="E1610" s="3" t="n">
        <v>0.21</v>
      </c>
      <c r="F1610" s="3" t="n">
        <v>0</v>
      </c>
      <c r="G1610" s="3">
        <f>F1610-E1610</f>
        <v/>
      </c>
      <c r="H1610" s="4">
        <f>IF(E1610=0,"",F1610/E1610-1)</f>
        <v/>
      </c>
      <c r="I1610" t="inlineStr"/>
    </row>
    <row r="1611">
      <c r="A1611" t="inlineStr">
        <is>
          <t>Machinery &amp; electronics</t>
        </is>
      </c>
      <c r="B1611" t="inlineStr">
        <is>
          <t>85</t>
        </is>
      </c>
      <c r="C1611" t="inlineStr">
        <is>
          <t>85177100</t>
        </is>
      </c>
      <c r="D1611" t="inlineStr">
        <is>
          <t>Aerials and aerial reflectors of all kinds parts suitable for use therewith</t>
        </is>
      </c>
      <c r="E1611" s="3" t="n">
        <v>0.02</v>
      </c>
      <c r="F1611" s="3" t="n">
        <v>0</v>
      </c>
      <c r="G1611" s="3">
        <f>F1611-E1611</f>
        <v/>
      </c>
      <c r="H1611" s="4">
        <f>IF(E1611=0,"",F1611/E1611-1)</f>
        <v/>
      </c>
      <c r="I1611" t="inlineStr"/>
    </row>
    <row r="1612">
      <c r="A1612" t="inlineStr">
        <is>
          <t>Machinery &amp; electronics</t>
        </is>
      </c>
      <c r="B1612" t="inlineStr">
        <is>
          <t>85</t>
        </is>
      </c>
      <c r="C1612" t="inlineStr">
        <is>
          <t>85182210</t>
        </is>
      </c>
      <c r="D1612" t="inlineStr">
        <is>
          <t>WIRELESS MULTIPLE LOUD SPEAKERS; MOUNTED IN THE SAME ENCLOSURE</t>
        </is>
      </c>
      <c r="E1612" s="3" t="n">
        <v>0</v>
      </c>
      <c r="F1612" s="3" t="n">
        <v>0</v>
      </c>
      <c r="G1612" s="3">
        <f>F1612-E1612</f>
        <v/>
      </c>
      <c r="H1612" s="4">
        <f>IF(E1612=0,"",F1612/E1612-1)</f>
        <v/>
      </c>
      <c r="I1612" t="inlineStr"/>
    </row>
    <row r="1613">
      <c r="A1613" t="inlineStr">
        <is>
          <t>Machinery &amp; electronics</t>
        </is>
      </c>
      <c r="B1613" t="inlineStr">
        <is>
          <t>85</t>
        </is>
      </c>
      <c r="C1613" t="inlineStr">
        <is>
          <t>85182910</t>
        </is>
      </c>
      <c r="D1613" t="inlineStr">
        <is>
          <t>WIRELESS OTHR LOUD SPEAKERS,W/N MNTD IN THR ENCLSRS</t>
        </is>
      </c>
      <c r="E1613" s="3" t="n">
        <v>0</v>
      </c>
      <c r="F1613" s="3" t="n">
        <v>0</v>
      </c>
      <c r="G1613" s="3">
        <f>F1613-E1613</f>
        <v/>
      </c>
      <c r="H1613" s="4">
        <f>IF(E1613=0,"",F1613/E1613-1)</f>
        <v/>
      </c>
      <c r="I1613" t="inlineStr"/>
    </row>
    <row r="1614">
      <c r="A1614" t="inlineStr">
        <is>
          <t>Machinery &amp; electronics</t>
        </is>
      </c>
      <c r="B1614" t="inlineStr">
        <is>
          <t>85</t>
        </is>
      </c>
      <c r="C1614" t="inlineStr">
        <is>
          <t>85183019</t>
        </is>
      </c>
      <c r="D1614" t="inlineStr">
        <is>
          <t>OTHER SOUND CHANNEL NOT CNNCTED BY WIRE</t>
        </is>
      </c>
      <c r="E1614" s="3" t="n">
        <v>0</v>
      </c>
      <c r="F1614" s="3" t="n">
        <v>0</v>
      </c>
      <c r="G1614" s="3">
        <f>F1614-E1614</f>
        <v/>
      </c>
      <c r="H1614" s="4">
        <f>IF(E1614=0,"",F1614/E1614-1)</f>
        <v/>
      </c>
      <c r="I1614" t="inlineStr"/>
    </row>
    <row r="1615">
      <c r="A1615" t="inlineStr">
        <is>
          <t>Machinery &amp; electronics</t>
        </is>
      </c>
      <c r="B1615" t="inlineStr">
        <is>
          <t>85</t>
        </is>
      </c>
      <c r="C1615" t="inlineStr">
        <is>
          <t>85183090</t>
        </is>
      </c>
      <c r="D1615" t="inlineStr">
        <is>
          <t>OTHER HEADPHONE AND EARPHONES</t>
        </is>
      </c>
      <c r="E1615" s="3" t="n">
        <v>0.27</v>
      </c>
      <c r="F1615" s="3" t="n">
        <v>0</v>
      </c>
      <c r="G1615" s="3">
        <f>F1615-E1615</f>
        <v/>
      </c>
      <c r="H1615" s="4">
        <f>IF(E1615=0,"",F1615/E1615-1)</f>
        <v/>
      </c>
      <c r="I1615" t="inlineStr"/>
    </row>
    <row r="1616">
      <c r="A1616" t="inlineStr">
        <is>
          <t>Machinery &amp; electronics</t>
        </is>
      </c>
      <c r="B1616" t="inlineStr">
        <is>
          <t>85</t>
        </is>
      </c>
      <c r="C1616" t="inlineStr">
        <is>
          <t>85219090</t>
        </is>
      </c>
      <c r="D1616" t="inlineStr">
        <is>
          <t>OTHR VIDEO RECRDNG/REPRDCNG APPRTS</t>
        </is>
      </c>
      <c r="E1616" s="3" t="n">
        <v>0.02</v>
      </c>
      <c r="F1616" s="3" t="n">
        <v>0</v>
      </c>
      <c r="G1616" s="3">
        <f>F1616-E1616</f>
        <v/>
      </c>
      <c r="H1616" s="4">
        <f>IF(E1616=0,"",F1616/E1616-1)</f>
        <v/>
      </c>
      <c r="I1616" t="inlineStr"/>
    </row>
    <row r="1617">
      <c r="A1617" t="inlineStr">
        <is>
          <t>Machinery &amp; electronics</t>
        </is>
      </c>
      <c r="B1617" t="inlineStr">
        <is>
          <t>85</t>
        </is>
      </c>
      <c r="C1617" t="inlineStr">
        <is>
          <t>85234110</t>
        </is>
      </c>
      <c r="D1617" t="inlineStr">
        <is>
          <t>COMPACT DISC (AUDIO/VIDEO)</t>
        </is>
      </c>
      <c r="E1617" s="3" t="n">
        <v>0</v>
      </c>
      <c r="F1617" s="3" t="n">
        <v>0</v>
      </c>
      <c r="G1617" s="3">
        <f>F1617-E1617</f>
        <v/>
      </c>
      <c r="H1617" s="4">
        <f>IF(E1617=0,"",F1617/E1617-1)</f>
        <v/>
      </c>
      <c r="I1617" t="inlineStr"/>
    </row>
    <row r="1618">
      <c r="A1618" t="inlineStr">
        <is>
          <t>Machinery &amp; electronics</t>
        </is>
      </c>
      <c r="B1618" t="inlineStr">
        <is>
          <t>85</t>
        </is>
      </c>
      <c r="C1618" t="inlineStr">
        <is>
          <t>85234160</t>
        </is>
      </c>
      <c r="D1618" t="inlineStr">
        <is>
          <t>DVD</t>
        </is>
      </c>
      <c r="E1618" s="3" t="n">
        <v>0</v>
      </c>
      <c r="F1618" s="3" t="n">
        <v>0</v>
      </c>
      <c r="G1618" s="3">
        <f>F1618-E1618</f>
        <v/>
      </c>
      <c r="H1618" s="4">
        <f>IF(E1618=0,"",F1618/E1618-1)</f>
        <v/>
      </c>
      <c r="I1618" t="inlineStr"/>
    </row>
    <row r="1619">
      <c r="A1619" t="inlineStr">
        <is>
          <t>Machinery &amp; electronics</t>
        </is>
      </c>
      <c r="B1619" t="inlineStr">
        <is>
          <t>85</t>
        </is>
      </c>
      <c r="C1619" t="inlineStr">
        <is>
          <t>85238010</t>
        </is>
      </c>
      <c r="D1619" t="inlineStr">
        <is>
          <t>LEARNING AIDS, SUCH AS, LANGUAGE RECORDS</t>
        </is>
      </c>
      <c r="E1619" s="3" t="n">
        <v>0</v>
      </c>
      <c r="F1619" s="3" t="n">
        <v>0</v>
      </c>
      <c r="G1619" s="3">
        <f>F1619-E1619</f>
        <v/>
      </c>
      <c r="H1619" s="4">
        <f>IF(E1619=0,"",F1619/E1619-1)</f>
        <v/>
      </c>
      <c r="I1619" t="inlineStr"/>
    </row>
    <row r="1620">
      <c r="A1620" t="inlineStr">
        <is>
          <t>Machinery &amp; electronics</t>
        </is>
      </c>
      <c r="B1620" t="inlineStr">
        <is>
          <t>85</t>
        </is>
      </c>
      <c r="C1620" t="inlineStr">
        <is>
          <t>85249110</t>
        </is>
      </c>
      <c r="D1620" t="inlineStr">
        <is>
          <t>Of liquid crystals : For the goods of sub-heading 8471 30 or 8471 41</t>
        </is>
      </c>
      <c r="E1620" s="3" t="n">
        <v>0</v>
      </c>
      <c r="F1620" s="3" t="n">
        <v>0</v>
      </c>
      <c r="G1620" s="3">
        <f>F1620-E1620</f>
        <v/>
      </c>
      <c r="H1620" s="4">
        <f>IF(E1620=0,"",F1620/E1620-1)</f>
        <v/>
      </c>
      <c r="I1620" t="inlineStr"/>
    </row>
    <row r="1621">
      <c r="A1621" t="inlineStr">
        <is>
          <t>Machinery &amp; electronics</t>
        </is>
      </c>
      <c r="B1621" t="inlineStr">
        <is>
          <t>85</t>
        </is>
      </c>
      <c r="C1621" t="inlineStr">
        <is>
          <t>85256000</t>
        </is>
      </c>
      <c r="D1621" t="inlineStr">
        <is>
          <t>TRANSMISSION APPARATUS INCORPORATING RECEPTION APPARATUS</t>
        </is>
      </c>
      <c r="E1621" s="3" t="n">
        <v>0.01</v>
      </c>
      <c r="F1621" s="3" t="n">
        <v>0</v>
      </c>
      <c r="G1621" s="3">
        <f>F1621-E1621</f>
        <v/>
      </c>
      <c r="H1621" s="4">
        <f>IF(E1621=0,"",F1621/E1621-1)</f>
        <v/>
      </c>
      <c r="I1621" t="inlineStr"/>
    </row>
    <row r="1622">
      <c r="A1622" t="inlineStr">
        <is>
          <t>Machinery &amp; electronics</t>
        </is>
      </c>
      <c r="B1622" t="inlineStr">
        <is>
          <t>85</t>
        </is>
      </c>
      <c r="C1622" t="inlineStr">
        <is>
          <t>85258100</t>
        </is>
      </c>
      <c r="D1622" t="inlineStr">
        <is>
          <t>Television cameras, digital cameras and video camera recorders High-speed goods</t>
        </is>
      </c>
      <c r="E1622" s="3" t="n">
        <v>0.02</v>
      </c>
      <c r="F1622" s="3" t="n">
        <v>0</v>
      </c>
      <c r="G1622" s="3">
        <f>F1622-E1622</f>
        <v/>
      </c>
      <c r="H1622" s="4">
        <f>IF(E1622=0,"",F1622/E1622-1)</f>
        <v/>
      </c>
      <c r="I1622" t="inlineStr"/>
    </row>
    <row r="1623">
      <c r="A1623" t="inlineStr">
        <is>
          <t>Machinery &amp; electronics</t>
        </is>
      </c>
      <c r="B1623" t="inlineStr">
        <is>
          <t>85</t>
        </is>
      </c>
      <c r="C1623" t="inlineStr">
        <is>
          <t>85272100</t>
        </is>
      </c>
      <c r="D1623" t="inlineStr">
        <is>
          <t>RADIO BRDCST RECVRS WTH RADIO TELPHONY ETCCMBND WTH SND RECRDNG/REPRDCNG APPRTS, USEDMTR VEHCLS, CAN NT OPERATE WTOUT</t>
        </is>
      </c>
      <c r="E1623" s="3" t="n">
        <v>0</v>
      </c>
      <c r="F1623" s="3" t="n">
        <v>0</v>
      </c>
      <c r="G1623" s="3">
        <f>F1623-E1623</f>
        <v/>
      </c>
      <c r="H1623" s="4">
        <f>IF(E1623=0,"",F1623/E1623-1)</f>
        <v/>
      </c>
      <c r="I1623" t="inlineStr"/>
    </row>
    <row r="1624">
      <c r="A1624" t="inlineStr">
        <is>
          <t>Machinery &amp; electronics</t>
        </is>
      </c>
      <c r="B1624" t="inlineStr">
        <is>
          <t>85</t>
        </is>
      </c>
      <c r="C1624" t="inlineStr">
        <is>
          <t>85286900</t>
        </is>
      </c>
      <c r="D1624" t="inlineStr">
        <is>
          <t>OTHER PROJECTORS:</t>
        </is>
      </c>
      <c r="E1624" s="3" t="n">
        <v>0</v>
      </c>
      <c r="F1624" s="3" t="n">
        <v>0</v>
      </c>
      <c r="G1624" s="3">
        <f>F1624-E1624</f>
        <v/>
      </c>
      <c r="H1624" s="4">
        <f>IF(E1624=0,"",F1624/E1624-1)</f>
        <v/>
      </c>
      <c r="I1624" t="inlineStr"/>
    </row>
    <row r="1625">
      <c r="A1625" t="inlineStr">
        <is>
          <t>Machinery &amp; electronics</t>
        </is>
      </c>
      <c r="B1625" t="inlineStr">
        <is>
          <t>85</t>
        </is>
      </c>
      <c r="C1625" t="inlineStr">
        <is>
          <t>85322300</t>
        </is>
      </c>
      <c r="D1625" t="inlineStr">
        <is>
          <t>OTHR FXD CAPACITORS,CERAMIC DIELECTRIC,SINGLE LAYER</t>
        </is>
      </c>
      <c r="E1625" s="3" t="n">
        <v>0</v>
      </c>
      <c r="F1625" s="3" t="n">
        <v>0</v>
      </c>
      <c r="G1625" s="3">
        <f>F1625-E1625</f>
        <v/>
      </c>
      <c r="H1625" s="4">
        <f>IF(E1625=0,"",F1625/E1625-1)</f>
        <v/>
      </c>
      <c r="I1625" t="inlineStr"/>
    </row>
    <row r="1626">
      <c r="A1626" t="inlineStr">
        <is>
          <t>Machinery &amp; electronics</t>
        </is>
      </c>
      <c r="B1626" t="inlineStr">
        <is>
          <t>85</t>
        </is>
      </c>
      <c r="C1626" t="inlineStr">
        <is>
          <t>85322400</t>
        </is>
      </c>
      <c r="D1626" t="inlineStr">
        <is>
          <t>OTHR FXD CAPACITORS,CERAMIC DIELECTRIC,MULTILAYER</t>
        </is>
      </c>
      <c r="E1626" s="3" t="n">
        <v>0</v>
      </c>
      <c r="F1626" s="3" t="n">
        <v>0</v>
      </c>
      <c r="G1626" s="3">
        <f>F1626-E1626</f>
        <v/>
      </c>
      <c r="H1626" s="4">
        <f>IF(E1626=0,"",F1626/E1626-1)</f>
        <v/>
      </c>
      <c r="I1626" t="inlineStr"/>
    </row>
    <row r="1627">
      <c r="A1627" t="inlineStr">
        <is>
          <t>Machinery &amp; electronics</t>
        </is>
      </c>
      <c r="B1627" t="inlineStr">
        <is>
          <t>85</t>
        </is>
      </c>
      <c r="C1627" t="inlineStr">
        <is>
          <t>85332111</t>
        </is>
      </c>
      <c r="D1627" t="inlineStr">
        <is>
          <t>ELCTRCL RESISTANCE WIRE BARE NICHROME</t>
        </is>
      </c>
      <c r="E1627" s="3" t="n">
        <v>0</v>
      </c>
      <c r="F1627" s="3" t="n">
        <v>0</v>
      </c>
      <c r="G1627" s="3">
        <f>F1627-E1627</f>
        <v/>
      </c>
      <c r="H1627" s="4">
        <f>IF(E1627=0,"",F1627/E1627-1)</f>
        <v/>
      </c>
      <c r="I1627" t="inlineStr"/>
    </row>
    <row r="1628">
      <c r="A1628" t="inlineStr">
        <is>
          <t>Machinery &amp; electronics</t>
        </is>
      </c>
      <c r="B1628" t="inlineStr">
        <is>
          <t>85</t>
        </is>
      </c>
      <c r="C1628" t="inlineStr">
        <is>
          <t>85332119</t>
        </is>
      </c>
      <c r="D1628" t="inlineStr">
        <is>
          <t>ELCTRCL RESISTANCE WIRE BARE OTHER THAN NICHROME</t>
        </is>
      </c>
      <c r="E1628" s="3" t="n">
        <v>0</v>
      </c>
      <c r="F1628" s="3" t="n">
        <v>0</v>
      </c>
      <c r="G1628" s="3">
        <f>F1628-E1628</f>
        <v/>
      </c>
      <c r="H1628" s="4">
        <f>IF(E1628=0,"",F1628/E1628-1)</f>
        <v/>
      </c>
      <c r="I1628" t="inlineStr"/>
    </row>
    <row r="1629">
      <c r="A1629" t="inlineStr">
        <is>
          <t>Machinery &amp; electronics</t>
        </is>
      </c>
      <c r="B1629" t="inlineStr">
        <is>
          <t>85</t>
        </is>
      </c>
      <c r="C1629" t="inlineStr">
        <is>
          <t>85332919</t>
        </is>
      </c>
      <c r="D1629" t="inlineStr">
        <is>
          <t>ELCTRCL RESISTANCE WIRE,BARE, OTHER THAN NICHROME</t>
        </is>
      </c>
      <c r="E1629" s="3" t="n">
        <v>0</v>
      </c>
      <c r="F1629" s="3" t="n">
        <v>0</v>
      </c>
      <c r="G1629" s="3">
        <f>F1629-E1629</f>
        <v/>
      </c>
      <c r="H1629" s="4">
        <f>IF(E1629=0,"",F1629/E1629-1)</f>
        <v/>
      </c>
      <c r="I1629" t="inlineStr"/>
    </row>
    <row r="1630">
      <c r="A1630" t="inlineStr">
        <is>
          <t>Machinery &amp; electronics</t>
        </is>
      </c>
      <c r="B1630" t="inlineStr">
        <is>
          <t>85</t>
        </is>
      </c>
      <c r="C1630" t="inlineStr">
        <is>
          <t>85334030</t>
        </is>
      </c>
      <c r="D1630" t="inlineStr">
        <is>
          <t>THERMISTORS</t>
        </is>
      </c>
      <c r="E1630" s="3" t="n">
        <v>0.01</v>
      </c>
      <c r="F1630" s="3" t="n">
        <v>0</v>
      </c>
      <c r="G1630" s="3">
        <f>F1630-E1630</f>
        <v/>
      </c>
      <c r="H1630" s="4">
        <f>IF(E1630=0,"",F1630/E1630-1)</f>
        <v/>
      </c>
      <c r="I1630" t="inlineStr"/>
    </row>
    <row r="1631">
      <c r="A1631" t="inlineStr">
        <is>
          <t>Machinery &amp; electronics</t>
        </is>
      </c>
      <c r="B1631" t="inlineStr">
        <is>
          <t>85</t>
        </is>
      </c>
      <c r="C1631" t="inlineStr">
        <is>
          <t>85351010</t>
        </is>
      </c>
      <c r="D1631" t="inlineStr">
        <is>
          <t>SWTCH FUSES UNITS OF SWITCH RATING UPTO 15 AMPS REWIREABLE</t>
        </is>
      </c>
      <c r="E1631" s="3" t="n">
        <v>0.01</v>
      </c>
      <c r="F1631" s="3" t="n">
        <v>0</v>
      </c>
      <c r="G1631" s="3">
        <f>F1631-E1631</f>
        <v/>
      </c>
      <c r="H1631" s="4">
        <f>IF(E1631=0,"",F1631/E1631-1)</f>
        <v/>
      </c>
      <c r="I1631" t="inlineStr"/>
    </row>
    <row r="1632">
      <c r="A1632" t="inlineStr">
        <is>
          <t>Machinery &amp; electronics</t>
        </is>
      </c>
      <c r="B1632" t="inlineStr">
        <is>
          <t>85</t>
        </is>
      </c>
      <c r="C1632" t="inlineStr">
        <is>
          <t>85351020</t>
        </is>
      </c>
      <c r="D1632" t="inlineStr">
        <is>
          <t>SWTCH FUSE UNITS OF SWITCH RATING ABOVE 15 AMPS HIGH RUPTURING CAPACITY/REWIREABLE</t>
        </is>
      </c>
      <c r="E1632" s="3" t="n">
        <v>0</v>
      </c>
      <c r="F1632" s="3" t="n">
        <v>0</v>
      </c>
      <c r="G1632" s="3">
        <f>F1632-E1632</f>
        <v/>
      </c>
      <c r="H1632" s="4">
        <f>IF(E1632=0,"",F1632/E1632-1)</f>
        <v/>
      </c>
      <c r="I1632" t="inlineStr"/>
    </row>
    <row r="1633">
      <c r="A1633" t="inlineStr">
        <is>
          <t>Machinery &amp; electronics</t>
        </is>
      </c>
      <c r="B1633" t="inlineStr">
        <is>
          <t>85</t>
        </is>
      </c>
      <c r="C1633" t="inlineStr">
        <is>
          <t>85352122</t>
        </is>
      </c>
      <c r="D1633" t="inlineStr">
        <is>
          <t>VACUUM CIRCUIT BREAKERS 33 KV</t>
        </is>
      </c>
      <c r="E1633" s="3" t="n">
        <v>0.07000000000000001</v>
      </c>
      <c r="F1633" s="3" t="n">
        <v>0</v>
      </c>
      <c r="G1633" s="3">
        <f>F1633-E1633</f>
        <v/>
      </c>
      <c r="H1633" s="4">
        <f>IF(E1633=0,"",F1633/E1633-1)</f>
        <v/>
      </c>
      <c r="I1633" t="inlineStr"/>
    </row>
    <row r="1634">
      <c r="A1634" t="inlineStr">
        <is>
          <t>Machinery &amp; electronics</t>
        </is>
      </c>
      <c r="B1634" t="inlineStr">
        <is>
          <t>85</t>
        </is>
      </c>
      <c r="C1634" t="inlineStr">
        <is>
          <t>85359020</t>
        </is>
      </c>
      <c r="D1634" t="inlineStr">
        <is>
          <t>MTR CNTRL GEAR AND MTR STRTRS FR D.C.MTRS EITHER RUNNING AT CONSTANT SPEED/SPEED CONTROL AT ABOVE 1000 VOLTS</t>
        </is>
      </c>
      <c r="E1634" s="3" t="n">
        <v>0</v>
      </c>
      <c r="F1634" s="3" t="n">
        <v>0</v>
      </c>
      <c r="G1634" s="3">
        <f>F1634-E1634</f>
        <v/>
      </c>
      <c r="H1634" s="4">
        <f>IF(E1634=0,"",F1634/E1634-1)</f>
        <v/>
      </c>
      <c r="I1634" t="inlineStr"/>
    </row>
    <row r="1635">
      <c r="A1635" t="inlineStr">
        <is>
          <t>Machinery &amp; electronics</t>
        </is>
      </c>
      <c r="B1635" t="inlineStr">
        <is>
          <t>85</t>
        </is>
      </c>
      <c r="C1635" t="inlineStr">
        <is>
          <t>85361060</t>
        </is>
      </c>
      <c r="D1635" t="inlineStr">
        <is>
          <t>ELECTRONIC FUSES</t>
        </is>
      </c>
      <c r="E1635" s="3" t="n">
        <v>0</v>
      </c>
      <c r="F1635" s="3" t="n">
        <v>0</v>
      </c>
      <c r="G1635" s="3">
        <f>F1635-E1635</f>
        <v/>
      </c>
      <c r="H1635" s="4">
        <f>IF(E1635=0,"",F1635/E1635-1)</f>
        <v/>
      </c>
      <c r="I1635" t="inlineStr"/>
    </row>
    <row r="1636">
      <c r="A1636" t="inlineStr">
        <is>
          <t>Machinery &amp; electronics</t>
        </is>
      </c>
      <c r="B1636" t="inlineStr">
        <is>
          <t>85</t>
        </is>
      </c>
      <c r="C1636" t="inlineStr">
        <is>
          <t>85366110</t>
        </is>
      </c>
      <c r="D1636" t="inlineStr">
        <is>
          <t>LMP HLDRS OF PLSTCS</t>
        </is>
      </c>
      <c r="E1636" s="3" t="n">
        <v>0</v>
      </c>
      <c r="F1636" s="3" t="n">
        <v>0</v>
      </c>
      <c r="G1636" s="3">
        <f>F1636-E1636</f>
        <v/>
      </c>
      <c r="H1636" s="4">
        <f>IF(E1636=0,"",F1636/E1636-1)</f>
        <v/>
      </c>
      <c r="I1636" t="inlineStr"/>
    </row>
    <row r="1637">
      <c r="A1637" t="inlineStr">
        <is>
          <t>Machinery &amp; electronics</t>
        </is>
      </c>
      <c r="B1637" t="inlineStr">
        <is>
          <t>85</t>
        </is>
      </c>
      <c r="C1637" t="inlineStr">
        <is>
          <t>85369020</t>
        </is>
      </c>
      <c r="D1637" t="inlineStr">
        <is>
          <t>MTR CNTROL GEAR AND MTR STRTRS FR D.C. MTRS EITHER RUNNING AT CNSTNT SPEED/ SPEED CNTRL FR A VLTG NT EXCDG 100</t>
        </is>
      </c>
      <c r="E1637" s="3" t="n">
        <v>0</v>
      </c>
      <c r="F1637" s="3" t="n">
        <v>0</v>
      </c>
      <c r="G1637" s="3">
        <f>F1637-E1637</f>
        <v/>
      </c>
      <c r="H1637" s="4">
        <f>IF(E1637=0,"",F1637/E1637-1)</f>
        <v/>
      </c>
      <c r="I1637" t="inlineStr"/>
    </row>
    <row r="1638">
      <c r="A1638" t="inlineStr">
        <is>
          <t>Machinery &amp; electronics</t>
        </is>
      </c>
      <c r="B1638" t="inlineStr">
        <is>
          <t>85</t>
        </is>
      </c>
      <c r="C1638" t="inlineStr">
        <is>
          <t>85371000</t>
        </is>
      </c>
      <c r="D1638" t="inlineStr">
        <is>
          <t>*BORDS ETC FOR A VOLTAGE&lt;=1000 VLTS</t>
        </is>
      </c>
      <c r="E1638" s="3" t="n">
        <v>27.24</v>
      </c>
      <c r="F1638" s="3" t="n">
        <v>0</v>
      </c>
      <c r="G1638" s="3">
        <f>F1638-E1638</f>
        <v/>
      </c>
      <c r="H1638" s="4">
        <f>IF(E1638=0,"",F1638/E1638-1)</f>
        <v/>
      </c>
      <c r="I1638" t="inlineStr"/>
    </row>
    <row r="1639">
      <c r="A1639" t="inlineStr">
        <is>
          <t>Machinery &amp; electronics</t>
        </is>
      </c>
      <c r="B1639" t="inlineStr">
        <is>
          <t>85</t>
        </is>
      </c>
      <c r="C1639" t="inlineStr">
        <is>
          <t>85391000</t>
        </is>
      </c>
      <c r="D1639" t="inlineStr">
        <is>
          <t>SEALED BEAM LAMP UNITS</t>
        </is>
      </c>
      <c r="E1639" s="3" t="n">
        <v>0</v>
      </c>
      <c r="F1639" s="3" t="n">
        <v>0</v>
      </c>
      <c r="G1639" s="3">
        <f>F1639-E1639</f>
        <v/>
      </c>
      <c r="H1639" s="4">
        <f>IF(E1639=0,"",F1639/E1639-1)</f>
        <v/>
      </c>
      <c r="I1639" t="inlineStr"/>
    </row>
    <row r="1640">
      <c r="A1640" t="inlineStr">
        <is>
          <t>Machinery &amp; electronics</t>
        </is>
      </c>
      <c r="B1640" t="inlineStr">
        <is>
          <t>85</t>
        </is>
      </c>
      <c r="C1640" t="inlineStr">
        <is>
          <t>85392110</t>
        </is>
      </c>
      <c r="D1640" t="inlineStr">
        <is>
          <t>MINIATURE HALOGEN LAMPS WITH FITTINGS</t>
        </is>
      </c>
      <c r="E1640" s="3" t="n">
        <v>0.01</v>
      </c>
      <c r="F1640" s="3" t="n">
        <v>0</v>
      </c>
      <c r="G1640" s="3">
        <f>F1640-E1640</f>
        <v/>
      </c>
      <c r="H1640" s="4">
        <f>IF(E1640=0,"",F1640/E1640-1)</f>
        <v/>
      </c>
      <c r="I1640" t="inlineStr"/>
    </row>
    <row r="1641">
      <c r="A1641" t="inlineStr">
        <is>
          <t>Machinery &amp; electronics</t>
        </is>
      </c>
      <c r="B1641" t="inlineStr">
        <is>
          <t>85</t>
        </is>
      </c>
      <c r="C1641" t="inlineStr">
        <is>
          <t>85392120</t>
        </is>
      </c>
      <c r="D1641" t="inlineStr">
        <is>
          <t>OTHER HALOGEN LAMPS FOR AUTOMOBILES</t>
        </is>
      </c>
      <c r="E1641" s="3" t="n">
        <v>0</v>
      </c>
      <c r="F1641" s="3" t="n">
        <v>0</v>
      </c>
      <c r="G1641" s="3">
        <f>F1641-E1641</f>
        <v/>
      </c>
      <c r="H1641" s="4">
        <f>IF(E1641=0,"",F1641/E1641-1)</f>
        <v/>
      </c>
      <c r="I1641" t="inlineStr"/>
    </row>
    <row r="1642">
      <c r="A1642" t="inlineStr">
        <is>
          <t>Machinery &amp; electronics</t>
        </is>
      </c>
      <c r="B1642" t="inlineStr">
        <is>
          <t>85</t>
        </is>
      </c>
      <c r="C1642" t="inlineStr">
        <is>
          <t>85392190</t>
        </is>
      </c>
      <c r="D1642" t="inlineStr">
        <is>
          <t>OTHR TUNGSTEN HALOGEN FILAMENT LAMP</t>
        </is>
      </c>
      <c r="E1642" s="3" t="n">
        <v>0.01</v>
      </c>
      <c r="F1642" s="3" t="n">
        <v>0</v>
      </c>
      <c r="G1642" s="3">
        <f>F1642-E1642</f>
        <v/>
      </c>
      <c r="H1642" s="4">
        <f>IF(E1642=0,"",F1642/E1642-1)</f>
        <v/>
      </c>
      <c r="I1642" t="inlineStr"/>
    </row>
    <row r="1643">
      <c r="A1643" t="inlineStr">
        <is>
          <t>Machinery &amp; electronics</t>
        </is>
      </c>
      <c r="B1643" t="inlineStr">
        <is>
          <t>85</t>
        </is>
      </c>
      <c r="C1643" t="inlineStr">
        <is>
          <t>85392920</t>
        </is>
      </c>
      <c r="D1643" t="inlineStr">
        <is>
          <t>BULB,FOR TORCHES</t>
        </is>
      </c>
      <c r="E1643" s="3" t="n">
        <v>0</v>
      </c>
      <c r="F1643" s="3" t="n">
        <v>0</v>
      </c>
      <c r="G1643" s="3">
        <f>F1643-E1643</f>
        <v/>
      </c>
      <c r="H1643" s="4">
        <f>IF(E1643=0,"",F1643/E1643-1)</f>
        <v/>
      </c>
      <c r="I1643" t="inlineStr"/>
    </row>
    <row r="1644">
      <c r="A1644" t="inlineStr">
        <is>
          <t>Machinery &amp; electronics</t>
        </is>
      </c>
      <c r="B1644" t="inlineStr">
        <is>
          <t>85</t>
        </is>
      </c>
      <c r="C1644" t="inlineStr">
        <is>
          <t>85392930</t>
        </is>
      </c>
      <c r="D1644" t="inlineStr">
        <is>
          <t>MINIATURE BULBS</t>
        </is>
      </c>
      <c r="E1644" s="3" t="n">
        <v>0</v>
      </c>
      <c r="F1644" s="3" t="n">
        <v>0</v>
      </c>
      <c r="G1644" s="3">
        <f>F1644-E1644</f>
        <v/>
      </c>
      <c r="H1644" s="4">
        <f>IF(E1644=0,"",F1644/E1644-1)</f>
        <v/>
      </c>
      <c r="I1644" t="inlineStr"/>
    </row>
    <row r="1645">
      <c r="A1645" t="inlineStr">
        <is>
          <t>Machinery &amp; electronics</t>
        </is>
      </c>
      <c r="B1645" t="inlineStr">
        <is>
          <t>85</t>
        </is>
      </c>
      <c r="C1645" t="inlineStr">
        <is>
          <t>85392940</t>
        </is>
      </c>
      <c r="D1645" t="inlineStr">
        <is>
          <t>OTHER AUTOMOBILE LAMPS</t>
        </is>
      </c>
      <c r="E1645" s="3" t="n">
        <v>0</v>
      </c>
      <c r="F1645" s="3" t="n">
        <v>0</v>
      </c>
      <c r="G1645" s="3">
        <f>F1645-E1645</f>
        <v/>
      </c>
      <c r="H1645" s="4">
        <f>IF(E1645=0,"",F1645/E1645-1)</f>
        <v/>
      </c>
      <c r="I1645" t="inlineStr"/>
    </row>
    <row r="1646">
      <c r="A1646" t="inlineStr">
        <is>
          <t>Machinery &amp; electronics</t>
        </is>
      </c>
      <c r="B1646" t="inlineStr">
        <is>
          <t>85</t>
        </is>
      </c>
      <c r="C1646" t="inlineStr">
        <is>
          <t>85393110</t>
        </is>
      </c>
      <c r="D1646" t="inlineStr">
        <is>
          <t>COMPACT FLUORESCENT LAMPS</t>
        </is>
      </c>
      <c r="E1646" s="3" t="n">
        <v>0</v>
      </c>
      <c r="F1646" s="3" t="n">
        <v>0</v>
      </c>
      <c r="G1646" s="3">
        <f>F1646-E1646</f>
        <v/>
      </c>
      <c r="H1646" s="4">
        <f>IF(E1646=0,"",F1646/E1646-1)</f>
        <v/>
      </c>
      <c r="I1646" t="inlineStr"/>
    </row>
    <row r="1647">
      <c r="A1647" t="inlineStr">
        <is>
          <t>Machinery &amp; electronics</t>
        </is>
      </c>
      <c r="B1647" t="inlineStr">
        <is>
          <t>85</t>
        </is>
      </c>
      <c r="C1647" t="inlineStr">
        <is>
          <t>85393210</t>
        </is>
      </c>
      <c r="D1647" t="inlineStr">
        <is>
          <t>MERCURY VAPOUR LAMPS</t>
        </is>
      </c>
      <c r="E1647" s="3" t="n">
        <v>0</v>
      </c>
      <c r="F1647" s="3" t="n">
        <v>0</v>
      </c>
      <c r="G1647" s="3">
        <f>F1647-E1647</f>
        <v/>
      </c>
      <c r="H1647" s="4">
        <f>IF(E1647=0,"",F1647/E1647-1)</f>
        <v/>
      </c>
      <c r="I1647" t="inlineStr"/>
    </row>
    <row r="1648">
      <c r="A1648" t="inlineStr">
        <is>
          <t>Machinery &amp; electronics</t>
        </is>
      </c>
      <c r="B1648" t="inlineStr">
        <is>
          <t>85</t>
        </is>
      </c>
      <c r="C1648" t="inlineStr">
        <is>
          <t>85393990</t>
        </is>
      </c>
      <c r="D1648" t="inlineStr">
        <is>
          <t>OTHR DISCHARGE LAMPS</t>
        </is>
      </c>
      <c r="E1648" s="3" t="n">
        <v>0.01</v>
      </c>
      <c r="F1648" s="3" t="n">
        <v>0</v>
      </c>
      <c r="G1648" s="3">
        <f>F1648-E1648</f>
        <v/>
      </c>
      <c r="H1648" s="4">
        <f>IF(E1648=0,"",F1648/E1648-1)</f>
        <v/>
      </c>
      <c r="I1648" t="inlineStr"/>
    </row>
    <row r="1649">
      <c r="A1649" t="inlineStr">
        <is>
          <t>Machinery &amp; electronics</t>
        </is>
      </c>
      <c r="B1649" t="inlineStr">
        <is>
          <t>85</t>
        </is>
      </c>
      <c r="C1649" t="inlineStr">
        <is>
          <t>85394100</t>
        </is>
      </c>
      <c r="D1649" t="inlineStr">
        <is>
          <t>ARC LAMPS</t>
        </is>
      </c>
      <c r="E1649" s="3" t="n">
        <v>0</v>
      </c>
      <c r="F1649" s="3" t="n">
        <v>0</v>
      </c>
      <c r="G1649" s="3">
        <f>F1649-E1649</f>
        <v/>
      </c>
      <c r="H1649" s="4">
        <f>IF(E1649=0,"",F1649/E1649-1)</f>
        <v/>
      </c>
      <c r="I1649" t="inlineStr"/>
    </row>
    <row r="1650">
      <c r="A1650" t="inlineStr">
        <is>
          <t>Machinery &amp; electronics</t>
        </is>
      </c>
      <c r="B1650" t="inlineStr">
        <is>
          <t>85</t>
        </is>
      </c>
      <c r="C1650" t="inlineStr">
        <is>
          <t>85412100</t>
        </is>
      </c>
      <c r="D1650" t="inlineStr">
        <is>
          <t>TRNSISTRS,OTHR THN PHOTOSENSITV TRNSISTRS WTH A DISSIPATION RATE OF LESS THN 1 W</t>
        </is>
      </c>
      <c r="E1650" s="3" t="n">
        <v>0</v>
      </c>
      <c r="F1650" s="3" t="n">
        <v>0</v>
      </c>
      <c r="G1650" s="3">
        <f>F1650-E1650</f>
        <v/>
      </c>
      <c r="H1650" s="4">
        <f>IF(E1650=0,"",F1650/E1650-1)</f>
        <v/>
      </c>
      <c r="I1650" t="inlineStr"/>
    </row>
    <row r="1651">
      <c r="A1651" t="inlineStr">
        <is>
          <t>Machinery &amp; electronics</t>
        </is>
      </c>
      <c r="B1651" t="inlineStr">
        <is>
          <t>85</t>
        </is>
      </c>
      <c r="C1651" t="inlineStr">
        <is>
          <t>85413010</t>
        </is>
      </c>
      <c r="D1651" t="inlineStr">
        <is>
          <t>THYRISTORS</t>
        </is>
      </c>
      <c r="E1651" s="3" t="n">
        <v>0.03</v>
      </c>
      <c r="F1651" s="3" t="n">
        <v>0</v>
      </c>
      <c r="G1651" s="3">
        <f>F1651-E1651</f>
        <v/>
      </c>
      <c r="H1651" s="4">
        <f>IF(E1651=0,"",F1651/E1651-1)</f>
        <v/>
      </c>
      <c r="I1651" t="inlineStr"/>
    </row>
    <row r="1652">
      <c r="A1652" t="inlineStr">
        <is>
          <t>Machinery &amp; electronics</t>
        </is>
      </c>
      <c r="B1652" t="inlineStr">
        <is>
          <t>85</t>
        </is>
      </c>
      <c r="C1652" t="inlineStr">
        <is>
          <t>85415100</t>
        </is>
      </c>
      <c r="D1652" t="inlineStr">
        <is>
          <t>Semiconductor -based transducers</t>
        </is>
      </c>
      <c r="E1652" s="3" t="n">
        <v>0</v>
      </c>
      <c r="F1652" s="3" t="n">
        <v>0</v>
      </c>
      <c r="G1652" s="3">
        <f>F1652-E1652</f>
        <v/>
      </c>
      <c r="H1652" s="4">
        <f>IF(E1652=0,"",F1652/E1652-1)</f>
        <v/>
      </c>
      <c r="I1652" t="inlineStr"/>
    </row>
    <row r="1653">
      <c r="A1653" t="inlineStr">
        <is>
          <t>Machinery &amp; electronics</t>
        </is>
      </c>
      <c r="B1653" t="inlineStr">
        <is>
          <t>85</t>
        </is>
      </c>
      <c r="C1653" t="inlineStr">
        <is>
          <t>85429000</t>
        </is>
      </c>
      <c r="D1653" t="inlineStr">
        <is>
          <t>PARTS OF ELECTRONIC INTGRTD CIRCTS AND MICRO ASSMBLIES</t>
        </is>
      </c>
      <c r="E1653" s="3" t="n">
        <v>0.01</v>
      </c>
      <c r="F1653" s="3" t="n">
        <v>0</v>
      </c>
      <c r="G1653" s="3">
        <f>F1653-E1653</f>
        <v/>
      </c>
      <c r="H1653" s="4">
        <f>IF(E1653=0,"",F1653/E1653-1)</f>
        <v/>
      </c>
      <c r="I1653" t="inlineStr"/>
    </row>
    <row r="1654">
      <c r="A1654" t="inlineStr">
        <is>
          <t>Machinery &amp; electronics</t>
        </is>
      </c>
      <c r="B1654" t="inlineStr">
        <is>
          <t>85</t>
        </is>
      </c>
      <c r="C1654" t="inlineStr">
        <is>
          <t>85431090</t>
        </is>
      </c>
      <c r="D1654" t="inlineStr">
        <is>
          <t>OTHERS (E.G. CYCLOTRONS)</t>
        </is>
      </c>
      <c r="E1654" s="3" t="n">
        <v>0.01</v>
      </c>
      <c r="F1654" s="3" t="n">
        <v>0</v>
      </c>
      <c r="G1654" s="3">
        <f>F1654-E1654</f>
        <v/>
      </c>
      <c r="H1654" s="4">
        <f>IF(E1654=0,"",F1654/E1654-1)</f>
        <v/>
      </c>
      <c r="I1654" t="inlineStr"/>
    </row>
    <row r="1655">
      <c r="A1655" t="inlineStr">
        <is>
          <t>Machinery &amp; electronics</t>
        </is>
      </c>
      <c r="B1655" t="inlineStr">
        <is>
          <t>85</t>
        </is>
      </c>
      <c r="C1655" t="inlineStr">
        <is>
          <t>85437093</t>
        </is>
      </c>
      <c r="D1655" t="inlineStr">
        <is>
          <t>PROFESSIONAL BEAUTY CARE EQUIPMENT</t>
        </is>
      </c>
      <c r="E1655" s="3" t="n">
        <v>0</v>
      </c>
      <c r="F1655" s="3" t="n">
        <v>0</v>
      </c>
      <c r="G1655" s="3">
        <f>F1655-E1655</f>
        <v/>
      </c>
      <c r="H1655" s="4">
        <f>IF(E1655=0,"",F1655/E1655-1)</f>
        <v/>
      </c>
      <c r="I1655" t="inlineStr"/>
    </row>
    <row r="1656">
      <c r="A1656" t="inlineStr">
        <is>
          <t>Machinery &amp; electronics</t>
        </is>
      </c>
      <c r="B1656" t="inlineStr">
        <is>
          <t>85</t>
        </is>
      </c>
      <c r="C1656" t="inlineStr">
        <is>
          <t>85437094</t>
        </is>
      </c>
      <c r="D1656" t="inlineStr">
        <is>
          <t>AUDIO VIDEO STEREO ENCODERS</t>
        </is>
      </c>
      <c r="E1656" s="3" t="n">
        <v>0</v>
      </c>
      <c r="F1656" s="3" t="n">
        <v>0</v>
      </c>
      <c r="G1656" s="3">
        <f>F1656-E1656</f>
        <v/>
      </c>
      <c r="H1656" s="4">
        <f>IF(E1656=0,"",F1656/E1656-1)</f>
        <v/>
      </c>
      <c r="I1656" t="inlineStr"/>
    </row>
    <row r="1657">
      <c r="A1657" t="inlineStr">
        <is>
          <t>Machinery &amp; electronics</t>
        </is>
      </c>
      <c r="B1657" t="inlineStr">
        <is>
          <t>85</t>
        </is>
      </c>
      <c r="C1657" t="inlineStr">
        <is>
          <t>85441910</t>
        </is>
      </c>
      <c r="D1657" t="inlineStr">
        <is>
          <t>ASBESTOS COVERED WINDING WIRE</t>
        </is>
      </c>
      <c r="E1657" s="3" t="n">
        <v>0</v>
      </c>
      <c r="F1657" s="3" t="n">
        <v>0</v>
      </c>
      <c r="G1657" s="3">
        <f>F1657-E1657</f>
        <v/>
      </c>
      <c r="H1657" s="4">
        <f>IF(E1657=0,"",F1657/E1657-1)</f>
        <v/>
      </c>
      <c r="I1657" t="inlineStr"/>
    </row>
    <row r="1658">
      <c r="A1658" t="inlineStr">
        <is>
          <t>Machinery &amp; electronics</t>
        </is>
      </c>
      <c r="B1658" t="inlineStr">
        <is>
          <t>85</t>
        </is>
      </c>
      <c r="C1658" t="inlineStr">
        <is>
          <t>85444210</t>
        </is>
      </c>
      <c r="D1658" t="inlineStr">
        <is>
          <t>PAPR INSLTD CNDCTRS FR &lt;=1000 V FITTED WITH CONNECTORS</t>
        </is>
      </c>
      <c r="E1658" s="3" t="n">
        <v>0.02</v>
      </c>
      <c r="F1658" s="3" t="n">
        <v>0</v>
      </c>
      <c r="G1658" s="3">
        <f>F1658-E1658</f>
        <v/>
      </c>
      <c r="H1658" s="4">
        <f>IF(E1658=0,"",F1658/E1658-1)</f>
        <v/>
      </c>
      <c r="I1658" t="inlineStr"/>
    </row>
    <row r="1659">
      <c r="A1659" t="inlineStr">
        <is>
          <t>Machinery &amp; electronics</t>
        </is>
      </c>
      <c r="B1659" t="inlineStr">
        <is>
          <t>85</t>
        </is>
      </c>
      <c r="C1659" t="inlineStr">
        <is>
          <t>85444291</t>
        </is>
      </c>
      <c r="D1659" t="inlineStr">
        <is>
          <t>PAPER INSULATED CONDUCTORS USED IN TELECOM FOR VOLTAGE &lt;=1000V FITTED WITH CONNECTORS</t>
        </is>
      </c>
      <c r="E1659" s="3" t="n">
        <v>0.15</v>
      </c>
      <c r="F1659" s="3" t="n">
        <v>0</v>
      </c>
      <c r="G1659" s="3">
        <f>F1659-E1659</f>
        <v/>
      </c>
      <c r="H1659" s="4">
        <f>IF(E1659=0,"",F1659/E1659-1)</f>
        <v/>
      </c>
      <c r="I1659" t="inlineStr"/>
    </row>
    <row r="1660">
      <c r="A1660" t="inlineStr">
        <is>
          <t>Machinery &amp; electronics</t>
        </is>
      </c>
      <c r="B1660" t="inlineStr">
        <is>
          <t>85</t>
        </is>
      </c>
      <c r="C1660" t="inlineStr">
        <is>
          <t>85444292</t>
        </is>
      </c>
      <c r="D1660" t="inlineStr">
        <is>
          <t>PLASTIC INSULATED CONDUCTORS USED IN TELECOM FOR VOLTAGE &lt;=1000V FITTED WITH CONNECTORS</t>
        </is>
      </c>
      <c r="E1660" s="3" t="n">
        <v>0.05</v>
      </c>
      <c r="F1660" s="3" t="n">
        <v>0</v>
      </c>
      <c r="G1660" s="3">
        <f>F1660-E1660</f>
        <v/>
      </c>
      <c r="H1660" s="4">
        <f>IF(E1660=0,"",F1660/E1660-1)</f>
        <v/>
      </c>
      <c r="I1660" t="inlineStr"/>
    </row>
    <row r="1661">
      <c r="A1661" t="inlineStr">
        <is>
          <t>Machinery &amp; electronics</t>
        </is>
      </c>
      <c r="B1661" t="inlineStr">
        <is>
          <t>85</t>
        </is>
      </c>
      <c r="C1661" t="inlineStr">
        <is>
          <t>85444993</t>
        </is>
      </c>
      <c r="D1661" t="inlineStr">
        <is>
          <t>RUBBER INSULATED CONDUCTORS USED IN TELECOM FOR VOLTAGE &lt;=1000V NOT FITTED WITH CONNECTORS</t>
        </is>
      </c>
      <c r="E1661" s="3" t="n">
        <v>0</v>
      </c>
      <c r="F1661" s="3" t="n">
        <v>0</v>
      </c>
      <c r="G1661" s="3">
        <f>F1661-E1661</f>
        <v/>
      </c>
      <c r="H1661" s="4">
        <f>IF(E1661=0,"",F1661/E1661-1)</f>
        <v/>
      </c>
      <c r="I1661" t="inlineStr"/>
    </row>
    <row r="1662">
      <c r="A1662" t="inlineStr">
        <is>
          <t>Machinery &amp; electronics</t>
        </is>
      </c>
      <c r="B1662" t="inlineStr">
        <is>
          <t>85</t>
        </is>
      </c>
      <c r="C1662" t="inlineStr">
        <is>
          <t>85447010</t>
        </is>
      </c>
      <c r="D1662" t="inlineStr">
        <is>
          <t>LEAD ALLOY SHEATHD CBLS FR LGHTNG PURPOSES</t>
        </is>
      </c>
      <c r="E1662" s="3" t="n">
        <v>0</v>
      </c>
      <c r="F1662" s="3" t="n">
        <v>0</v>
      </c>
      <c r="G1662" s="3">
        <f>F1662-E1662</f>
        <v/>
      </c>
      <c r="H1662" s="4">
        <f>IF(E1662=0,"",F1662/E1662-1)</f>
        <v/>
      </c>
      <c r="I1662" t="inlineStr"/>
    </row>
    <row r="1663">
      <c r="A1663" t="inlineStr">
        <is>
          <t>Machinery &amp; electronics</t>
        </is>
      </c>
      <c r="B1663" t="inlineStr">
        <is>
          <t>85</t>
        </is>
      </c>
      <c r="C1663" t="inlineStr">
        <is>
          <t>85459010</t>
        </is>
      </c>
      <c r="D1663" t="inlineStr">
        <is>
          <t>ARC LAMP CARBONS</t>
        </is>
      </c>
      <c r="E1663" s="3" t="n">
        <v>0</v>
      </c>
      <c r="F1663" s="3" t="n">
        <v>0</v>
      </c>
      <c r="G1663" s="3">
        <f>F1663-E1663</f>
        <v/>
      </c>
      <c r="H1663" s="4">
        <f>IF(E1663=0,"",F1663/E1663-1)</f>
        <v/>
      </c>
      <c r="I1663" t="inlineStr"/>
    </row>
    <row r="1664">
      <c r="A1664" t="inlineStr">
        <is>
          <t>Machinery &amp; electronics</t>
        </is>
      </c>
      <c r="B1664" t="inlineStr">
        <is>
          <t>85</t>
        </is>
      </c>
      <c r="C1664" t="inlineStr">
        <is>
          <t>85471010</t>
        </is>
      </c>
      <c r="D1664" t="inlineStr">
        <is>
          <t>PORCELN BUSHNGS BELOW 6.6 KV</t>
        </is>
      </c>
      <c r="E1664" s="3" t="n">
        <v>0.03</v>
      </c>
      <c r="F1664" s="3" t="n">
        <v>0</v>
      </c>
      <c r="G1664" s="3">
        <f>F1664-E1664</f>
        <v/>
      </c>
      <c r="H1664" s="4">
        <f>IF(E1664=0,"",F1664/E1664-1)</f>
        <v/>
      </c>
      <c r="I1664" t="inlineStr"/>
    </row>
    <row r="1665">
      <c r="A1665" t="inlineStr">
        <is>
          <t>Machinery &amp; electronics</t>
        </is>
      </c>
      <c r="B1665" t="inlineStr">
        <is>
          <t>85</t>
        </is>
      </c>
      <c r="C1665" t="inlineStr">
        <is>
          <t>85479010</t>
        </is>
      </c>
      <c r="D1665" t="inlineStr">
        <is>
          <t>ELCTRCL INSLTNG FTTNGS,WHOLLY OF GLASS</t>
        </is>
      </c>
      <c r="E1665" s="3" t="n">
        <v>0.01</v>
      </c>
      <c r="F1665" s="3" t="n">
        <v>0</v>
      </c>
      <c r="G1665" s="3">
        <f>F1665-E1665</f>
        <v/>
      </c>
      <c r="H1665" s="4">
        <f>IF(E1665=0,"",F1665/E1665-1)</f>
        <v/>
      </c>
      <c r="I1665" t="inlineStr"/>
    </row>
    <row r="1666">
      <c r="A1666" t="inlineStr">
        <is>
          <t>Machinery &amp; electronics</t>
        </is>
      </c>
      <c r="B1666" t="inlineStr">
        <is>
          <t>85</t>
        </is>
      </c>
      <c r="C1666" t="inlineStr">
        <is>
          <t>85479020</t>
        </is>
      </c>
      <c r="D1666" t="inlineStr">
        <is>
          <t>ELECTRCL CONDUIT TUBING AND JOINTS THERFR, OF BASE MTL LINED WTH INSLTNG MATRL</t>
        </is>
      </c>
      <c r="E1666" s="3" t="n">
        <v>0.01</v>
      </c>
      <c r="F1666" s="3" t="n">
        <v>0</v>
      </c>
      <c r="G1666" s="3">
        <f>F1666-E1666</f>
        <v/>
      </c>
      <c r="H1666" s="4">
        <f>IF(E1666=0,"",F1666/E1666-1)</f>
        <v/>
      </c>
      <c r="I1666" t="inlineStr"/>
    </row>
    <row r="1667">
      <c r="A1667" t="inlineStr">
        <is>
          <t>Machinery &amp; electronics</t>
        </is>
      </c>
      <c r="B1667" t="inlineStr">
        <is>
          <t>85</t>
        </is>
      </c>
      <c r="C1667" t="inlineStr">
        <is>
          <t>85491900</t>
        </is>
      </c>
      <c r="D1667" t="inlineStr">
        <is>
          <t>OTHERS-OF-OTHERS-OF-ELCTRICAL AND ELECTRONIC WASTE AND SCRAP</t>
        </is>
      </c>
      <c r="E1667" s="3" t="n">
        <v>0</v>
      </c>
      <c r="F1667" s="3" t="n">
        <v>0</v>
      </c>
      <c r="G1667" s="3">
        <f>F1667-E1667</f>
        <v/>
      </c>
      <c r="H1667" s="4">
        <f>IF(E1667=0,"",F1667/E1667-1)</f>
        <v/>
      </c>
      <c r="I1667" t="inlineStr"/>
    </row>
    <row r="1668">
      <c r="A1668" s="6" t="inlineStr">
        <is>
          <t>Agri &amp; plantation crops  —  388 lines</t>
        </is>
      </c>
      <c r="B1668" s="6" t="inlineStr"/>
      <c r="C1668" s="6" t="inlineStr"/>
      <c r="D1668" s="6" t="inlineStr"/>
      <c r="E1668" s="7" t="n">
        <v>2740.64</v>
      </c>
      <c r="F1668" s="7" t="n">
        <v>2537.51</v>
      </c>
      <c r="G1668" s="7" t="n">
        <v>-203.13</v>
      </c>
      <c r="H1668" s="8" t="n">
        <v>-0.07411772432716279</v>
      </c>
      <c r="I1668" s="6" t="inlineStr"/>
    </row>
    <row r="1669">
      <c r="A1669" t="inlineStr">
        <is>
          <t>Agri &amp; plantation crops</t>
        </is>
      </c>
      <c r="B1669" t="inlineStr">
        <is>
          <t>10</t>
        </is>
      </c>
      <c r="C1669" t="inlineStr">
        <is>
          <t>10063020</t>
        </is>
      </c>
      <c r="D1669" t="inlineStr">
        <is>
          <t>*BASMATI RICE</t>
        </is>
      </c>
      <c r="E1669" s="3" t="n">
        <v>1504.54</v>
      </c>
      <c r="F1669" s="3" t="n">
        <v>1223.16</v>
      </c>
      <c r="G1669" s="3">
        <f>F1669-E1669</f>
        <v/>
      </c>
      <c r="H1669" s="4">
        <f>IF(E1669=0,"",F1669/E1669-1)</f>
        <v/>
      </c>
      <c r="I1669" t="inlineStr"/>
    </row>
    <row r="1670">
      <c r="A1670" t="inlineStr">
        <is>
          <t>Agri &amp; plantation crops</t>
        </is>
      </c>
      <c r="B1670" t="inlineStr">
        <is>
          <t>10</t>
        </is>
      </c>
      <c r="C1670" t="inlineStr">
        <is>
          <t>10063090</t>
        </is>
      </c>
      <c r="D1670" t="inlineStr">
        <is>
          <t>*RICE EXCPTG PARBOILED (EXCL BASMATI RICE)</t>
        </is>
      </c>
      <c r="E1670" s="3" t="n">
        <v>45.18</v>
      </c>
      <c r="F1670" s="3" t="n">
        <v>178.61</v>
      </c>
      <c r="G1670" s="3">
        <f>F1670-E1670</f>
        <v/>
      </c>
      <c r="H1670" s="4">
        <f>IF(E1670=0,"",F1670/E1670-1)</f>
        <v/>
      </c>
      <c r="I1670" t="inlineStr"/>
    </row>
    <row r="1671">
      <c r="A1671" t="inlineStr">
        <is>
          <t>Agri &amp; plantation crops</t>
        </is>
      </c>
      <c r="B1671" t="inlineStr">
        <is>
          <t>08</t>
        </is>
      </c>
      <c r="C1671" t="inlineStr">
        <is>
          <t>08039010</t>
        </is>
      </c>
      <c r="D1671" t="inlineStr">
        <is>
          <t>BANANAS, FRESH</t>
        </is>
      </c>
      <c r="E1671" s="3" t="n">
        <v>169.03</v>
      </c>
      <c r="F1671" s="3" t="n">
        <v>169.82</v>
      </c>
      <c r="G1671" s="3">
        <f>F1671-E1671</f>
        <v/>
      </c>
      <c r="H1671" s="4">
        <f>IF(E1671=0,"",F1671/E1671-1)</f>
        <v/>
      </c>
      <c r="I1671" t="inlineStr"/>
    </row>
    <row r="1672">
      <c r="A1672" t="inlineStr">
        <is>
          <t>Agri &amp; plantation crops</t>
        </is>
      </c>
      <c r="B1672" t="inlineStr">
        <is>
          <t>07</t>
        </is>
      </c>
      <c r="C1672" t="inlineStr">
        <is>
          <t>07019000</t>
        </is>
      </c>
      <c r="D1672" t="inlineStr">
        <is>
          <t>POTATOES FRESH OR CHILLED OTHER THAN SEEDS</t>
        </is>
      </c>
      <c r="E1672" s="3" t="n">
        <v>103.41</v>
      </c>
      <c r="F1672" s="3" t="n">
        <v>150.15</v>
      </c>
      <c r="G1672" s="3">
        <f>F1672-E1672</f>
        <v/>
      </c>
      <c r="H1672" s="4">
        <f>IF(E1672=0,"",F1672/E1672-1)</f>
        <v/>
      </c>
      <c r="I1672" t="inlineStr"/>
    </row>
    <row r="1673">
      <c r="A1673" t="inlineStr">
        <is>
          <t>Agri &amp; plantation crops</t>
        </is>
      </c>
      <c r="B1673" t="inlineStr">
        <is>
          <t>10</t>
        </is>
      </c>
      <c r="C1673" t="inlineStr">
        <is>
          <t>10063010</t>
        </is>
      </c>
      <c r="D1673" t="inlineStr">
        <is>
          <t>*RICE PARBOILED</t>
        </is>
      </c>
      <c r="E1673" s="3" t="n">
        <v>258.01</v>
      </c>
      <c r="F1673" s="3" t="n">
        <v>142.05</v>
      </c>
      <c r="G1673" s="3">
        <f>F1673-E1673</f>
        <v/>
      </c>
      <c r="H1673" s="4">
        <f>IF(E1673=0,"",F1673/E1673-1)</f>
        <v/>
      </c>
      <c r="I1673" t="inlineStr"/>
    </row>
    <row r="1674">
      <c r="A1674" t="inlineStr">
        <is>
          <t>Agri &amp; plantation crops</t>
        </is>
      </c>
      <c r="B1674" t="inlineStr">
        <is>
          <t>08</t>
        </is>
      </c>
      <c r="C1674" t="inlineStr">
        <is>
          <t>08013220</t>
        </is>
      </c>
      <c r="D1674" t="inlineStr">
        <is>
          <t>CASHEW KARNEL, WHOLE</t>
        </is>
      </c>
      <c r="E1674" s="3" t="n">
        <v>57.55</v>
      </c>
      <c r="F1674" s="3" t="n">
        <v>57.11</v>
      </c>
      <c r="G1674" s="3">
        <f>F1674-E1674</f>
        <v/>
      </c>
      <c r="H1674" s="4">
        <f>IF(E1674=0,"",F1674/E1674-1)</f>
        <v/>
      </c>
      <c r="I1674" t="inlineStr"/>
    </row>
    <row r="1675">
      <c r="A1675" t="inlineStr">
        <is>
          <t>Agri &amp; plantation crops</t>
        </is>
      </c>
      <c r="B1675" t="inlineStr">
        <is>
          <t>07</t>
        </is>
      </c>
      <c r="C1675" t="inlineStr">
        <is>
          <t>07031019</t>
        </is>
      </c>
      <c r="D1675" t="inlineStr">
        <is>
          <t>OTHER ONIONS FRESH OR CHILLED</t>
        </is>
      </c>
      <c r="E1675" s="3" t="n">
        <v>61.45</v>
      </c>
      <c r="F1675" s="3" t="n">
        <v>55.99</v>
      </c>
      <c r="G1675" s="3">
        <f>F1675-E1675</f>
        <v/>
      </c>
      <c r="H1675" s="4">
        <f>IF(E1675=0,"",F1675/E1675-1)</f>
        <v/>
      </c>
      <c r="I1675" t="inlineStr"/>
    </row>
    <row r="1676">
      <c r="A1676" t="inlineStr">
        <is>
          <t>Agri &amp; plantation crops</t>
        </is>
      </c>
      <c r="B1676" t="inlineStr">
        <is>
          <t>08</t>
        </is>
      </c>
      <c r="C1676" t="inlineStr">
        <is>
          <t>08061000</t>
        </is>
      </c>
      <c r="D1676" t="inlineStr">
        <is>
          <t>GRAPES FRESH</t>
        </is>
      </c>
      <c r="E1676" s="3" t="n">
        <v>36.7</v>
      </c>
      <c r="F1676" s="3" t="n">
        <v>41.91</v>
      </c>
      <c r="G1676" s="3">
        <f>F1676-E1676</f>
        <v/>
      </c>
      <c r="H1676" s="4">
        <f>IF(E1676=0,"",F1676/E1676-1)</f>
        <v/>
      </c>
      <c r="I1676" t="inlineStr"/>
    </row>
    <row r="1677">
      <c r="A1677" t="inlineStr">
        <is>
          <t>Agri &amp; plantation crops</t>
        </is>
      </c>
      <c r="B1677" t="inlineStr">
        <is>
          <t>10</t>
        </is>
      </c>
      <c r="C1677" t="inlineStr">
        <is>
          <t>10059011</t>
        </is>
      </c>
      <c r="D1677" t="inlineStr">
        <is>
          <t>YELLOW</t>
        </is>
      </c>
      <c r="E1677" s="3" t="n">
        <v>14.7</v>
      </c>
      <c r="F1677" s="3" t="n">
        <v>29.83</v>
      </c>
      <c r="G1677" s="3">
        <f>F1677-E1677</f>
        <v/>
      </c>
      <c r="H1677" s="4">
        <f>IF(E1677=0,"",F1677/E1677-1)</f>
        <v/>
      </c>
      <c r="I1677" t="inlineStr"/>
    </row>
    <row r="1678">
      <c r="A1678" t="inlineStr">
        <is>
          <t>Agri &amp; plantation crops</t>
        </is>
      </c>
      <c r="B1678" t="inlineStr">
        <is>
          <t>09</t>
        </is>
      </c>
      <c r="C1678" t="inlineStr">
        <is>
          <t>09042211</t>
        </is>
      </c>
      <c r="D1678" t="inlineStr">
        <is>
          <t>CHILLY POWDER</t>
        </is>
      </c>
      <c r="E1678" s="3" t="n">
        <v>30.03</v>
      </c>
      <c r="F1678" s="3" t="n">
        <v>25.01</v>
      </c>
      <c r="G1678" s="3">
        <f>F1678-E1678</f>
        <v/>
      </c>
      <c r="H1678" s="4">
        <f>IF(E1678=0,"",F1678/E1678-1)</f>
        <v/>
      </c>
      <c r="I1678" t="inlineStr"/>
    </row>
    <row r="1679">
      <c r="A1679" t="inlineStr">
        <is>
          <t>Agri &amp; plantation crops</t>
        </is>
      </c>
      <c r="B1679" t="inlineStr">
        <is>
          <t>09</t>
        </is>
      </c>
      <c r="C1679" t="inlineStr">
        <is>
          <t>09109100</t>
        </is>
      </c>
      <c r="D1679" t="inlineStr">
        <is>
          <t>MIXTRS OF TWO OR MORS PRODCTS OF DIFF HDG</t>
        </is>
      </c>
      <c r="E1679" s="3" t="n">
        <v>28.97</v>
      </c>
      <c r="F1679" s="3" t="n">
        <v>23.65</v>
      </c>
      <c r="G1679" s="3">
        <f>F1679-E1679</f>
        <v/>
      </c>
      <c r="H1679" s="4">
        <f>IF(E1679=0,"",F1679/E1679-1)</f>
        <v/>
      </c>
      <c r="I1679" t="inlineStr"/>
    </row>
    <row r="1680">
      <c r="A1680" t="inlineStr">
        <is>
          <t>Agri &amp; plantation crops</t>
        </is>
      </c>
      <c r="B1680" t="inlineStr">
        <is>
          <t>07</t>
        </is>
      </c>
      <c r="C1680" t="inlineStr">
        <is>
          <t>07096010</t>
        </is>
      </c>
      <c r="D1680" t="inlineStr">
        <is>
          <t>GREEN CHILLY</t>
        </is>
      </c>
      <c r="E1680" s="3" t="n">
        <v>17.77</v>
      </c>
      <c r="F1680" s="3" t="n">
        <v>22.26</v>
      </c>
      <c r="G1680" s="3">
        <f>F1680-E1680</f>
        <v/>
      </c>
      <c r="H1680" s="4">
        <f>IF(E1680=0,"",F1680/E1680-1)</f>
        <v/>
      </c>
      <c r="I1680" t="inlineStr"/>
    </row>
    <row r="1681">
      <c r="A1681" t="inlineStr">
        <is>
          <t>Agri &amp; plantation crops</t>
        </is>
      </c>
      <c r="B1681" t="inlineStr">
        <is>
          <t>09</t>
        </is>
      </c>
      <c r="C1681" t="inlineStr">
        <is>
          <t>09093129</t>
        </is>
      </c>
      <c r="D1681" t="inlineStr">
        <is>
          <t>OTHER SEEDS OF CUMMIN EXCL. BLACK; NEITHER CRUSHED NOR GROUND</t>
        </is>
      </c>
      <c r="E1681" s="3" t="n">
        <v>9.359999999999999</v>
      </c>
      <c r="F1681" s="3" t="n">
        <v>19.06</v>
      </c>
      <c r="G1681" s="3">
        <f>F1681-E1681</f>
        <v/>
      </c>
      <c r="H1681" s="4">
        <f>IF(E1681=0,"",F1681/E1681-1)</f>
        <v/>
      </c>
      <c r="I1681" t="inlineStr"/>
    </row>
    <row r="1682">
      <c r="A1682" t="inlineStr">
        <is>
          <t>Agri &amp; plantation crops</t>
        </is>
      </c>
      <c r="B1682" t="inlineStr">
        <is>
          <t>08</t>
        </is>
      </c>
      <c r="C1682" t="inlineStr">
        <is>
          <t>08045040</t>
        </is>
      </c>
      <c r="D1682" t="inlineStr">
        <is>
          <t>MANGO PULP</t>
        </is>
      </c>
      <c r="E1682" s="3" t="n">
        <v>29.4</v>
      </c>
      <c r="F1682" s="3" t="n">
        <v>16.11</v>
      </c>
      <c r="G1682" s="3">
        <f>F1682-E1682</f>
        <v/>
      </c>
      <c r="H1682" s="4">
        <f>IF(E1682=0,"",F1682/E1682-1)</f>
        <v/>
      </c>
      <c r="I1682" t="inlineStr"/>
    </row>
    <row r="1683">
      <c r="A1683" t="inlineStr">
        <is>
          <t>Agri &amp; plantation crops</t>
        </is>
      </c>
      <c r="B1683" t="inlineStr">
        <is>
          <t>08</t>
        </is>
      </c>
      <c r="C1683" t="inlineStr">
        <is>
          <t>08045029</t>
        </is>
      </c>
      <c r="D1683" t="inlineStr">
        <is>
          <t>OTHERS-OF-GUAVAS,MANGOES/MANGOSTEENS FRESH OR DRIED</t>
        </is>
      </c>
      <c r="E1683" s="3" t="n">
        <v>12.4</v>
      </c>
      <c r="F1683" s="3" t="n">
        <v>15.5</v>
      </c>
      <c r="G1683" s="3">
        <f>F1683-E1683</f>
        <v/>
      </c>
      <c r="H1683" s="4">
        <f>IF(E1683=0,"",F1683/E1683-1)</f>
        <v/>
      </c>
      <c r="I1683" t="inlineStr"/>
    </row>
    <row r="1684">
      <c r="A1684" t="inlineStr">
        <is>
          <t>Agri &amp; plantation crops</t>
        </is>
      </c>
      <c r="B1684" t="inlineStr">
        <is>
          <t>07</t>
        </is>
      </c>
      <c r="C1684" t="inlineStr">
        <is>
          <t>07132010</t>
        </is>
      </c>
      <c r="D1684" t="inlineStr">
        <is>
          <t>KABULI CHANA</t>
        </is>
      </c>
      <c r="E1684" s="3" t="n">
        <v>21.52</v>
      </c>
      <c r="F1684" s="3" t="n">
        <v>14.87</v>
      </c>
      <c r="G1684" s="3">
        <f>F1684-E1684</f>
        <v/>
      </c>
      <c r="H1684" s="4">
        <f>IF(E1684=0,"",F1684/E1684-1)</f>
        <v/>
      </c>
      <c r="I1684" t="inlineStr"/>
    </row>
    <row r="1685">
      <c r="A1685" t="inlineStr">
        <is>
          <t>Agri &amp; plantation crops</t>
        </is>
      </c>
      <c r="B1685" t="inlineStr">
        <is>
          <t>08</t>
        </is>
      </c>
      <c r="C1685" t="inlineStr">
        <is>
          <t>08109010</t>
        </is>
      </c>
      <c r="D1685" t="inlineStr">
        <is>
          <t>POMEGRANATES FRESH</t>
        </is>
      </c>
      <c r="E1685" s="3" t="n">
        <v>8.76</v>
      </c>
      <c r="F1685" s="3" t="n">
        <v>14.13</v>
      </c>
      <c r="G1685" s="3">
        <f>F1685-E1685</f>
        <v/>
      </c>
      <c r="H1685" s="4">
        <f>IF(E1685=0,"",F1685/E1685-1)</f>
        <v/>
      </c>
      <c r="I1685" t="inlineStr"/>
    </row>
    <row r="1686">
      <c r="A1686" t="inlineStr">
        <is>
          <t>Agri &amp; plantation crops</t>
        </is>
      </c>
      <c r="B1686" t="inlineStr">
        <is>
          <t>09</t>
        </is>
      </c>
      <c r="C1686" t="inlineStr">
        <is>
          <t>09103020</t>
        </is>
      </c>
      <c r="D1686" t="inlineStr">
        <is>
          <t>DRY</t>
        </is>
      </c>
      <c r="E1686" s="3" t="n">
        <v>12.05</v>
      </c>
      <c r="F1686" s="3" t="n">
        <v>13.4</v>
      </c>
      <c r="G1686" s="3">
        <f>F1686-E1686</f>
        <v/>
      </c>
      <c r="H1686" s="4">
        <f>IF(E1686=0,"",F1686/E1686-1)</f>
        <v/>
      </c>
      <c r="I1686" t="inlineStr"/>
    </row>
    <row r="1687">
      <c r="A1687" t="inlineStr">
        <is>
          <t>Agri &amp; plantation crops</t>
        </is>
      </c>
      <c r="B1687" t="inlineStr">
        <is>
          <t>13</t>
        </is>
      </c>
      <c r="C1687" t="inlineStr">
        <is>
          <t>13023239</t>
        </is>
      </c>
      <c r="D1687" t="inlineStr">
        <is>
          <t>Guargum: Others</t>
        </is>
      </c>
      <c r="E1687" s="3" t="n">
        <v>9.73</v>
      </c>
      <c r="F1687" s="3" t="n">
        <v>12.59</v>
      </c>
      <c r="G1687" s="3">
        <f>F1687-E1687</f>
        <v/>
      </c>
      <c r="H1687" s="4">
        <f>IF(E1687=0,"",F1687/E1687-1)</f>
        <v/>
      </c>
      <c r="I1687" t="inlineStr"/>
    </row>
    <row r="1688">
      <c r="A1688" t="inlineStr">
        <is>
          <t>Agri &amp; plantation crops</t>
        </is>
      </c>
      <c r="B1688" t="inlineStr">
        <is>
          <t>07</t>
        </is>
      </c>
      <c r="C1688" t="inlineStr">
        <is>
          <t>07099990</t>
        </is>
      </c>
      <c r="D1688" t="inlineStr">
        <is>
          <t>OTHER OF HDG. 070999</t>
        </is>
      </c>
      <c r="E1688" s="3" t="n">
        <v>11.24</v>
      </c>
      <c r="F1688" s="3" t="n">
        <v>12.04</v>
      </c>
      <c r="G1688" s="3">
        <f>F1688-E1688</f>
        <v/>
      </c>
      <c r="H1688" s="4">
        <f>IF(E1688=0,"",F1688/E1688-1)</f>
        <v/>
      </c>
      <c r="I1688" t="inlineStr"/>
    </row>
    <row r="1689">
      <c r="A1689" t="inlineStr">
        <is>
          <t>Agri &amp; plantation crops</t>
        </is>
      </c>
      <c r="B1689" t="inlineStr">
        <is>
          <t>11</t>
        </is>
      </c>
      <c r="C1689" t="inlineStr">
        <is>
          <t>11031300</t>
        </is>
      </c>
      <c r="D1689" t="inlineStr">
        <is>
          <t>GROATS AND MEAL OF MAIZE (CORN)</t>
        </is>
      </c>
      <c r="E1689" s="3" t="n">
        <v>11.42</v>
      </c>
      <c r="F1689" s="3" t="n">
        <v>11.24</v>
      </c>
      <c r="G1689" s="3">
        <f>F1689-E1689</f>
        <v/>
      </c>
      <c r="H1689" s="4">
        <f>IF(E1689=0,"",F1689/E1689-1)</f>
        <v/>
      </c>
      <c r="I1689" t="inlineStr"/>
    </row>
    <row r="1690">
      <c r="A1690" t="inlineStr">
        <is>
          <t>Agri &amp; plantation crops</t>
        </is>
      </c>
      <c r="B1690" t="inlineStr">
        <is>
          <t>07</t>
        </is>
      </c>
      <c r="C1690" t="inlineStr">
        <is>
          <t>07104000</t>
        </is>
      </c>
      <c r="D1690" t="inlineStr">
        <is>
          <t>SWEET CORN FRZN</t>
        </is>
      </c>
      <c r="E1690" s="3" t="n">
        <v>5.74</v>
      </c>
      <c r="F1690" s="3" t="n">
        <v>9.460000000000001</v>
      </c>
      <c r="G1690" s="3">
        <f>F1690-E1690</f>
        <v/>
      </c>
      <c r="H1690" s="4">
        <f>IF(E1690=0,"",F1690/E1690-1)</f>
        <v/>
      </c>
      <c r="I1690" t="inlineStr"/>
    </row>
    <row r="1691">
      <c r="A1691" t="inlineStr">
        <is>
          <t>Agri &amp; plantation crops</t>
        </is>
      </c>
      <c r="B1691" t="inlineStr">
        <is>
          <t>08</t>
        </is>
      </c>
      <c r="C1691" t="inlineStr">
        <is>
          <t>08011910</t>
        </is>
      </c>
      <c r="D1691" t="inlineStr">
        <is>
          <t>COCONUT FRESH EXCL. DESICCATED AND ENDOCARP</t>
        </is>
      </c>
      <c r="E1691" s="3" t="n">
        <v>8.029999999999999</v>
      </c>
      <c r="F1691" s="3" t="n">
        <v>8.869999999999999</v>
      </c>
      <c r="G1691" s="3">
        <f>F1691-E1691</f>
        <v/>
      </c>
      <c r="H1691" s="4">
        <f>IF(E1691=0,"",F1691/E1691-1)</f>
        <v/>
      </c>
      <c r="I1691" t="inlineStr"/>
    </row>
    <row r="1692">
      <c r="A1692" t="inlineStr">
        <is>
          <t>Agri &amp; plantation crops</t>
        </is>
      </c>
      <c r="B1692" t="inlineStr">
        <is>
          <t>10</t>
        </is>
      </c>
      <c r="C1692" t="inlineStr">
        <is>
          <t>10059019</t>
        </is>
      </c>
      <c r="D1692" t="inlineStr">
        <is>
          <t>OTHERS-OF-OTHER MAIZE (CORN)</t>
        </is>
      </c>
      <c r="E1692" s="3" t="n">
        <v>13.69</v>
      </c>
      <c r="F1692" s="3" t="n">
        <v>7.99</v>
      </c>
      <c r="G1692" s="3">
        <f>F1692-E1692</f>
        <v/>
      </c>
      <c r="H1692" s="4">
        <f>IF(E1692=0,"",F1692/E1692-1)</f>
        <v/>
      </c>
      <c r="I1692" t="inlineStr"/>
    </row>
    <row r="1693">
      <c r="A1693" t="inlineStr">
        <is>
          <t>Agri &amp; plantation crops</t>
        </is>
      </c>
      <c r="B1693" t="inlineStr">
        <is>
          <t>12</t>
        </is>
      </c>
      <c r="C1693" t="inlineStr">
        <is>
          <t>12074090</t>
        </is>
      </c>
      <c r="D1693" t="inlineStr">
        <is>
          <t>OTHER SESAMUM SEEDS W/N BROKEN</t>
        </is>
      </c>
      <c r="E1693" s="3" t="n">
        <v>19.8</v>
      </c>
      <c r="F1693" s="3" t="n">
        <v>7.98</v>
      </c>
      <c r="G1693" s="3">
        <f>F1693-E1693</f>
        <v/>
      </c>
      <c r="H1693" s="4">
        <f>IF(E1693=0,"",F1693/E1693-1)</f>
        <v/>
      </c>
      <c r="I1693" t="inlineStr"/>
    </row>
    <row r="1694">
      <c r="A1694" t="inlineStr">
        <is>
          <t>Agri &amp; plantation crops</t>
        </is>
      </c>
      <c r="B1694" t="inlineStr">
        <is>
          <t>09</t>
        </is>
      </c>
      <c r="C1694" t="inlineStr">
        <is>
          <t>09092190</t>
        </is>
      </c>
      <c r="D1694" t="inlineStr">
        <is>
          <t>OTHER SEEDS OF CORIANDER; NEITHER CRUSHED NOR GROUND</t>
        </is>
      </c>
      <c r="E1694" s="3" t="n">
        <v>4.49</v>
      </c>
      <c r="F1694" s="3" t="n">
        <v>7.64</v>
      </c>
      <c r="G1694" s="3">
        <f>F1694-E1694</f>
        <v/>
      </c>
      <c r="H1694" s="4">
        <f>IF(E1694=0,"",F1694/E1694-1)</f>
        <v/>
      </c>
      <c r="I1694" t="inlineStr"/>
    </row>
    <row r="1695">
      <c r="A1695" t="inlineStr">
        <is>
          <t>Agri &amp; plantation crops</t>
        </is>
      </c>
      <c r="B1695" t="inlineStr">
        <is>
          <t>08</t>
        </is>
      </c>
      <c r="C1695" t="inlineStr">
        <is>
          <t>08011210</t>
        </is>
      </c>
      <c r="D1695" t="inlineStr">
        <is>
          <t>FRESH ENDOCARP</t>
        </is>
      </c>
      <c r="E1695" s="3" t="n">
        <v>4.59</v>
      </c>
      <c r="F1695" s="3" t="n">
        <v>7.36</v>
      </c>
      <c r="G1695" s="3">
        <f>F1695-E1695</f>
        <v/>
      </c>
      <c r="H1695" s="4">
        <f>IF(E1695=0,"",F1695/E1695-1)</f>
        <v/>
      </c>
      <c r="I1695" t="inlineStr"/>
    </row>
    <row r="1696">
      <c r="A1696" t="inlineStr">
        <is>
          <t>Agri &amp; plantation crops</t>
        </is>
      </c>
      <c r="B1696" t="inlineStr">
        <is>
          <t>09</t>
        </is>
      </c>
      <c r="C1696" t="inlineStr">
        <is>
          <t>09103030</t>
        </is>
      </c>
      <c r="D1696" t="inlineStr">
        <is>
          <t>POWDER</t>
        </is>
      </c>
      <c r="E1696" s="3" t="n">
        <v>5.43</v>
      </c>
      <c r="F1696" s="3" t="n">
        <v>6.78</v>
      </c>
      <c r="G1696" s="3">
        <f>F1696-E1696</f>
        <v/>
      </c>
      <c r="H1696" s="4">
        <f>IF(E1696=0,"",F1696/E1696-1)</f>
        <v/>
      </c>
      <c r="I1696" t="inlineStr"/>
    </row>
    <row r="1697">
      <c r="A1697" t="inlineStr">
        <is>
          <t>Agri &amp; plantation crops</t>
        </is>
      </c>
      <c r="B1697" t="inlineStr">
        <is>
          <t>09</t>
        </is>
      </c>
      <c r="C1697" t="inlineStr">
        <is>
          <t>09023090</t>
        </is>
      </c>
      <c r="D1697" t="inlineStr">
        <is>
          <t>OTHR BLACK TEA IN PCKTS OF CONTENT NOT EXCLDNG 3 KG</t>
        </is>
      </c>
      <c r="E1697" s="3" t="n">
        <v>5.7</v>
      </c>
      <c r="F1697" s="3" t="n">
        <v>6.59</v>
      </c>
      <c r="G1697" s="3">
        <f>F1697-E1697</f>
        <v/>
      </c>
      <c r="H1697" s="4">
        <f>IF(E1697=0,"",F1697/E1697-1)</f>
        <v/>
      </c>
      <c r="I1697" t="inlineStr"/>
    </row>
    <row r="1698">
      <c r="A1698" t="inlineStr">
        <is>
          <t>Agri &amp; plantation crops</t>
        </is>
      </c>
      <c r="B1698" t="inlineStr">
        <is>
          <t>11</t>
        </is>
      </c>
      <c r="C1698" t="inlineStr">
        <is>
          <t>11081200</t>
        </is>
      </c>
      <c r="D1698" t="inlineStr">
        <is>
          <t>STARCH OF MAIZE (CORN)</t>
        </is>
      </c>
      <c r="E1698" s="3" t="n">
        <v>6.29</v>
      </c>
      <c r="F1698" s="3" t="n">
        <v>6.58</v>
      </c>
      <c r="G1698" s="3">
        <f>F1698-E1698</f>
        <v/>
      </c>
      <c r="H1698" s="4">
        <f>IF(E1698=0,"",F1698/E1698-1)</f>
        <v/>
      </c>
      <c r="I1698" t="inlineStr"/>
    </row>
    <row r="1699">
      <c r="A1699" t="inlineStr">
        <is>
          <t>Agri &amp; plantation crops</t>
        </is>
      </c>
      <c r="B1699" t="inlineStr">
        <is>
          <t>13</t>
        </is>
      </c>
      <c r="C1699" t="inlineStr">
        <is>
          <t>13023231</t>
        </is>
      </c>
      <c r="D1699" t="inlineStr">
        <is>
          <t>Guargum: Chemically treated</t>
        </is>
      </c>
      <c r="E1699" s="3" t="n">
        <v>1.59</v>
      </c>
      <c r="F1699" s="3" t="n">
        <v>6.58</v>
      </c>
      <c r="G1699" s="3">
        <f>F1699-E1699</f>
        <v/>
      </c>
      <c r="H1699" s="4">
        <f>IF(E1699=0,"",F1699/E1699-1)</f>
        <v/>
      </c>
      <c r="I1699" t="inlineStr"/>
    </row>
    <row r="1700">
      <c r="A1700" t="inlineStr">
        <is>
          <t>Agri &amp; plantation crops</t>
        </is>
      </c>
      <c r="B1700" t="inlineStr">
        <is>
          <t>07</t>
        </is>
      </c>
      <c r="C1700" t="inlineStr">
        <is>
          <t>07136000</t>
        </is>
      </c>
      <c r="D1700" t="inlineStr">
        <is>
          <t>PIGEON PEAS (CAJANUS CAJAN)</t>
        </is>
      </c>
      <c r="E1700" s="3" t="n">
        <v>1.41</v>
      </c>
      <c r="F1700" s="3" t="n">
        <v>6.47</v>
      </c>
      <c r="G1700" s="3">
        <f>F1700-E1700</f>
        <v/>
      </c>
      <c r="H1700" s="4">
        <f>IF(E1700=0,"",F1700/E1700-1)</f>
        <v/>
      </c>
      <c r="I1700" t="inlineStr"/>
    </row>
    <row r="1701">
      <c r="A1701" t="inlineStr">
        <is>
          <t>Agri &amp; plantation crops</t>
        </is>
      </c>
      <c r="B1701" t="inlineStr">
        <is>
          <t>10</t>
        </is>
      </c>
      <c r="C1701" t="inlineStr">
        <is>
          <t>10082920</t>
        </is>
      </c>
      <c r="D1701" t="inlineStr">
        <is>
          <t>BAJRA</t>
        </is>
      </c>
      <c r="E1701" s="3" t="n">
        <v>6.15</v>
      </c>
      <c r="F1701" s="3" t="n">
        <v>6.14</v>
      </c>
      <c r="G1701" s="3">
        <f>F1701-E1701</f>
        <v/>
      </c>
      <c r="H1701" s="4">
        <f>IF(E1701=0,"",F1701/E1701-1)</f>
        <v/>
      </c>
      <c r="I1701" t="inlineStr"/>
    </row>
    <row r="1702">
      <c r="A1702" t="inlineStr">
        <is>
          <t>Agri &amp; plantation crops</t>
        </is>
      </c>
      <c r="B1702" t="inlineStr">
        <is>
          <t>09</t>
        </is>
      </c>
      <c r="C1702" t="inlineStr">
        <is>
          <t>09011149</t>
        </is>
      </c>
      <c r="D1702" t="inlineStr">
        <is>
          <t>COFFEE ROB CHERRY OTHER GRADE</t>
        </is>
      </c>
      <c r="E1702" s="3" t="n">
        <v>2.8</v>
      </c>
      <c r="F1702" s="3" t="n">
        <v>6.03</v>
      </c>
      <c r="G1702" s="3">
        <f>F1702-E1702</f>
        <v/>
      </c>
      <c r="H1702" s="4">
        <f>IF(E1702=0,"",F1702/E1702-1)</f>
        <v/>
      </c>
      <c r="I1702" t="inlineStr"/>
    </row>
    <row r="1703">
      <c r="A1703" t="inlineStr">
        <is>
          <t>Agri &amp; plantation crops</t>
        </is>
      </c>
      <c r="B1703" t="inlineStr">
        <is>
          <t>09</t>
        </is>
      </c>
      <c r="C1703" t="inlineStr">
        <is>
          <t>09042219</t>
        </is>
      </c>
      <c r="D1703" t="inlineStr">
        <is>
          <t>CRUSHED OR GROUND; OTHER FRUITS OF GENUS CAPSICUM</t>
        </is>
      </c>
      <c r="E1703" s="3" t="n">
        <v>6.08</v>
      </c>
      <c r="F1703" s="3" t="n">
        <v>5.87</v>
      </c>
      <c r="G1703" s="3">
        <f>F1703-E1703</f>
        <v/>
      </c>
      <c r="H1703" s="4">
        <f>IF(E1703=0,"",F1703/E1703-1)</f>
        <v/>
      </c>
      <c r="I1703" t="inlineStr"/>
    </row>
    <row r="1704">
      <c r="A1704" t="inlineStr">
        <is>
          <t>Agri &amp; plantation crops</t>
        </is>
      </c>
      <c r="B1704" t="inlineStr">
        <is>
          <t>08</t>
        </is>
      </c>
      <c r="C1704" t="inlineStr">
        <is>
          <t>08134010</t>
        </is>
      </c>
      <c r="D1704" t="inlineStr">
        <is>
          <t>TAMARIND DRIED</t>
        </is>
      </c>
      <c r="E1704" s="3" t="n">
        <v>6.05</v>
      </c>
      <c r="F1704" s="3" t="n">
        <v>5.77</v>
      </c>
      <c r="G1704" s="3">
        <f>F1704-E1704</f>
        <v/>
      </c>
      <c r="H1704" s="4">
        <f>IF(E1704=0,"",F1704/E1704-1)</f>
        <v/>
      </c>
      <c r="I1704" t="inlineStr"/>
    </row>
    <row r="1705">
      <c r="A1705" t="inlineStr">
        <is>
          <t>Agri &amp; plantation crops</t>
        </is>
      </c>
      <c r="B1705" t="inlineStr">
        <is>
          <t>09</t>
        </is>
      </c>
      <c r="C1705" t="inlineStr">
        <is>
          <t>09083120</t>
        </is>
      </c>
      <c r="D1705" t="inlineStr">
        <is>
          <t>SMALL (ELLETTARIA),ALLEPPEY GREEN</t>
        </is>
      </c>
      <c r="E1705" s="3" t="n">
        <v>7.81</v>
      </c>
      <c r="F1705" s="3" t="n">
        <v>5.76</v>
      </c>
      <c r="G1705" s="3">
        <f>F1705-E1705</f>
        <v/>
      </c>
      <c r="H1705" s="4">
        <f>IF(E1705=0,"",F1705/E1705-1)</f>
        <v/>
      </c>
      <c r="I1705" t="inlineStr"/>
    </row>
    <row r="1706">
      <c r="A1706" t="inlineStr">
        <is>
          <t>Agri &amp; plantation crops</t>
        </is>
      </c>
      <c r="B1706" t="inlineStr">
        <is>
          <t>12</t>
        </is>
      </c>
      <c r="C1706" t="inlineStr">
        <is>
          <t>12024210</t>
        </is>
      </c>
      <c r="D1706" t="inlineStr">
        <is>
          <t>KERNELS, H.P.S</t>
        </is>
      </c>
      <c r="E1706" s="3" t="n">
        <v>13.92</v>
      </c>
      <c r="F1706" s="3" t="n">
        <v>5.59</v>
      </c>
      <c r="G1706" s="3">
        <f>F1706-E1706</f>
        <v/>
      </c>
      <c r="H1706" s="4">
        <f>IF(E1706=0,"",F1706/E1706-1)</f>
        <v/>
      </c>
      <c r="I1706" t="inlineStr"/>
    </row>
    <row r="1707">
      <c r="A1707" t="inlineStr">
        <is>
          <t>Agri &amp; plantation crops</t>
        </is>
      </c>
      <c r="B1707" t="inlineStr">
        <is>
          <t>11</t>
        </is>
      </c>
      <c r="C1707" t="inlineStr">
        <is>
          <t>11029022</t>
        </is>
      </c>
      <c r="D1707" t="inlineStr">
        <is>
          <t>WHITE RICE FLOUR</t>
        </is>
      </c>
      <c r="E1707" s="3" t="n">
        <v>3.99</v>
      </c>
      <c r="F1707" s="3" t="n">
        <v>5.5</v>
      </c>
      <c r="G1707" s="3">
        <f>F1707-E1707</f>
        <v/>
      </c>
      <c r="H1707" s="4">
        <f>IF(E1707=0,"",F1707/E1707-1)</f>
        <v/>
      </c>
      <c r="I1707" t="inlineStr"/>
    </row>
    <row r="1708">
      <c r="A1708" t="inlineStr">
        <is>
          <t>Agri &amp; plantation crops</t>
        </is>
      </c>
      <c r="B1708" t="inlineStr">
        <is>
          <t>09</t>
        </is>
      </c>
      <c r="C1708" t="inlineStr">
        <is>
          <t>09011129</t>
        </is>
      </c>
      <c r="D1708" t="inlineStr">
        <is>
          <t>COFFEE ARABICA CHERRY OTHER GRADE</t>
        </is>
      </c>
      <c r="E1708" s="3" t="n">
        <v>3.14</v>
      </c>
      <c r="F1708" s="3" t="n">
        <v>5.31</v>
      </c>
      <c r="G1708" s="3">
        <f>F1708-E1708</f>
        <v/>
      </c>
      <c r="H1708" s="4">
        <f>IF(E1708=0,"",F1708/E1708-1)</f>
        <v/>
      </c>
      <c r="I1708" t="inlineStr"/>
    </row>
    <row r="1709">
      <c r="A1709" t="inlineStr">
        <is>
          <t>Agri &amp; plantation crops</t>
        </is>
      </c>
      <c r="B1709" t="inlineStr">
        <is>
          <t>09</t>
        </is>
      </c>
      <c r="C1709" t="inlineStr">
        <is>
          <t>09083190</t>
        </is>
      </c>
      <c r="D1709" t="inlineStr">
        <is>
          <t>OTHER CARDAMOM; NEITHER CRUSHED NOR GROUND</t>
        </is>
      </c>
      <c r="E1709" s="3" t="n">
        <v>3</v>
      </c>
      <c r="F1709" s="3" t="n">
        <v>4.79</v>
      </c>
      <c r="G1709" s="3">
        <f>F1709-E1709</f>
        <v/>
      </c>
      <c r="H1709" s="4">
        <f>IF(E1709=0,"",F1709/E1709-1)</f>
        <v/>
      </c>
      <c r="I1709" t="inlineStr"/>
    </row>
    <row r="1710">
      <c r="A1710" t="inlineStr">
        <is>
          <t>Agri &amp; plantation crops</t>
        </is>
      </c>
      <c r="B1710" t="inlineStr">
        <is>
          <t>07</t>
        </is>
      </c>
      <c r="C1710" t="inlineStr">
        <is>
          <t>07102100</t>
        </is>
      </c>
      <c r="D1710" t="inlineStr">
        <is>
          <t>PEAS SHELLED OR UNSHELLED,FRZN</t>
        </is>
      </c>
      <c r="E1710" s="3" t="n">
        <v>3.72</v>
      </c>
      <c r="F1710" s="3" t="n">
        <v>4.46</v>
      </c>
      <c r="G1710" s="3">
        <f>F1710-E1710</f>
        <v/>
      </c>
      <c r="H1710" s="4">
        <f>IF(E1710=0,"",F1710/E1710-1)</f>
        <v/>
      </c>
      <c r="I1710" t="inlineStr"/>
    </row>
    <row r="1711">
      <c r="A1711" t="inlineStr">
        <is>
          <t>Agri &amp; plantation crops</t>
        </is>
      </c>
      <c r="B1711" t="inlineStr">
        <is>
          <t>08</t>
        </is>
      </c>
      <c r="C1711" t="inlineStr">
        <is>
          <t>08013210</t>
        </is>
      </c>
      <c r="D1711" t="inlineStr">
        <is>
          <t>CASHEW KARNEL, BROKEN</t>
        </is>
      </c>
      <c r="E1711" s="3" t="n">
        <v>0.6</v>
      </c>
      <c r="F1711" s="3" t="n">
        <v>4.42</v>
      </c>
      <c r="G1711" s="3">
        <f>F1711-E1711</f>
        <v/>
      </c>
      <c r="H1711" s="4">
        <f>IF(E1711=0,"",F1711/E1711-1)</f>
        <v/>
      </c>
      <c r="I1711" t="inlineStr"/>
    </row>
    <row r="1712">
      <c r="A1712" t="inlineStr">
        <is>
          <t>Agri &amp; plantation crops</t>
        </is>
      </c>
      <c r="B1712" t="inlineStr">
        <is>
          <t>10</t>
        </is>
      </c>
      <c r="C1712" t="inlineStr">
        <is>
          <t>10059090</t>
        </is>
      </c>
      <c r="D1712" t="inlineStr">
        <is>
          <t>OTHERS-OF-OTHER MAIZE (CORN)</t>
        </is>
      </c>
      <c r="E1712" s="3" t="n">
        <v>7.55</v>
      </c>
      <c r="F1712" s="3" t="n">
        <v>4.27</v>
      </c>
      <c r="G1712" s="3">
        <f>F1712-E1712</f>
        <v/>
      </c>
      <c r="H1712" s="4">
        <f>IF(E1712=0,"",F1712/E1712-1)</f>
        <v/>
      </c>
      <c r="I1712" t="inlineStr"/>
    </row>
    <row r="1713">
      <c r="A1713" t="inlineStr">
        <is>
          <t>Agri &amp; plantation crops</t>
        </is>
      </c>
      <c r="B1713" t="inlineStr">
        <is>
          <t>09</t>
        </is>
      </c>
      <c r="C1713" t="inlineStr">
        <is>
          <t>09011119</t>
        </is>
      </c>
      <c r="D1713" t="inlineStr">
        <is>
          <t>COFFEE ARABICA PLANTATION OTHER GRADE</t>
        </is>
      </c>
      <c r="E1713" s="3" t="n">
        <v>3.66</v>
      </c>
      <c r="F1713" s="3" t="n">
        <v>4.24</v>
      </c>
      <c r="G1713" s="3">
        <f>F1713-E1713</f>
        <v/>
      </c>
      <c r="H1713" s="4">
        <f>IF(E1713=0,"",F1713/E1713-1)</f>
        <v/>
      </c>
      <c r="I1713" t="inlineStr"/>
    </row>
    <row r="1714">
      <c r="A1714" t="inlineStr">
        <is>
          <t>Agri &amp; plantation crops</t>
        </is>
      </c>
      <c r="B1714" t="inlineStr">
        <is>
          <t>07</t>
        </is>
      </c>
      <c r="C1714" t="inlineStr">
        <is>
          <t>07108090</t>
        </is>
      </c>
      <c r="D1714" t="inlineStr">
        <is>
          <t>OTHER VEGETABLES, FROZN</t>
        </is>
      </c>
      <c r="E1714" s="3" t="n">
        <v>2</v>
      </c>
      <c r="F1714" s="3" t="n">
        <v>4.14</v>
      </c>
      <c r="G1714" s="3">
        <f>F1714-E1714</f>
        <v/>
      </c>
      <c r="H1714" s="4">
        <f>IF(E1714=0,"",F1714/E1714-1)</f>
        <v/>
      </c>
      <c r="I1714" t="inlineStr"/>
    </row>
    <row r="1715">
      <c r="A1715" t="inlineStr">
        <is>
          <t>Agri &amp; plantation crops</t>
        </is>
      </c>
      <c r="B1715" t="inlineStr">
        <is>
          <t>09</t>
        </is>
      </c>
      <c r="C1715" t="inlineStr">
        <is>
          <t>09103010</t>
        </is>
      </c>
      <c r="D1715" t="inlineStr">
        <is>
          <t>FRESH</t>
        </is>
      </c>
      <c r="E1715" s="3" t="n">
        <v>2.37</v>
      </c>
      <c r="F1715" s="3" t="n">
        <v>3.81</v>
      </c>
      <c r="G1715" s="3">
        <f>F1715-E1715</f>
        <v/>
      </c>
      <c r="H1715" s="4">
        <f>IF(E1715=0,"",F1715/E1715-1)</f>
        <v/>
      </c>
      <c r="I1715" t="inlineStr"/>
    </row>
    <row r="1716">
      <c r="A1716" t="inlineStr">
        <is>
          <t>Agri &amp; plantation crops</t>
        </is>
      </c>
      <c r="B1716" t="inlineStr">
        <is>
          <t>11</t>
        </is>
      </c>
      <c r="C1716" t="inlineStr">
        <is>
          <t>11029090</t>
        </is>
      </c>
      <c r="D1716" t="inlineStr">
        <is>
          <t>OTHER FLOUR OF HDG. 1102</t>
        </is>
      </c>
      <c r="E1716" s="3" t="n">
        <v>3.99</v>
      </c>
      <c r="F1716" s="3" t="n">
        <v>3.79</v>
      </c>
      <c r="G1716" s="3">
        <f>F1716-E1716</f>
        <v/>
      </c>
      <c r="H1716" s="4">
        <f>IF(E1716=0,"",F1716/E1716-1)</f>
        <v/>
      </c>
      <c r="I1716" t="inlineStr"/>
    </row>
    <row r="1717">
      <c r="A1717" t="inlineStr">
        <is>
          <t>Agri &amp; plantation crops</t>
        </is>
      </c>
      <c r="B1717" t="inlineStr">
        <is>
          <t>09</t>
        </is>
      </c>
      <c r="C1717" t="inlineStr">
        <is>
          <t>09023020</t>
        </is>
      </c>
      <c r="D1717" t="inlineStr">
        <is>
          <t>BLACK TEA IN PACKT&gt;25 GM BUT&lt;=1 KG</t>
        </is>
      </c>
      <c r="E1717" s="3" t="n">
        <v>4.05</v>
      </c>
      <c r="F1717" s="3" t="n">
        <v>3.72</v>
      </c>
      <c r="G1717" s="3">
        <f>F1717-E1717</f>
        <v/>
      </c>
      <c r="H1717" s="4">
        <f>IF(E1717=0,"",F1717/E1717-1)</f>
        <v/>
      </c>
      <c r="I1717" t="inlineStr"/>
    </row>
    <row r="1718">
      <c r="A1718" t="inlineStr">
        <is>
          <t>Agri &amp; plantation crops</t>
        </is>
      </c>
      <c r="B1718" t="inlineStr">
        <is>
          <t>07</t>
        </is>
      </c>
      <c r="C1718" t="inlineStr">
        <is>
          <t>07109000</t>
        </is>
      </c>
      <c r="D1718" t="inlineStr">
        <is>
          <t>MIXTURE OF VEGETABLES FRZN</t>
        </is>
      </c>
      <c r="E1718" s="3" t="n">
        <v>6.1</v>
      </c>
      <c r="F1718" s="3" t="n">
        <v>3.69</v>
      </c>
      <c r="G1718" s="3">
        <f>F1718-E1718</f>
        <v/>
      </c>
      <c r="H1718" s="4">
        <f>IF(E1718=0,"",F1718/E1718-1)</f>
        <v/>
      </c>
      <c r="I1718" t="inlineStr"/>
    </row>
    <row r="1719">
      <c r="A1719" t="inlineStr">
        <is>
          <t>Agri &amp; plantation crops</t>
        </is>
      </c>
      <c r="B1719" t="inlineStr">
        <is>
          <t>12</t>
        </is>
      </c>
      <c r="C1719" t="inlineStr">
        <is>
          <t>12099190</t>
        </is>
      </c>
      <c r="D1719" t="inlineStr">
        <is>
          <t>VEGETABLE SEEDS FOR PLANTING N.E.S.</t>
        </is>
      </c>
      <c r="E1719" s="3" t="n">
        <v>3.11</v>
      </c>
      <c r="F1719" s="3" t="n">
        <v>3.61</v>
      </c>
      <c r="G1719" s="3">
        <f>F1719-E1719</f>
        <v/>
      </c>
      <c r="H1719" s="4">
        <f>IF(E1719=0,"",F1719/E1719-1)</f>
        <v/>
      </c>
      <c r="I1719" t="inlineStr"/>
    </row>
    <row r="1720">
      <c r="A1720" t="inlineStr">
        <is>
          <t>Agri &amp; plantation crops</t>
        </is>
      </c>
      <c r="B1720" t="inlineStr">
        <is>
          <t>08</t>
        </is>
      </c>
      <c r="C1720" t="inlineStr">
        <is>
          <t>08011100</t>
        </is>
      </c>
      <c r="D1720" t="inlineStr">
        <is>
          <t>COCONUT DESICCATED</t>
        </is>
      </c>
      <c r="E1720" s="3" t="n">
        <v>0.31</v>
      </c>
      <c r="F1720" s="3" t="n">
        <v>3.54</v>
      </c>
      <c r="G1720" s="3">
        <f>F1720-E1720</f>
        <v/>
      </c>
      <c r="H1720" s="4">
        <f>IF(E1720=0,"",F1720/E1720-1)</f>
        <v/>
      </c>
      <c r="I1720" t="inlineStr"/>
    </row>
    <row r="1721">
      <c r="A1721" t="inlineStr">
        <is>
          <t>Agri &amp; plantation crops</t>
        </is>
      </c>
      <c r="B1721" t="inlineStr">
        <is>
          <t>07</t>
        </is>
      </c>
      <c r="C1721" t="inlineStr">
        <is>
          <t>07020000</t>
        </is>
      </c>
      <c r="D1721" t="inlineStr">
        <is>
          <t>TOMATOES FRESH OR CHILLED</t>
        </is>
      </c>
      <c r="E1721" s="3" t="n">
        <v>10.5</v>
      </c>
      <c r="F1721" s="3" t="n">
        <v>3.33</v>
      </c>
      <c r="G1721" s="3">
        <f>F1721-E1721</f>
        <v/>
      </c>
      <c r="H1721" s="4">
        <f>IF(E1721=0,"",F1721/E1721-1)</f>
        <v/>
      </c>
      <c r="I1721" t="inlineStr"/>
    </row>
    <row r="1722">
      <c r="A1722" t="inlineStr">
        <is>
          <t>Agri &amp; plantation crops</t>
        </is>
      </c>
      <c r="B1722" t="inlineStr">
        <is>
          <t>09</t>
        </is>
      </c>
      <c r="C1722" t="inlineStr">
        <is>
          <t>09042110</t>
        </is>
      </c>
      <c r="D1722" t="inlineStr">
        <is>
          <t>OF GENUS CAPSICUM</t>
        </is>
      </c>
      <c r="E1722" s="3" t="n">
        <v>1.04</v>
      </c>
      <c r="F1722" s="3" t="n">
        <v>3.11</v>
      </c>
      <c r="G1722" s="3">
        <f>F1722-E1722</f>
        <v/>
      </c>
      <c r="H1722" s="4">
        <f>IF(E1722=0,"",F1722/E1722-1)</f>
        <v/>
      </c>
      <c r="I1722" t="inlineStr"/>
    </row>
    <row r="1723">
      <c r="A1723" t="inlineStr">
        <is>
          <t>Agri &amp; plantation crops</t>
        </is>
      </c>
      <c r="B1723" t="inlineStr">
        <is>
          <t>09</t>
        </is>
      </c>
      <c r="C1723" t="inlineStr">
        <is>
          <t>09024020</t>
        </is>
      </c>
      <c r="D1723" t="inlineStr">
        <is>
          <t>TEA BLACK,LEAF IN BULK</t>
        </is>
      </c>
      <c r="E1723" s="3" t="n">
        <v>2.91</v>
      </c>
      <c r="F1723" s="3" t="n">
        <v>3.08</v>
      </c>
      <c r="G1723" s="3">
        <f>F1723-E1723</f>
        <v/>
      </c>
      <c r="H1723" s="4">
        <f>IF(E1723=0,"",F1723/E1723-1)</f>
        <v/>
      </c>
      <c r="I1723" t="inlineStr"/>
    </row>
    <row r="1724">
      <c r="A1724" t="inlineStr">
        <is>
          <t>Agri &amp; plantation crops</t>
        </is>
      </c>
      <c r="B1724" t="inlineStr">
        <is>
          <t>09</t>
        </is>
      </c>
      <c r="C1724" t="inlineStr">
        <is>
          <t>09109912</t>
        </is>
      </c>
      <c r="D1724" t="inlineStr">
        <is>
          <t>FENUGREEK SEED</t>
        </is>
      </c>
      <c r="E1724" s="3" t="n">
        <v>1.77</v>
      </c>
      <c r="F1724" s="3" t="n">
        <v>3.06</v>
      </c>
      <c r="G1724" s="3">
        <f>F1724-E1724</f>
        <v/>
      </c>
      <c r="H1724" s="4">
        <f>IF(E1724=0,"",F1724/E1724-1)</f>
        <v/>
      </c>
      <c r="I1724" t="inlineStr"/>
    </row>
    <row r="1725">
      <c r="A1725" t="inlineStr">
        <is>
          <t>Agri &amp; plantation crops</t>
        </is>
      </c>
      <c r="B1725" t="inlineStr">
        <is>
          <t>08</t>
        </is>
      </c>
      <c r="C1725" t="inlineStr">
        <is>
          <t>08109090</t>
        </is>
      </c>
      <c r="D1725" t="inlineStr">
        <is>
          <t>OTHER FRUITS, FRSH</t>
        </is>
      </c>
      <c r="E1725" s="3" t="n">
        <v>2.03</v>
      </c>
      <c r="F1725" s="3" t="n">
        <v>3.01</v>
      </c>
      <c r="G1725" s="3">
        <f>F1725-E1725</f>
        <v/>
      </c>
      <c r="H1725" s="4">
        <f>IF(E1725=0,"",F1725/E1725-1)</f>
        <v/>
      </c>
      <c r="I1725" t="inlineStr"/>
    </row>
    <row r="1726">
      <c r="A1726" t="inlineStr">
        <is>
          <t>Agri &amp; plantation crops</t>
        </is>
      </c>
      <c r="B1726" t="inlineStr">
        <is>
          <t>08</t>
        </is>
      </c>
      <c r="C1726" t="inlineStr">
        <is>
          <t>08045010</t>
        </is>
      </c>
      <c r="D1726" t="inlineStr">
        <is>
          <t>GUAVAS FRESH OR DRIED</t>
        </is>
      </c>
      <c r="E1726" s="3" t="n">
        <v>3</v>
      </c>
      <c r="F1726" s="3" t="n">
        <v>2.69</v>
      </c>
      <c r="G1726" s="3">
        <f>F1726-E1726</f>
        <v/>
      </c>
      <c r="H1726" s="4">
        <f>IF(E1726=0,"",F1726/E1726-1)</f>
        <v/>
      </c>
      <c r="I1726" t="inlineStr"/>
    </row>
    <row r="1727">
      <c r="A1727" t="inlineStr">
        <is>
          <t>Agri &amp; plantation crops</t>
        </is>
      </c>
      <c r="B1727" t="inlineStr">
        <is>
          <t>07</t>
        </is>
      </c>
      <c r="C1727" t="inlineStr">
        <is>
          <t>07141000</t>
        </is>
      </c>
      <c r="D1727" t="inlineStr">
        <is>
          <t>MANIOC (CASSAVA)</t>
        </is>
      </c>
      <c r="E1727" s="3" t="n">
        <v>2.67</v>
      </c>
      <c r="F1727" s="3" t="n">
        <v>2.68</v>
      </c>
      <c r="G1727" s="3">
        <f>F1727-E1727</f>
        <v/>
      </c>
      <c r="H1727" s="4">
        <f>IF(E1727=0,"",F1727/E1727-1)</f>
        <v/>
      </c>
      <c r="I1727" t="inlineStr"/>
    </row>
    <row r="1728">
      <c r="A1728" t="inlineStr">
        <is>
          <t>Agri &amp; plantation crops</t>
        </is>
      </c>
      <c r="B1728" t="inlineStr">
        <is>
          <t>09</t>
        </is>
      </c>
      <c r="C1728" t="inlineStr">
        <is>
          <t>09083110</t>
        </is>
      </c>
      <c r="D1728" t="inlineStr">
        <is>
          <t>LARGE ( AMOMUM)</t>
        </is>
      </c>
      <c r="E1728" s="3" t="n">
        <v>0.48</v>
      </c>
      <c r="F1728" s="3" t="n">
        <v>2.35</v>
      </c>
      <c r="G1728" s="3">
        <f>F1728-E1728</f>
        <v/>
      </c>
      <c r="H1728" s="4">
        <f>IF(E1728=0,"",F1728/E1728-1)</f>
        <v/>
      </c>
      <c r="I1728" t="inlineStr"/>
    </row>
    <row r="1729">
      <c r="A1729" t="inlineStr">
        <is>
          <t>Agri &amp; plantation crops</t>
        </is>
      </c>
      <c r="B1729" t="inlineStr">
        <is>
          <t>14</t>
        </is>
      </c>
      <c r="C1729" t="inlineStr">
        <is>
          <t>14049090</t>
        </is>
      </c>
      <c r="D1729" t="inlineStr">
        <is>
          <t>OTHER VEG MATRLS, NES</t>
        </is>
      </c>
      <c r="E1729" s="3" t="n">
        <v>2.05</v>
      </c>
      <c r="F1729" s="3" t="n">
        <v>2.29</v>
      </c>
      <c r="G1729" s="3">
        <f>F1729-E1729</f>
        <v/>
      </c>
      <c r="H1729" s="4">
        <f>IF(E1729=0,"",F1729/E1729-1)</f>
        <v/>
      </c>
      <c r="I1729" t="inlineStr"/>
    </row>
    <row r="1730">
      <c r="A1730" t="inlineStr">
        <is>
          <t>Agri &amp; plantation crops</t>
        </is>
      </c>
      <c r="B1730" t="inlineStr">
        <is>
          <t>11</t>
        </is>
      </c>
      <c r="C1730" t="inlineStr">
        <is>
          <t>11052000</t>
        </is>
      </c>
      <c r="D1730" t="inlineStr">
        <is>
          <t>FLAKES OF POTATOES</t>
        </is>
      </c>
      <c r="E1730" s="3" t="n">
        <v>1.71</v>
      </c>
      <c r="F1730" s="3" t="n">
        <v>2.07</v>
      </c>
      <c r="G1730" s="3">
        <f>F1730-E1730</f>
        <v/>
      </c>
      <c r="H1730" s="4">
        <f>IF(E1730=0,"",F1730/E1730-1)</f>
        <v/>
      </c>
      <c r="I1730" t="inlineStr"/>
    </row>
    <row r="1731">
      <c r="A1731" t="inlineStr">
        <is>
          <t>Agri &amp; plantation crops</t>
        </is>
      </c>
      <c r="B1731" t="inlineStr">
        <is>
          <t>10</t>
        </is>
      </c>
      <c r="C1731" t="inlineStr">
        <is>
          <t>10079000</t>
        </is>
      </c>
      <c r="D1731" t="inlineStr">
        <is>
          <t>OTHER GRAIN SORGHUM</t>
        </is>
      </c>
      <c r="E1731" s="3" t="n">
        <v>1.99</v>
      </c>
      <c r="F1731" s="3" t="n">
        <v>1.99</v>
      </c>
      <c r="G1731" s="3">
        <f>F1731-E1731</f>
        <v/>
      </c>
      <c r="H1731" s="4">
        <f>IF(E1731=0,"",F1731/E1731-1)</f>
        <v/>
      </c>
      <c r="I1731" t="inlineStr"/>
    </row>
    <row r="1732">
      <c r="A1732" t="inlineStr">
        <is>
          <t>Agri &amp; plantation crops</t>
        </is>
      </c>
      <c r="B1732" t="inlineStr">
        <is>
          <t>08</t>
        </is>
      </c>
      <c r="C1732" t="inlineStr">
        <is>
          <t>08109040</t>
        </is>
      </c>
      <c r="D1732" t="inlineStr">
        <is>
          <t>CUSTARD-APPLE(ATA)</t>
        </is>
      </c>
      <c r="E1732" s="3" t="n">
        <v>1.83</v>
      </c>
      <c r="F1732" s="3" t="n">
        <v>1.91</v>
      </c>
      <c r="G1732" s="3">
        <f>F1732-E1732</f>
        <v/>
      </c>
      <c r="H1732" s="4">
        <f>IF(E1732=0,"",F1732/E1732-1)</f>
        <v/>
      </c>
      <c r="I1732" t="inlineStr"/>
    </row>
    <row r="1733">
      <c r="A1733" t="inlineStr">
        <is>
          <t>Agri &amp; plantation crops</t>
        </is>
      </c>
      <c r="B1733" t="inlineStr">
        <is>
          <t>07</t>
        </is>
      </c>
      <c r="C1733" t="inlineStr">
        <is>
          <t>07031020</t>
        </is>
      </c>
      <c r="D1733" t="inlineStr">
        <is>
          <t>SHALLOTS FRESH OR CHILLED</t>
        </is>
      </c>
      <c r="E1733" s="3" t="n">
        <v>1.36</v>
      </c>
      <c r="F1733" s="3" t="n">
        <v>1.89</v>
      </c>
      <c r="G1733" s="3">
        <f>F1733-E1733</f>
        <v/>
      </c>
      <c r="H1733" s="4">
        <f>IF(E1733=0,"",F1733/E1733-1)</f>
        <v/>
      </c>
      <c r="I1733" t="inlineStr"/>
    </row>
    <row r="1734">
      <c r="A1734" t="inlineStr">
        <is>
          <t>Agri &amp; plantation crops</t>
        </is>
      </c>
      <c r="B1734" t="inlineStr">
        <is>
          <t>09</t>
        </is>
      </c>
      <c r="C1734" t="inlineStr">
        <is>
          <t>09101110</t>
        </is>
      </c>
      <c r="D1734" t="inlineStr">
        <is>
          <t>FRESH</t>
        </is>
      </c>
      <c r="E1734" s="3" t="n">
        <v>2.14</v>
      </c>
      <c r="F1734" s="3" t="n">
        <v>1.83</v>
      </c>
      <c r="G1734" s="3">
        <f>F1734-E1734</f>
        <v/>
      </c>
      <c r="H1734" s="4">
        <f>IF(E1734=0,"",F1734/E1734-1)</f>
        <v/>
      </c>
      <c r="I1734" t="inlineStr"/>
    </row>
    <row r="1735">
      <c r="A1735" t="inlineStr">
        <is>
          <t>Agri &amp; plantation crops</t>
        </is>
      </c>
      <c r="B1735" t="inlineStr">
        <is>
          <t>09</t>
        </is>
      </c>
      <c r="C1735" t="inlineStr">
        <is>
          <t>09101120</t>
        </is>
      </c>
      <c r="D1735" t="inlineStr">
        <is>
          <t>DRIED, UNBLEACHED</t>
        </is>
      </c>
      <c r="E1735" s="3" t="n">
        <v>0.34</v>
      </c>
      <c r="F1735" s="3" t="n">
        <v>1.8</v>
      </c>
      <c r="G1735" s="3">
        <f>F1735-E1735</f>
        <v/>
      </c>
      <c r="H1735" s="4">
        <f>IF(E1735=0,"",F1735/E1735-1)</f>
        <v/>
      </c>
      <c r="I1735" t="inlineStr"/>
    </row>
    <row r="1736">
      <c r="A1736" t="inlineStr">
        <is>
          <t>Agri &amp; plantation crops</t>
        </is>
      </c>
      <c r="B1736" t="inlineStr">
        <is>
          <t>07</t>
        </is>
      </c>
      <c r="C1736" t="inlineStr">
        <is>
          <t>07132020</t>
        </is>
      </c>
      <c r="D1736" t="inlineStr">
        <is>
          <t>BENGAL GRAM (DESI CHANA)</t>
        </is>
      </c>
      <c r="E1736" s="3" t="n">
        <v>2.29</v>
      </c>
      <c r="F1736" s="3" t="n">
        <v>1.77</v>
      </c>
      <c r="G1736" s="3">
        <f>F1736-E1736</f>
        <v/>
      </c>
      <c r="H1736" s="4">
        <f>IF(E1736=0,"",F1736/E1736-1)</f>
        <v/>
      </c>
      <c r="I1736" t="inlineStr"/>
    </row>
    <row r="1737">
      <c r="A1737" t="inlineStr">
        <is>
          <t>Agri &amp; plantation crops</t>
        </is>
      </c>
      <c r="B1737" t="inlineStr">
        <is>
          <t>09</t>
        </is>
      </c>
      <c r="C1737" t="inlineStr">
        <is>
          <t>09011142</t>
        </is>
      </c>
      <c r="D1737" t="inlineStr">
        <is>
          <t>COFFEE ROB CHERRY PB</t>
        </is>
      </c>
      <c r="E1737" s="3" t="n">
        <v>4.58</v>
      </c>
      <c r="F1737" s="3" t="n">
        <v>1.76</v>
      </c>
      <c r="G1737" s="3">
        <f>F1737-E1737</f>
        <v/>
      </c>
      <c r="H1737" s="4">
        <f>IF(E1737=0,"",F1737/E1737-1)</f>
        <v/>
      </c>
      <c r="I1737" t="inlineStr"/>
    </row>
    <row r="1738">
      <c r="A1738" t="inlineStr">
        <is>
          <t>Agri &amp; plantation crops</t>
        </is>
      </c>
      <c r="B1738" t="inlineStr">
        <is>
          <t>09</t>
        </is>
      </c>
      <c r="C1738" t="inlineStr">
        <is>
          <t>09022090</t>
        </is>
      </c>
      <c r="D1738" t="inlineStr">
        <is>
          <t>OTHER GREEN TEA(NOT FERMENTED) NES</t>
        </is>
      </c>
      <c r="E1738" s="3" t="n">
        <v>0.55</v>
      </c>
      <c r="F1738" s="3" t="n">
        <v>1.76</v>
      </c>
      <c r="G1738" s="3">
        <f>F1738-E1738</f>
        <v/>
      </c>
      <c r="H1738" s="4">
        <f>IF(E1738=0,"",F1738/E1738-1)</f>
        <v/>
      </c>
      <c r="I1738" t="inlineStr"/>
    </row>
    <row r="1739">
      <c r="A1739" t="inlineStr">
        <is>
          <t>Agri &amp; plantation crops</t>
        </is>
      </c>
      <c r="B1739" t="inlineStr">
        <is>
          <t>09</t>
        </is>
      </c>
      <c r="C1739" t="inlineStr">
        <is>
          <t>09024010</t>
        </is>
      </c>
      <c r="D1739" t="inlineStr">
        <is>
          <t>TEA BLACK IN PCKT&gt;3KG BUT&lt;= 20 KG</t>
        </is>
      </c>
      <c r="E1739" s="3" t="n">
        <v>0.82</v>
      </c>
      <c r="F1739" s="3" t="n">
        <v>1.61</v>
      </c>
      <c r="G1739" s="3">
        <f>F1739-E1739</f>
        <v/>
      </c>
      <c r="H1739" s="4">
        <f>IF(E1739=0,"",F1739/E1739-1)</f>
        <v/>
      </c>
      <c r="I1739" t="inlineStr"/>
    </row>
    <row r="1740">
      <c r="A1740" t="inlineStr">
        <is>
          <t>Agri &amp; plantation crops</t>
        </is>
      </c>
      <c r="B1740" t="inlineStr">
        <is>
          <t>09</t>
        </is>
      </c>
      <c r="C1740" t="inlineStr">
        <is>
          <t>09092200</t>
        </is>
      </c>
      <c r="D1740" t="inlineStr">
        <is>
          <t>CRUSHED OR GROUND CORIANDER</t>
        </is>
      </c>
      <c r="E1740" s="3" t="n">
        <v>1.95</v>
      </c>
      <c r="F1740" s="3" t="n">
        <v>1.59</v>
      </c>
      <c r="G1740" s="3">
        <f>F1740-E1740</f>
        <v/>
      </c>
      <c r="H1740" s="4">
        <f>IF(E1740=0,"",F1740/E1740-1)</f>
        <v/>
      </c>
      <c r="I1740" t="inlineStr"/>
    </row>
    <row r="1741">
      <c r="A1741" t="inlineStr">
        <is>
          <t>Agri &amp; plantation crops</t>
        </is>
      </c>
      <c r="B1741" t="inlineStr">
        <is>
          <t>10</t>
        </is>
      </c>
      <c r="C1741" t="inlineStr">
        <is>
          <t>10082120</t>
        </is>
      </c>
      <c r="D1741" t="inlineStr">
        <is>
          <t>BAJRA</t>
        </is>
      </c>
      <c r="E1741" s="3" t="n">
        <v>1.25</v>
      </c>
      <c r="F1741" s="3" t="n">
        <v>1.56</v>
      </c>
      <c r="G1741" s="3">
        <f>F1741-E1741</f>
        <v/>
      </c>
      <c r="H1741" s="4">
        <f>IF(E1741=0,"",F1741/E1741-1)</f>
        <v/>
      </c>
      <c r="I1741" t="inlineStr"/>
    </row>
    <row r="1742">
      <c r="A1742" t="inlineStr">
        <is>
          <t>Agri &amp; plantation crops</t>
        </is>
      </c>
      <c r="B1742" t="inlineStr">
        <is>
          <t>08</t>
        </is>
      </c>
      <c r="C1742" t="inlineStr">
        <is>
          <t>08111090</t>
        </is>
      </c>
      <c r="D1742" t="inlineStr">
        <is>
          <t>OTHER STRAWBERS W/N COKD,FRZN</t>
        </is>
      </c>
      <c r="E1742" s="3" t="n">
        <v>1.26</v>
      </c>
      <c r="F1742" s="3" t="n">
        <v>1.52</v>
      </c>
      <c r="G1742" s="3">
        <f>F1742-E1742</f>
        <v/>
      </c>
      <c r="H1742" s="4">
        <f>IF(E1742=0,"",F1742/E1742-1)</f>
        <v/>
      </c>
      <c r="I1742" t="inlineStr"/>
    </row>
    <row r="1743">
      <c r="A1743" t="inlineStr">
        <is>
          <t>Agri &amp; plantation crops</t>
        </is>
      </c>
      <c r="B1743" t="inlineStr">
        <is>
          <t>09</t>
        </is>
      </c>
      <c r="C1743" t="inlineStr">
        <is>
          <t>09096139</t>
        </is>
      </c>
      <c r="D1743" t="inlineStr">
        <is>
          <t>OTHER SEEDS OF CARAWAY OR FENNEL</t>
        </is>
      </c>
      <c r="E1743" s="3" t="n">
        <v>2.31</v>
      </c>
      <c r="F1743" s="3" t="n">
        <v>1.49</v>
      </c>
      <c r="G1743" s="3">
        <f>F1743-E1743</f>
        <v/>
      </c>
      <c r="H1743" s="4">
        <f>IF(E1743=0,"",F1743/E1743-1)</f>
        <v/>
      </c>
      <c r="I1743" t="inlineStr"/>
    </row>
    <row r="1744">
      <c r="A1744" t="inlineStr">
        <is>
          <t>Agri &amp; plantation crops</t>
        </is>
      </c>
      <c r="B1744" t="inlineStr">
        <is>
          <t>08</t>
        </is>
      </c>
      <c r="C1744" t="inlineStr">
        <is>
          <t>08134090</t>
        </is>
      </c>
      <c r="D1744" t="inlineStr">
        <is>
          <t>OTHERS FRUIT DRIED (EXCLDNG TAMARIND AND SINGODA WHOLE</t>
        </is>
      </c>
      <c r="E1744" s="3" t="n">
        <v>0.36</v>
      </c>
      <c r="F1744" s="3" t="n">
        <v>1.44</v>
      </c>
      <c r="G1744" s="3">
        <f>F1744-E1744</f>
        <v/>
      </c>
      <c r="H1744" s="4">
        <f>IF(E1744=0,"",F1744/E1744-1)</f>
        <v/>
      </c>
      <c r="I1744" t="inlineStr"/>
    </row>
    <row r="1745">
      <c r="A1745" t="inlineStr">
        <is>
          <t>Agri &amp; plantation crops</t>
        </is>
      </c>
      <c r="B1745" t="inlineStr">
        <is>
          <t>13</t>
        </is>
      </c>
      <c r="C1745" t="inlineStr">
        <is>
          <t>13019013</t>
        </is>
      </c>
      <c r="D1745" t="inlineStr">
        <is>
          <t>ASAFOETIDA</t>
        </is>
      </c>
      <c r="E1745" s="3" t="n">
        <v>2.11</v>
      </c>
      <c r="F1745" s="3" t="n">
        <v>1.43</v>
      </c>
      <c r="G1745" s="3">
        <f>F1745-E1745</f>
        <v/>
      </c>
      <c r="H1745" s="4">
        <f>IF(E1745=0,"",F1745/E1745-1)</f>
        <v/>
      </c>
      <c r="I1745" t="inlineStr"/>
    </row>
    <row r="1746">
      <c r="A1746" t="inlineStr">
        <is>
          <t>Agri &amp; plantation crops</t>
        </is>
      </c>
      <c r="B1746" t="inlineStr">
        <is>
          <t>07</t>
        </is>
      </c>
      <c r="C1746" t="inlineStr">
        <is>
          <t>07133110</t>
        </is>
      </c>
      <c r="D1746" t="inlineStr">
        <is>
          <t>BEANS OF THE SPP VIGNA MUNGO (L.) HEPPER</t>
        </is>
      </c>
      <c r="E1746" s="3" t="n">
        <v>0.45</v>
      </c>
      <c r="F1746" s="3" t="n">
        <v>1.39</v>
      </c>
      <c r="G1746" s="3">
        <f>F1746-E1746</f>
        <v/>
      </c>
      <c r="H1746" s="4">
        <f>IF(E1746=0,"",F1746/E1746-1)</f>
        <v/>
      </c>
      <c r="I1746" t="inlineStr"/>
    </row>
    <row r="1747">
      <c r="A1747" t="inlineStr">
        <is>
          <t>Agri &amp; plantation crops</t>
        </is>
      </c>
      <c r="B1747" t="inlineStr">
        <is>
          <t>08</t>
        </is>
      </c>
      <c r="C1747" t="inlineStr">
        <is>
          <t>08104000</t>
        </is>
      </c>
      <c r="D1747" t="inlineStr">
        <is>
          <t>*CRNBERY BILBERS AND OTHR OF GNUS VCINUM,FRSH</t>
        </is>
      </c>
      <c r="E1747" s="3" t="n">
        <v>0.82</v>
      </c>
      <c r="F1747" s="3" t="n">
        <v>1.36</v>
      </c>
      <c r="G1747" s="3">
        <f>F1747-E1747</f>
        <v/>
      </c>
      <c r="H1747" s="4">
        <f>IF(E1747=0,"",F1747/E1747-1)</f>
        <v/>
      </c>
      <c r="I1747" t="inlineStr"/>
    </row>
    <row r="1748">
      <c r="A1748" t="inlineStr">
        <is>
          <t>Agri &amp; plantation crops</t>
        </is>
      </c>
      <c r="B1748" t="inlineStr">
        <is>
          <t>07</t>
        </is>
      </c>
      <c r="C1748" t="inlineStr">
        <is>
          <t>07119090</t>
        </is>
      </c>
      <c r="D1748" t="inlineStr">
        <is>
          <t>OTHERS PROVISIONALLY PRESERVED</t>
        </is>
      </c>
      <c r="E1748" s="3" t="n">
        <v>1.1</v>
      </c>
      <c r="F1748" s="3" t="n">
        <v>1.33</v>
      </c>
      <c r="G1748" s="3">
        <f>F1748-E1748</f>
        <v/>
      </c>
      <c r="H1748" s="4">
        <f>IF(E1748=0,"",F1748/E1748-1)</f>
        <v/>
      </c>
      <c r="I1748" t="inlineStr"/>
    </row>
    <row r="1749">
      <c r="A1749" t="inlineStr">
        <is>
          <t>Agri &amp; plantation crops</t>
        </is>
      </c>
      <c r="B1749" t="inlineStr">
        <is>
          <t>08</t>
        </is>
      </c>
      <c r="C1749" t="inlineStr">
        <is>
          <t>08011220</t>
        </is>
      </c>
      <c r="D1749" t="inlineStr">
        <is>
          <t>DRIED ENDOCARP</t>
        </is>
      </c>
      <c r="E1749" s="3" t="n">
        <v>1.26</v>
      </c>
      <c r="F1749" s="3" t="n">
        <v>1.28</v>
      </c>
      <c r="G1749" s="3">
        <f>F1749-E1749</f>
        <v/>
      </c>
      <c r="H1749" s="4">
        <f>IF(E1749=0,"",F1749/E1749-1)</f>
        <v/>
      </c>
      <c r="I1749" t="inlineStr"/>
    </row>
    <row r="1750">
      <c r="A1750" t="inlineStr">
        <is>
          <t>Agri &amp; plantation crops</t>
        </is>
      </c>
      <c r="B1750" t="inlineStr">
        <is>
          <t>09</t>
        </is>
      </c>
      <c r="C1750" t="inlineStr">
        <is>
          <t>09011112</t>
        </is>
      </c>
      <c r="D1750" t="inlineStr">
        <is>
          <t>COFFEE ARABICA PLANTATION`B`</t>
        </is>
      </c>
      <c r="E1750" s="3" t="n">
        <v>0</v>
      </c>
      <c r="F1750" s="3" t="n">
        <v>1.28</v>
      </c>
      <c r="G1750" s="3">
        <f>F1750-E1750</f>
        <v/>
      </c>
      <c r="H1750" s="4">
        <f>IF(E1750=0,"",F1750/E1750-1)</f>
        <v/>
      </c>
      <c r="I1750" t="inlineStr"/>
    </row>
    <row r="1751">
      <c r="A1751" t="inlineStr">
        <is>
          <t>Agri &amp; plantation crops</t>
        </is>
      </c>
      <c r="B1751" t="inlineStr">
        <is>
          <t>08</t>
        </is>
      </c>
      <c r="C1751" t="inlineStr">
        <is>
          <t>08011990</t>
        </is>
      </c>
      <c r="D1751" t="inlineStr">
        <is>
          <t>OTHR COCONUTS EXCLDNG FRESH AND DRIED AND DESICCATED AND ENDOCARP</t>
        </is>
      </c>
      <c r="E1751" s="3" t="n">
        <v>0.34</v>
      </c>
      <c r="F1751" s="3" t="n">
        <v>1.18</v>
      </c>
      <c r="G1751" s="3">
        <f>F1751-E1751</f>
        <v/>
      </c>
      <c r="H1751" s="4">
        <f>IF(E1751=0,"",F1751/E1751-1)</f>
        <v/>
      </c>
      <c r="I1751" t="inlineStr"/>
    </row>
    <row r="1752">
      <c r="A1752" t="inlineStr">
        <is>
          <t>Agri &amp; plantation crops</t>
        </is>
      </c>
      <c r="B1752" t="inlineStr">
        <is>
          <t>09</t>
        </is>
      </c>
      <c r="C1752" t="inlineStr">
        <is>
          <t>09024040</t>
        </is>
      </c>
      <c r="D1752" t="inlineStr">
        <is>
          <t>TEA BAGS</t>
        </is>
      </c>
      <c r="E1752" s="3" t="n">
        <v>0.78</v>
      </c>
      <c r="F1752" s="3" t="n">
        <v>1.15</v>
      </c>
      <c r="G1752" s="3">
        <f>F1752-E1752</f>
        <v/>
      </c>
      <c r="H1752" s="4">
        <f>IF(E1752=0,"",F1752/E1752-1)</f>
        <v/>
      </c>
      <c r="I1752" t="inlineStr"/>
    </row>
    <row r="1753">
      <c r="A1753" t="inlineStr">
        <is>
          <t>Agri &amp; plantation crops</t>
        </is>
      </c>
      <c r="B1753" t="inlineStr">
        <is>
          <t>06</t>
        </is>
      </c>
      <c r="C1753" t="inlineStr">
        <is>
          <t>06029090</t>
        </is>
      </c>
      <c r="D1753" t="inlineStr">
        <is>
          <t>OTHER LIVE PLANTS</t>
        </is>
      </c>
      <c r="E1753" s="3" t="n">
        <v>2.95</v>
      </c>
      <c r="F1753" s="3" t="n">
        <v>1.14</v>
      </c>
      <c r="G1753" s="3">
        <f>F1753-E1753</f>
        <v/>
      </c>
      <c r="H1753" s="4">
        <f>IF(E1753=0,"",F1753/E1753-1)</f>
        <v/>
      </c>
      <c r="I1753" t="inlineStr"/>
    </row>
    <row r="1754">
      <c r="A1754" t="inlineStr">
        <is>
          <t>Agri &amp; plantation crops</t>
        </is>
      </c>
      <c r="B1754" t="inlineStr">
        <is>
          <t>06</t>
        </is>
      </c>
      <c r="C1754" t="inlineStr">
        <is>
          <t>06039000</t>
        </is>
      </c>
      <c r="D1754" t="inlineStr">
        <is>
          <t>OTHR CUT FLWRS AND FLOWER BUDS SUITABLE FOR BOQETS/FOR ORNMNTL PURPSES</t>
        </is>
      </c>
      <c r="E1754" s="3" t="n">
        <v>1.6</v>
      </c>
      <c r="F1754" s="3" t="n">
        <v>1.14</v>
      </c>
      <c r="G1754" s="3">
        <f>F1754-E1754</f>
        <v/>
      </c>
      <c r="H1754" s="4">
        <f>IF(E1754=0,"",F1754/E1754-1)</f>
        <v/>
      </c>
      <c r="I1754" t="inlineStr"/>
    </row>
    <row r="1755">
      <c r="A1755" t="inlineStr">
        <is>
          <t>Agri &amp; plantation crops</t>
        </is>
      </c>
      <c r="B1755" t="inlineStr">
        <is>
          <t>07</t>
        </is>
      </c>
      <c r="C1755" t="inlineStr">
        <is>
          <t>07069030</t>
        </is>
      </c>
      <c r="D1755" t="inlineStr">
        <is>
          <t>SALAD BEET ROOT FRSH OR CHLD</t>
        </is>
      </c>
      <c r="E1755" s="3" t="n">
        <v>0.53</v>
      </c>
      <c r="F1755" s="3" t="n">
        <v>1.14</v>
      </c>
      <c r="G1755" s="3">
        <f>F1755-E1755</f>
        <v/>
      </c>
      <c r="H1755" s="4">
        <f>IF(E1755=0,"",F1755/E1755-1)</f>
        <v/>
      </c>
      <c r="I1755" t="inlineStr"/>
    </row>
    <row r="1756">
      <c r="A1756" t="inlineStr">
        <is>
          <t>Agri &amp; plantation crops</t>
        </is>
      </c>
      <c r="B1756" t="inlineStr">
        <is>
          <t>09</t>
        </is>
      </c>
      <c r="C1756" t="inlineStr">
        <is>
          <t>09024090</t>
        </is>
      </c>
      <c r="D1756" t="inlineStr">
        <is>
          <t>OTHER BLACK TEA</t>
        </is>
      </c>
      <c r="E1756" s="3" t="n">
        <v>0.61</v>
      </c>
      <c r="F1756" s="3" t="n">
        <v>1.09</v>
      </c>
      <c r="G1756" s="3">
        <f>F1756-E1756</f>
        <v/>
      </c>
      <c r="H1756" s="4">
        <f>IF(E1756=0,"",F1756/E1756-1)</f>
        <v/>
      </c>
      <c r="I1756" t="inlineStr"/>
    </row>
    <row r="1757">
      <c r="A1757" t="inlineStr">
        <is>
          <t>Agri &amp; plantation crops</t>
        </is>
      </c>
      <c r="B1757" t="inlineStr">
        <is>
          <t>12</t>
        </is>
      </c>
      <c r="C1757" t="inlineStr">
        <is>
          <t>12119032</t>
        </is>
      </c>
      <c r="D1757" t="inlineStr">
        <is>
          <t>PSYLLIUM HUSK (ISOBGUL HUSK)</t>
        </is>
      </c>
      <c r="E1757" s="3" t="n">
        <v>0.33</v>
      </c>
      <c r="F1757" s="3" t="n">
        <v>1.06</v>
      </c>
      <c r="G1757" s="3">
        <f>F1757-E1757</f>
        <v/>
      </c>
      <c r="H1757" s="4">
        <f>IF(E1757=0,"",F1757/E1757-1)</f>
        <v/>
      </c>
      <c r="I1757" t="inlineStr"/>
    </row>
    <row r="1758">
      <c r="A1758" t="inlineStr">
        <is>
          <t>Agri &amp; plantation crops</t>
        </is>
      </c>
      <c r="B1758" t="inlineStr">
        <is>
          <t>07</t>
        </is>
      </c>
      <c r="C1758" t="inlineStr">
        <is>
          <t>07032000</t>
        </is>
      </c>
      <c r="D1758" t="inlineStr">
        <is>
          <t>GARLIC FRESH OR CHILLED</t>
        </is>
      </c>
      <c r="E1758" s="3" t="n">
        <v>0.9</v>
      </c>
      <c r="F1758" s="3" t="n">
        <v>1.04</v>
      </c>
      <c r="G1758" s="3">
        <f>F1758-E1758</f>
        <v/>
      </c>
      <c r="H1758" s="4">
        <f>IF(E1758=0,"",F1758/E1758-1)</f>
        <v/>
      </c>
      <c r="I1758" t="inlineStr"/>
    </row>
    <row r="1759">
      <c r="A1759" t="inlineStr">
        <is>
          <t>Agri &amp; plantation crops</t>
        </is>
      </c>
      <c r="B1759" t="inlineStr">
        <is>
          <t>09</t>
        </is>
      </c>
      <c r="C1759" t="inlineStr">
        <is>
          <t>09109990</t>
        </is>
      </c>
      <c r="D1759" t="inlineStr">
        <is>
          <t>OTHER SPICES, NES</t>
        </is>
      </c>
      <c r="E1759" s="3" t="n">
        <v>0.16</v>
      </c>
      <c r="F1759" s="3" t="n">
        <v>0.95</v>
      </c>
      <c r="G1759" s="3">
        <f>F1759-E1759</f>
        <v/>
      </c>
      <c r="H1759" s="4">
        <f>IF(E1759=0,"",F1759/E1759-1)</f>
        <v/>
      </c>
      <c r="I1759" t="inlineStr"/>
    </row>
    <row r="1760">
      <c r="A1760" t="inlineStr">
        <is>
          <t>Agri &amp; plantation crops</t>
        </is>
      </c>
      <c r="B1760" t="inlineStr">
        <is>
          <t>09</t>
        </is>
      </c>
      <c r="C1760" t="inlineStr">
        <is>
          <t>09101190</t>
        </is>
      </c>
      <c r="D1760" t="inlineStr">
        <is>
          <t>OTHER GINGER; NEITHER CRUSHED NOR GROUND</t>
        </is>
      </c>
      <c r="E1760" s="3" t="n">
        <v>0.32</v>
      </c>
      <c r="F1760" s="3" t="n">
        <v>0.9</v>
      </c>
      <c r="G1760" s="3">
        <f>F1760-E1760</f>
        <v/>
      </c>
      <c r="H1760" s="4">
        <f>IF(E1760=0,"",F1760/E1760-1)</f>
        <v/>
      </c>
      <c r="I1760" t="inlineStr"/>
    </row>
    <row r="1761">
      <c r="A1761" t="inlineStr">
        <is>
          <t>Agri &amp; plantation crops</t>
        </is>
      </c>
      <c r="B1761" t="inlineStr">
        <is>
          <t>08</t>
        </is>
      </c>
      <c r="C1761" t="inlineStr">
        <is>
          <t>08045090</t>
        </is>
      </c>
      <c r="D1761" t="inlineStr">
        <is>
          <t>OTHRS FRESH OR DRIED</t>
        </is>
      </c>
      <c r="E1761" s="3" t="n">
        <v>0.34</v>
      </c>
      <c r="F1761" s="3" t="n">
        <v>0.87</v>
      </c>
      <c r="G1761" s="3">
        <f>F1761-E1761</f>
        <v/>
      </c>
      <c r="H1761" s="4">
        <f>IF(E1761=0,"",F1761/E1761-1)</f>
        <v/>
      </c>
      <c r="I1761" t="inlineStr"/>
    </row>
    <row r="1762">
      <c r="A1762" t="inlineStr">
        <is>
          <t>Agri &amp; plantation crops</t>
        </is>
      </c>
      <c r="B1762" t="inlineStr">
        <is>
          <t>11</t>
        </is>
      </c>
      <c r="C1762" t="inlineStr">
        <is>
          <t>11041200</t>
        </is>
      </c>
      <c r="D1762" t="inlineStr">
        <is>
          <t>ROLLED/FLAKED GRAINS OF OATS</t>
        </is>
      </c>
      <c r="E1762" s="3" t="n">
        <v>0.09</v>
      </c>
      <c r="F1762" s="3" t="n">
        <v>0.86</v>
      </c>
      <c r="G1762" s="3">
        <f>F1762-E1762</f>
        <v/>
      </c>
      <c r="H1762" s="4">
        <f>IF(E1762=0,"",F1762/E1762-1)</f>
        <v/>
      </c>
      <c r="I1762" t="inlineStr"/>
    </row>
    <row r="1763">
      <c r="A1763" t="inlineStr">
        <is>
          <t>Agri &amp; plantation crops</t>
        </is>
      </c>
      <c r="B1763" t="inlineStr">
        <is>
          <t>07</t>
        </is>
      </c>
      <c r="C1763" t="inlineStr">
        <is>
          <t>07132090</t>
        </is>
      </c>
      <c r="D1763" t="inlineStr">
        <is>
          <t>OTHER CHANA</t>
        </is>
      </c>
      <c r="E1763" s="3" t="n">
        <v>0.21</v>
      </c>
      <c r="F1763" s="3" t="n">
        <v>0.85</v>
      </c>
      <c r="G1763" s="3">
        <f>F1763-E1763</f>
        <v/>
      </c>
      <c r="H1763" s="4">
        <f>IF(E1763=0,"",F1763/E1763-1)</f>
        <v/>
      </c>
      <c r="I1763" t="inlineStr"/>
    </row>
    <row r="1764">
      <c r="A1764" t="inlineStr">
        <is>
          <t>Agri &amp; plantation crops</t>
        </is>
      </c>
      <c r="B1764" t="inlineStr">
        <is>
          <t>09</t>
        </is>
      </c>
      <c r="C1764" t="inlineStr">
        <is>
          <t>09093200</t>
        </is>
      </c>
      <c r="D1764" t="inlineStr">
        <is>
          <t>CRUSHED OR GROUND</t>
        </is>
      </c>
      <c r="E1764" s="3" t="n">
        <v>0.14</v>
      </c>
      <c r="F1764" s="3" t="n">
        <v>0.84</v>
      </c>
      <c r="G1764" s="3">
        <f>F1764-E1764</f>
        <v/>
      </c>
      <c r="H1764" s="4">
        <f>IF(E1764=0,"",F1764/E1764-1)</f>
        <v/>
      </c>
      <c r="I1764" t="inlineStr"/>
    </row>
    <row r="1765">
      <c r="A1765" t="inlineStr">
        <is>
          <t>Agri &amp; plantation crops</t>
        </is>
      </c>
      <c r="B1765" t="inlineStr">
        <is>
          <t>12</t>
        </is>
      </c>
      <c r="C1765" t="inlineStr">
        <is>
          <t>12030000</t>
        </is>
      </c>
      <c r="D1765" t="inlineStr">
        <is>
          <t>COPRA</t>
        </is>
      </c>
      <c r="E1765" s="3" t="n">
        <v>0.53</v>
      </c>
      <c r="F1765" s="3" t="n">
        <v>0.83</v>
      </c>
      <c r="G1765" s="3">
        <f>F1765-E1765</f>
        <v/>
      </c>
      <c r="H1765" s="4">
        <f>IF(E1765=0,"",F1765/E1765-1)</f>
        <v/>
      </c>
      <c r="I1765" t="inlineStr"/>
    </row>
    <row r="1766">
      <c r="A1766" t="inlineStr">
        <is>
          <t>Agri &amp; plantation crops</t>
        </is>
      </c>
      <c r="B1766" t="inlineStr">
        <is>
          <t>07</t>
        </is>
      </c>
      <c r="C1766" t="inlineStr">
        <is>
          <t>07133190</t>
        </is>
      </c>
      <c r="D1766" t="inlineStr">
        <is>
          <t>BEANS OF THE SPP VIGNA RADIATA (L.) WILCZEK</t>
        </is>
      </c>
      <c r="E1766" s="3" t="n">
        <v>0.12</v>
      </c>
      <c r="F1766" s="3" t="n">
        <v>0.82</v>
      </c>
      <c r="G1766" s="3">
        <f>F1766-E1766</f>
        <v/>
      </c>
      <c r="H1766" s="4">
        <f>IF(E1766=0,"",F1766/E1766-1)</f>
        <v/>
      </c>
      <c r="I1766" t="inlineStr"/>
    </row>
    <row r="1767">
      <c r="A1767" t="inlineStr">
        <is>
          <t>Agri &amp; plantation crops</t>
        </is>
      </c>
      <c r="B1767" t="inlineStr">
        <is>
          <t>08</t>
        </is>
      </c>
      <c r="C1767" t="inlineStr">
        <is>
          <t>08045030</t>
        </is>
      </c>
      <c r="D1767" t="inlineStr">
        <is>
          <t>MANGOES SLICED DRIED</t>
        </is>
      </c>
      <c r="E1767" s="3" t="n">
        <v>0.25</v>
      </c>
      <c r="F1767" s="3" t="n">
        <v>0.8</v>
      </c>
      <c r="G1767" s="3">
        <f>F1767-E1767</f>
        <v/>
      </c>
      <c r="H1767" s="4">
        <f>IF(E1767=0,"",F1767/E1767-1)</f>
        <v/>
      </c>
      <c r="I1767" t="inlineStr"/>
    </row>
    <row r="1768">
      <c r="A1768" t="inlineStr">
        <is>
          <t>Agri &amp; plantation crops</t>
        </is>
      </c>
      <c r="B1768" t="inlineStr">
        <is>
          <t>06</t>
        </is>
      </c>
      <c r="C1768" t="inlineStr">
        <is>
          <t>06031900</t>
        </is>
      </c>
      <c r="D1768" t="inlineStr">
        <is>
          <t>OTHER, FRSH CUT FLOWERS AND FLOWER BUDS</t>
        </is>
      </c>
      <c r="E1768" s="3" t="n">
        <v>0.25</v>
      </c>
      <c r="F1768" s="3" t="n">
        <v>0.78</v>
      </c>
      <c r="G1768" s="3">
        <f>F1768-E1768</f>
        <v/>
      </c>
      <c r="H1768" s="4">
        <f>IF(E1768=0,"",F1768/E1768-1)</f>
        <v/>
      </c>
      <c r="I1768" t="inlineStr"/>
    </row>
    <row r="1769">
      <c r="A1769" t="inlineStr">
        <is>
          <t>Agri &amp; plantation crops</t>
        </is>
      </c>
      <c r="B1769" t="inlineStr">
        <is>
          <t>09</t>
        </is>
      </c>
      <c r="C1769" t="inlineStr">
        <is>
          <t>09042221</t>
        </is>
      </c>
      <c r="D1769" t="inlineStr">
        <is>
          <t>POWDER</t>
        </is>
      </c>
      <c r="E1769" s="3" t="n">
        <v>0.25</v>
      </c>
      <c r="F1769" s="3" t="n">
        <v>0.78</v>
      </c>
      <c r="G1769" s="3">
        <f>F1769-E1769</f>
        <v/>
      </c>
      <c r="H1769" s="4">
        <f>IF(E1769=0,"",F1769/E1769-1)</f>
        <v/>
      </c>
      <c r="I1769" t="inlineStr"/>
    </row>
    <row r="1770">
      <c r="A1770" t="inlineStr">
        <is>
          <t>Agri &amp; plantation crops</t>
        </is>
      </c>
      <c r="B1770" t="inlineStr">
        <is>
          <t>11</t>
        </is>
      </c>
      <c r="C1770" t="inlineStr">
        <is>
          <t>11061090</t>
        </is>
      </c>
      <c r="D1770" t="inlineStr">
        <is>
          <t>OTHERS-OF-FLOUR AND MEAL OF THE DRIED LEGUMINOUSVEGETABLES OF HEADING NO.0713</t>
        </is>
      </c>
      <c r="E1770" s="3" t="n">
        <v>0.68</v>
      </c>
      <c r="F1770" s="3" t="n">
        <v>0.77</v>
      </c>
      <c r="G1770" s="3">
        <f>F1770-E1770</f>
        <v/>
      </c>
      <c r="H1770" s="4">
        <f>IF(E1770=0,"",F1770/E1770-1)</f>
        <v/>
      </c>
      <c r="I1770" t="inlineStr"/>
    </row>
    <row r="1771">
      <c r="A1771" t="inlineStr">
        <is>
          <t>Agri &amp; plantation crops</t>
        </is>
      </c>
      <c r="B1771" t="inlineStr">
        <is>
          <t>09</t>
        </is>
      </c>
      <c r="C1771" t="inlineStr">
        <is>
          <t>09011121</t>
        </is>
      </c>
      <c r="D1771" t="inlineStr">
        <is>
          <t>COFFEE ARABICA CHERRY AB</t>
        </is>
      </c>
      <c r="E1771" s="3" t="n">
        <v>0.58</v>
      </c>
      <c r="F1771" s="3" t="n">
        <v>0.75</v>
      </c>
      <c r="G1771" s="3">
        <f>F1771-E1771</f>
        <v/>
      </c>
      <c r="H1771" s="4">
        <f>IF(E1771=0,"",F1771/E1771-1)</f>
        <v/>
      </c>
      <c r="I1771" t="inlineStr"/>
    </row>
    <row r="1772">
      <c r="A1772" t="inlineStr">
        <is>
          <t>Agri &amp; plantation crops</t>
        </is>
      </c>
      <c r="B1772" t="inlineStr">
        <is>
          <t>09</t>
        </is>
      </c>
      <c r="C1772" t="inlineStr">
        <is>
          <t>09011145</t>
        </is>
      </c>
      <c r="D1772" t="inlineStr">
        <is>
          <t>COFFEE ROB CHERRY BULK</t>
        </is>
      </c>
      <c r="E1772" s="3" t="n">
        <v>0</v>
      </c>
      <c r="F1772" s="3" t="n">
        <v>0.74</v>
      </c>
      <c r="G1772" s="3">
        <f>F1772-E1772</f>
        <v/>
      </c>
      <c r="H1772" s="4">
        <f>IF(E1772=0,"",F1772/E1772-1)</f>
        <v/>
      </c>
      <c r="I1772" t="inlineStr"/>
    </row>
    <row r="1773">
      <c r="A1773" t="inlineStr">
        <is>
          <t>Agri &amp; plantation crops</t>
        </is>
      </c>
      <c r="B1773" t="inlineStr">
        <is>
          <t>12</t>
        </is>
      </c>
      <c r="C1773" t="inlineStr">
        <is>
          <t>12024220</t>
        </is>
      </c>
      <c r="D1773" t="inlineStr">
        <is>
          <t>KERNELS, OTHER</t>
        </is>
      </c>
      <c r="E1773" s="3" t="n">
        <v>0.35</v>
      </c>
      <c r="F1773" s="3" t="n">
        <v>0.73</v>
      </c>
      <c r="G1773" s="3">
        <f>F1773-E1773</f>
        <v/>
      </c>
      <c r="H1773" s="4">
        <f>IF(E1773=0,"",F1773/E1773-1)</f>
        <v/>
      </c>
      <c r="I1773" t="inlineStr"/>
    </row>
    <row r="1774">
      <c r="A1774" t="inlineStr">
        <is>
          <t>Agri &amp; plantation crops</t>
        </is>
      </c>
      <c r="B1774" t="inlineStr">
        <is>
          <t>08</t>
        </is>
      </c>
      <c r="C1774" t="inlineStr">
        <is>
          <t>08109050</t>
        </is>
      </c>
      <c r="D1774" t="inlineStr">
        <is>
          <t>BORE</t>
        </is>
      </c>
      <c r="E1774" s="3" t="n">
        <v>0.76</v>
      </c>
      <c r="F1774" s="3" t="n">
        <v>0.68</v>
      </c>
      <c r="G1774" s="3">
        <f>F1774-E1774</f>
        <v/>
      </c>
      <c r="H1774" s="4">
        <f>IF(E1774=0,"",F1774/E1774-1)</f>
        <v/>
      </c>
      <c r="I1774" t="inlineStr"/>
    </row>
    <row r="1775">
      <c r="A1775" t="inlineStr">
        <is>
          <t>Agri &amp; plantation crops</t>
        </is>
      </c>
      <c r="B1775" t="inlineStr">
        <is>
          <t>09</t>
        </is>
      </c>
      <c r="C1775" t="inlineStr">
        <is>
          <t>09081200</t>
        </is>
      </c>
      <c r="D1775" t="inlineStr">
        <is>
          <t>CRUSHED OR GROUND</t>
        </is>
      </c>
      <c r="E1775" s="3" t="n">
        <v>0.63</v>
      </c>
      <c r="F1775" s="3" t="n">
        <v>0.68</v>
      </c>
      <c r="G1775" s="3">
        <f>F1775-E1775</f>
        <v/>
      </c>
      <c r="H1775" s="4">
        <f>IF(E1775=0,"",F1775/E1775-1)</f>
        <v/>
      </c>
      <c r="I1775" t="inlineStr"/>
    </row>
    <row r="1776">
      <c r="A1776" t="inlineStr">
        <is>
          <t>Agri &amp; plantation crops</t>
        </is>
      </c>
      <c r="B1776" t="inlineStr">
        <is>
          <t>12</t>
        </is>
      </c>
      <c r="C1776" t="inlineStr">
        <is>
          <t>12075090</t>
        </is>
      </c>
      <c r="D1776" t="inlineStr">
        <is>
          <t>OTHER MUSTARD SEEDS W/N BROKEN</t>
        </is>
      </c>
      <c r="E1776" s="3" t="n">
        <v>0.92</v>
      </c>
      <c r="F1776" s="3" t="n">
        <v>0.65</v>
      </c>
      <c r="G1776" s="3">
        <f>F1776-E1776</f>
        <v/>
      </c>
      <c r="H1776" s="4">
        <f>IF(E1776=0,"",F1776/E1776-1)</f>
        <v/>
      </c>
      <c r="I1776" t="inlineStr"/>
    </row>
    <row r="1777">
      <c r="A1777" t="inlineStr">
        <is>
          <t>Agri &amp; plantation crops</t>
        </is>
      </c>
      <c r="B1777" t="inlineStr">
        <is>
          <t>08</t>
        </is>
      </c>
      <c r="C1777" t="inlineStr">
        <is>
          <t>08043000</t>
        </is>
      </c>
      <c r="D1777" t="inlineStr">
        <is>
          <t>PINEAPPLES FRESH OR DRIED</t>
        </is>
      </c>
      <c r="E1777" s="3" t="n">
        <v>0.36</v>
      </c>
      <c r="F1777" s="3" t="n">
        <v>0.64</v>
      </c>
      <c r="G1777" s="3">
        <f>F1777-E1777</f>
        <v/>
      </c>
      <c r="H1777" s="4">
        <f>IF(E1777=0,"",F1777/E1777-1)</f>
        <v/>
      </c>
      <c r="I1777" t="inlineStr"/>
    </row>
    <row r="1778">
      <c r="A1778" t="inlineStr">
        <is>
          <t>Agri &amp; plantation crops</t>
        </is>
      </c>
      <c r="B1778" t="inlineStr">
        <is>
          <t>08</t>
        </is>
      </c>
      <c r="C1778" t="inlineStr">
        <is>
          <t>08045021</t>
        </is>
      </c>
      <c r="D1778" t="inlineStr">
        <is>
          <t>ALPHONSO (HAPUS)</t>
        </is>
      </c>
      <c r="E1778" s="3" t="n">
        <v>1.04</v>
      </c>
      <c r="F1778" s="3" t="n">
        <v>0.64</v>
      </c>
      <c r="G1778" s="3">
        <f>F1778-E1778</f>
        <v/>
      </c>
      <c r="H1778" s="4">
        <f>IF(E1778=0,"",F1778/E1778-1)</f>
        <v/>
      </c>
      <c r="I1778" t="inlineStr"/>
    </row>
    <row r="1779">
      <c r="A1779" t="inlineStr">
        <is>
          <t>Agri &amp; plantation crops</t>
        </is>
      </c>
      <c r="B1779" t="inlineStr">
        <is>
          <t>09</t>
        </is>
      </c>
      <c r="C1779" t="inlineStr">
        <is>
          <t>09023030</t>
        </is>
      </c>
      <c r="D1779" t="inlineStr">
        <is>
          <t>BLACK TEA IN PACKT&gt;1 KG BUT&lt;= 3 KG</t>
        </is>
      </c>
      <c r="E1779" s="3" t="n">
        <v>0.85</v>
      </c>
      <c r="F1779" s="3" t="n">
        <v>0.62</v>
      </c>
      <c r="G1779" s="3">
        <f>F1779-E1779</f>
        <v/>
      </c>
      <c r="H1779" s="4">
        <f>IF(E1779=0,"",F1779/E1779-1)</f>
        <v/>
      </c>
      <c r="I1779" t="inlineStr"/>
    </row>
    <row r="1780">
      <c r="A1780" t="inlineStr">
        <is>
          <t>Agri &amp; plantation crops</t>
        </is>
      </c>
      <c r="B1780" t="inlineStr">
        <is>
          <t>09</t>
        </is>
      </c>
      <c r="C1780" t="inlineStr">
        <is>
          <t>09041200</t>
        </is>
      </c>
      <c r="D1780" t="inlineStr">
        <is>
          <t>CRUSHED OR GROUND PEPPER</t>
        </is>
      </c>
      <c r="E1780" s="3" t="n">
        <v>0.28</v>
      </c>
      <c r="F1780" s="3" t="n">
        <v>0.62</v>
      </c>
      <c r="G1780" s="3">
        <f>F1780-E1780</f>
        <v/>
      </c>
      <c r="H1780" s="4">
        <f>IF(E1780=0,"",F1780/E1780-1)</f>
        <v/>
      </c>
      <c r="I1780" t="inlineStr"/>
    </row>
    <row r="1781">
      <c r="A1781" t="inlineStr">
        <is>
          <t>Agri &amp; plantation crops</t>
        </is>
      </c>
      <c r="B1781" t="inlineStr">
        <is>
          <t>08</t>
        </is>
      </c>
      <c r="C1781" t="inlineStr">
        <is>
          <t>08119010</t>
        </is>
      </c>
      <c r="D1781" t="inlineStr">
        <is>
          <t>*OTHR FRUTS AND NUTS W/N COKD,FRZN CNTNG SUGR</t>
        </is>
      </c>
      <c r="E1781" s="3" t="n">
        <v>0.5600000000000001</v>
      </c>
      <c r="F1781" s="3" t="n">
        <v>0.58</v>
      </c>
      <c r="G1781" s="3">
        <f>F1781-E1781</f>
        <v/>
      </c>
      <c r="H1781" s="4">
        <f>IF(E1781=0,"",F1781/E1781-1)</f>
        <v/>
      </c>
      <c r="I1781" t="inlineStr"/>
    </row>
    <row r="1782">
      <c r="A1782" t="inlineStr">
        <is>
          <t>Agri &amp; plantation crops</t>
        </is>
      </c>
      <c r="B1782" t="inlineStr">
        <is>
          <t>11</t>
        </is>
      </c>
      <c r="C1782" t="inlineStr">
        <is>
          <t>11063090</t>
        </is>
      </c>
      <c r="D1782" t="inlineStr">
        <is>
          <t>FLOUR,MEAL AND POWDER OF OTHR FRUITS FALLING UNDER THE CHAPTER 8 N.E.S.</t>
        </is>
      </c>
      <c r="E1782" s="3" t="n">
        <v>0.46</v>
      </c>
      <c r="F1782" s="3" t="n">
        <v>0.58</v>
      </c>
      <c r="G1782" s="3">
        <f>F1782-E1782</f>
        <v/>
      </c>
      <c r="H1782" s="4">
        <f>IF(E1782=0,"",F1782/E1782-1)</f>
        <v/>
      </c>
      <c r="I1782" t="inlineStr"/>
    </row>
    <row r="1783">
      <c r="A1783" t="inlineStr">
        <is>
          <t>Agri &amp; plantation crops</t>
        </is>
      </c>
      <c r="B1783" t="inlineStr">
        <is>
          <t>07</t>
        </is>
      </c>
      <c r="C1783" t="inlineStr">
        <is>
          <t>07133200</t>
        </is>
      </c>
      <c r="D1783" t="inlineStr">
        <is>
          <t>SMALL RED BEANS DRIED AND SHLD</t>
        </is>
      </c>
      <c r="E1783" s="3" t="n">
        <v>0.66</v>
      </c>
      <c r="F1783" s="3" t="n">
        <v>0.5600000000000001</v>
      </c>
      <c r="G1783" s="3">
        <f>F1783-E1783</f>
        <v/>
      </c>
      <c r="H1783" s="4">
        <f>IF(E1783=0,"",F1783/E1783-1)</f>
        <v/>
      </c>
      <c r="I1783" t="inlineStr"/>
    </row>
    <row r="1784">
      <c r="A1784" t="inlineStr">
        <is>
          <t>Agri &amp; plantation crops</t>
        </is>
      </c>
      <c r="B1784" t="inlineStr">
        <is>
          <t>09</t>
        </is>
      </c>
      <c r="C1784" t="inlineStr">
        <is>
          <t>09042229</t>
        </is>
      </c>
      <c r="D1784" t="inlineStr">
        <is>
          <t>OTHER OF GENUS PIMENTA</t>
        </is>
      </c>
      <c r="E1784" s="3" t="n">
        <v>0.97</v>
      </c>
      <c r="F1784" s="3" t="n">
        <v>0.55</v>
      </c>
      <c r="G1784" s="3">
        <f>F1784-E1784</f>
        <v/>
      </c>
      <c r="H1784" s="4">
        <f>IF(E1784=0,"",F1784/E1784-1)</f>
        <v/>
      </c>
      <c r="I1784" t="inlineStr"/>
    </row>
    <row r="1785">
      <c r="A1785" t="inlineStr">
        <is>
          <t>Agri &amp; plantation crops</t>
        </is>
      </c>
      <c r="B1785" t="inlineStr">
        <is>
          <t>07</t>
        </is>
      </c>
      <c r="C1785" t="inlineStr">
        <is>
          <t>07114000</t>
        </is>
      </c>
      <c r="D1785" t="inlineStr">
        <is>
          <t>CUCUMBERS AND GHERKINS PROVISIONALLY PRESVD</t>
        </is>
      </c>
      <c r="E1785" s="3" t="n">
        <v>0.4</v>
      </c>
      <c r="F1785" s="3" t="n">
        <v>0.53</v>
      </c>
      <c r="G1785" s="3">
        <f>F1785-E1785</f>
        <v/>
      </c>
      <c r="H1785" s="4">
        <f>IF(E1785=0,"",F1785/E1785-1)</f>
        <v/>
      </c>
      <c r="I1785" t="inlineStr"/>
    </row>
    <row r="1786">
      <c r="A1786" t="inlineStr">
        <is>
          <t>Agri &amp; plantation crops</t>
        </is>
      </c>
      <c r="B1786" t="inlineStr">
        <is>
          <t>11</t>
        </is>
      </c>
      <c r="C1786" t="inlineStr">
        <is>
          <t>11022000</t>
        </is>
      </c>
      <c r="D1786" t="inlineStr">
        <is>
          <t>MAIZE (CORN) FLOUR</t>
        </is>
      </c>
      <c r="E1786" s="3" t="n">
        <v>0.12</v>
      </c>
      <c r="F1786" s="3" t="n">
        <v>0.51</v>
      </c>
      <c r="G1786" s="3">
        <f>F1786-E1786</f>
        <v/>
      </c>
      <c r="H1786" s="4">
        <f>IF(E1786=0,"",F1786/E1786-1)</f>
        <v/>
      </c>
      <c r="I1786" t="inlineStr"/>
    </row>
    <row r="1787">
      <c r="A1787" t="inlineStr">
        <is>
          <t>Agri &amp; plantation crops</t>
        </is>
      </c>
      <c r="B1787" t="inlineStr">
        <is>
          <t>07</t>
        </is>
      </c>
      <c r="C1787" t="inlineStr">
        <is>
          <t>07133500</t>
        </is>
      </c>
      <c r="D1787" t="inlineStr">
        <is>
          <t>COW PEAS (VIGNA UNGUICULATA)</t>
        </is>
      </c>
      <c r="E1787" s="3" t="n">
        <v>1.42</v>
      </c>
      <c r="F1787" s="3" t="n">
        <v>0.5</v>
      </c>
      <c r="G1787" s="3">
        <f>F1787-E1787</f>
        <v/>
      </c>
      <c r="H1787" s="4">
        <f>IF(E1787=0,"",F1787/E1787-1)</f>
        <v/>
      </c>
      <c r="I1787" t="inlineStr"/>
    </row>
    <row r="1788">
      <c r="A1788" t="inlineStr">
        <is>
          <t>Agri &amp; plantation crops</t>
        </is>
      </c>
      <c r="B1788" t="inlineStr">
        <is>
          <t>09</t>
        </is>
      </c>
      <c r="C1788" t="inlineStr">
        <is>
          <t>09012190</t>
        </is>
      </c>
      <c r="D1788" t="inlineStr">
        <is>
          <t>OTHER ROASTED NOT DECAFFEINATED COFFEE</t>
        </is>
      </c>
      <c r="E1788" s="3" t="n">
        <v>0.74</v>
      </c>
      <c r="F1788" s="3" t="n">
        <v>0.5</v>
      </c>
      <c r="G1788" s="3">
        <f>F1788-E1788</f>
        <v/>
      </c>
      <c r="H1788" s="4">
        <f>IF(E1788=0,"",F1788/E1788-1)</f>
        <v/>
      </c>
      <c r="I1788" t="inlineStr"/>
    </row>
    <row r="1789">
      <c r="A1789" t="inlineStr">
        <is>
          <t>Agri &amp; plantation crops</t>
        </is>
      </c>
      <c r="B1789" t="inlineStr">
        <is>
          <t>10</t>
        </is>
      </c>
      <c r="C1789" t="inlineStr">
        <is>
          <t>10082130</t>
        </is>
      </c>
      <c r="D1789" t="inlineStr">
        <is>
          <t>RAGI</t>
        </is>
      </c>
      <c r="E1789" s="3" t="n">
        <v>0.2</v>
      </c>
      <c r="F1789" s="3" t="n">
        <v>0.5</v>
      </c>
      <c r="G1789" s="3">
        <f>F1789-E1789</f>
        <v/>
      </c>
      <c r="H1789" s="4">
        <f>IF(E1789=0,"",F1789/E1789-1)</f>
        <v/>
      </c>
      <c r="I1789" t="inlineStr"/>
    </row>
    <row r="1790">
      <c r="A1790" t="inlineStr">
        <is>
          <t>Agri &amp; plantation crops</t>
        </is>
      </c>
      <c r="B1790" t="inlineStr">
        <is>
          <t>08</t>
        </is>
      </c>
      <c r="C1790" t="inlineStr">
        <is>
          <t>08072000</t>
        </is>
      </c>
      <c r="D1790" t="inlineStr">
        <is>
          <t>PAPAWS (PAPAYAS) FRESH</t>
        </is>
      </c>
      <c r="E1790" s="3" t="n">
        <v>0.59</v>
      </c>
      <c r="F1790" s="3" t="n">
        <v>0.48</v>
      </c>
      <c r="G1790" s="3">
        <f>F1790-E1790</f>
        <v/>
      </c>
      <c r="H1790" s="4">
        <f>IF(E1790=0,"",F1790/E1790-1)</f>
        <v/>
      </c>
      <c r="I1790" t="inlineStr"/>
    </row>
    <row r="1791">
      <c r="A1791" t="inlineStr">
        <is>
          <t>Agri &amp; plantation crops</t>
        </is>
      </c>
      <c r="B1791" t="inlineStr">
        <is>
          <t>12</t>
        </is>
      </c>
      <c r="C1791" t="inlineStr">
        <is>
          <t>12081000</t>
        </is>
      </c>
      <c r="D1791" t="inlineStr">
        <is>
          <t>FLOURS AND MEALS OF SOYA BEANS</t>
        </is>
      </c>
      <c r="E1791" s="3" t="n">
        <v>0.21</v>
      </c>
      <c r="F1791" s="3" t="n">
        <v>0.44</v>
      </c>
      <c r="G1791" s="3">
        <f>F1791-E1791</f>
        <v/>
      </c>
      <c r="H1791" s="4">
        <f>IF(E1791=0,"",F1791/E1791-1)</f>
        <v/>
      </c>
      <c r="I1791" t="inlineStr"/>
    </row>
    <row r="1792">
      <c r="A1792" t="inlineStr">
        <is>
          <t>Agri &amp; plantation crops</t>
        </is>
      </c>
      <c r="B1792" t="inlineStr">
        <is>
          <t>07</t>
        </is>
      </c>
      <c r="C1792" t="inlineStr">
        <is>
          <t>07122000</t>
        </is>
      </c>
      <c r="D1792" t="inlineStr">
        <is>
          <t>ONIONS DRIED</t>
        </is>
      </c>
      <c r="E1792" s="3" t="n">
        <v>1</v>
      </c>
      <c r="F1792" s="3" t="n">
        <v>0.41</v>
      </c>
      <c r="G1792" s="3">
        <f>F1792-E1792</f>
        <v/>
      </c>
      <c r="H1792" s="4">
        <f>IF(E1792=0,"",F1792/E1792-1)</f>
        <v/>
      </c>
      <c r="I1792" t="inlineStr"/>
    </row>
    <row r="1793">
      <c r="A1793" t="inlineStr">
        <is>
          <t>Agri &amp; plantation crops</t>
        </is>
      </c>
      <c r="B1793" t="inlineStr">
        <is>
          <t>07</t>
        </is>
      </c>
      <c r="C1793" t="inlineStr">
        <is>
          <t>07139090</t>
        </is>
      </c>
      <c r="D1793" t="inlineStr">
        <is>
          <t>OTHER OF HDG. 071390</t>
        </is>
      </c>
      <c r="E1793" s="3" t="n">
        <v>0.02</v>
      </c>
      <c r="F1793" s="3" t="n">
        <v>0.39</v>
      </c>
      <c r="G1793" s="3">
        <f>F1793-E1793</f>
        <v/>
      </c>
      <c r="H1793" s="4">
        <f>IF(E1793=0,"",F1793/E1793-1)</f>
        <v/>
      </c>
      <c r="I1793" t="inlineStr"/>
    </row>
    <row r="1794">
      <c r="A1794" t="inlineStr">
        <is>
          <t>Agri &amp; plantation crops</t>
        </is>
      </c>
      <c r="B1794" t="inlineStr">
        <is>
          <t>08</t>
        </is>
      </c>
      <c r="C1794" t="inlineStr">
        <is>
          <t>08045026</t>
        </is>
      </c>
      <c r="D1794" t="inlineStr">
        <is>
          <t>KESAR</t>
        </is>
      </c>
      <c r="E1794" s="3" t="n">
        <v>0.74</v>
      </c>
      <c r="F1794" s="3" t="n">
        <v>0.37</v>
      </c>
      <c r="G1794" s="3">
        <f>F1794-E1794</f>
        <v/>
      </c>
      <c r="H1794" s="4">
        <f>IF(E1794=0,"",F1794/E1794-1)</f>
        <v/>
      </c>
      <c r="I1794" t="inlineStr"/>
    </row>
    <row r="1795">
      <c r="A1795" t="inlineStr">
        <is>
          <t>Agri &amp; plantation crops</t>
        </is>
      </c>
      <c r="B1795" t="inlineStr">
        <is>
          <t>08</t>
        </is>
      </c>
      <c r="C1795" t="inlineStr">
        <is>
          <t>08052900</t>
        </is>
      </c>
      <c r="D1795" t="inlineStr">
        <is>
          <t>OTHER WILKINGS AND SIMILAR CITRUS HYBRIDS</t>
        </is>
      </c>
      <c r="E1795" s="3" t="n">
        <v>0.3</v>
      </c>
      <c r="F1795" s="3" t="n">
        <v>0.34</v>
      </c>
      <c r="G1795" s="3">
        <f>F1795-E1795</f>
        <v/>
      </c>
      <c r="H1795" s="4">
        <f>IF(E1795=0,"",F1795/E1795-1)</f>
        <v/>
      </c>
      <c r="I1795" t="inlineStr"/>
    </row>
    <row r="1796">
      <c r="A1796" t="inlineStr">
        <is>
          <t>Agri &amp; plantation crops</t>
        </is>
      </c>
      <c r="B1796" t="inlineStr">
        <is>
          <t>08</t>
        </is>
      </c>
      <c r="C1796" t="inlineStr">
        <is>
          <t>08109030</t>
        </is>
      </c>
      <c r="D1796" t="inlineStr">
        <is>
          <t>SAPOTA (CHICO)FRESH</t>
        </is>
      </c>
      <c r="E1796" s="3" t="n">
        <v>0.27</v>
      </c>
      <c r="F1796" s="3" t="n">
        <v>0.34</v>
      </c>
      <c r="G1796" s="3">
        <f>F1796-E1796</f>
        <v/>
      </c>
      <c r="H1796" s="4">
        <f>IF(E1796=0,"",F1796/E1796-1)</f>
        <v/>
      </c>
      <c r="I1796" t="inlineStr"/>
    </row>
    <row r="1797">
      <c r="A1797" t="inlineStr">
        <is>
          <t>Agri &amp; plantation crops</t>
        </is>
      </c>
      <c r="B1797" t="inlineStr">
        <is>
          <t>09</t>
        </is>
      </c>
      <c r="C1797" t="inlineStr">
        <is>
          <t>09093119</t>
        </is>
      </c>
      <c r="D1797" t="inlineStr">
        <is>
          <t>OTHER SEEDS OF BLACK CUMMIN NEITHER CRUSHED NOR GROUND</t>
        </is>
      </c>
      <c r="E1797" s="3" t="n">
        <v>0.29</v>
      </c>
      <c r="F1797" s="3" t="n">
        <v>0.34</v>
      </c>
      <c r="G1797" s="3">
        <f>F1797-E1797</f>
        <v/>
      </c>
      <c r="H1797" s="4">
        <f>IF(E1797=0,"",F1797/E1797-1)</f>
        <v/>
      </c>
      <c r="I1797" t="inlineStr"/>
    </row>
    <row r="1798">
      <c r="A1798" t="inlineStr">
        <is>
          <t>Agri &amp; plantation crops</t>
        </is>
      </c>
      <c r="B1798" t="inlineStr">
        <is>
          <t>09</t>
        </is>
      </c>
      <c r="C1798" t="inlineStr">
        <is>
          <t>09109919</t>
        </is>
      </c>
      <c r="D1798" t="inlineStr">
        <is>
          <t>OTHER SPICES N.E.S</t>
        </is>
      </c>
      <c r="E1798" s="3" t="n">
        <v>0.88</v>
      </c>
      <c r="F1798" s="3" t="n">
        <v>0.34</v>
      </c>
      <c r="G1798" s="3">
        <f>F1798-E1798</f>
        <v/>
      </c>
      <c r="H1798" s="4">
        <f>IF(E1798=0,"",F1798/E1798-1)</f>
        <v/>
      </c>
      <c r="I1798" t="inlineStr"/>
    </row>
    <row r="1799">
      <c r="A1799" t="inlineStr">
        <is>
          <t>Agri &amp; plantation crops</t>
        </is>
      </c>
      <c r="B1799" t="inlineStr">
        <is>
          <t>13</t>
        </is>
      </c>
      <c r="C1799" t="inlineStr">
        <is>
          <t>13021919</t>
        </is>
      </c>
      <c r="D1799" t="inlineStr">
        <is>
          <t>*OTHER EXTRACTS</t>
        </is>
      </c>
      <c r="E1799" s="3" t="n">
        <v>0.22</v>
      </c>
      <c r="F1799" s="3" t="n">
        <v>0.34</v>
      </c>
      <c r="G1799" s="3">
        <f>F1799-E1799</f>
        <v/>
      </c>
      <c r="H1799" s="4">
        <f>IF(E1799=0,"",F1799/E1799-1)</f>
        <v/>
      </c>
      <c r="I1799" t="inlineStr"/>
    </row>
    <row r="1800">
      <c r="A1800" t="inlineStr">
        <is>
          <t>Agri &amp; plantation crops</t>
        </is>
      </c>
      <c r="B1800" t="inlineStr">
        <is>
          <t>14</t>
        </is>
      </c>
      <c r="C1800" t="inlineStr">
        <is>
          <t>14049040</t>
        </is>
      </c>
      <c r="D1800" t="inlineStr">
        <is>
          <t>BETEL LEAVES</t>
        </is>
      </c>
      <c r="E1800" s="3" t="n">
        <v>0.2</v>
      </c>
      <c r="F1800" s="3" t="n">
        <v>0.33</v>
      </c>
      <c r="G1800" s="3">
        <f>F1800-E1800</f>
        <v/>
      </c>
      <c r="H1800" s="4">
        <f>IF(E1800=0,"",F1800/E1800-1)</f>
        <v/>
      </c>
      <c r="I1800" t="inlineStr"/>
    </row>
    <row r="1801">
      <c r="A1801" t="inlineStr">
        <is>
          <t>Agri &amp; plantation crops</t>
        </is>
      </c>
      <c r="B1801" t="inlineStr">
        <is>
          <t>08</t>
        </is>
      </c>
      <c r="C1801" t="inlineStr">
        <is>
          <t>08071100</t>
        </is>
      </c>
      <c r="D1801" t="inlineStr">
        <is>
          <t>WATER MELONS</t>
        </is>
      </c>
      <c r="E1801" s="3" t="n">
        <v>0.82</v>
      </c>
      <c r="F1801" s="3" t="n">
        <v>0.32</v>
      </c>
      <c r="G1801" s="3">
        <f>F1801-E1801</f>
        <v/>
      </c>
      <c r="H1801" s="4">
        <f>IF(E1801=0,"",F1801/E1801-1)</f>
        <v/>
      </c>
      <c r="I1801" t="inlineStr"/>
    </row>
    <row r="1802">
      <c r="A1802" t="inlineStr">
        <is>
          <t>Agri &amp; plantation crops</t>
        </is>
      </c>
      <c r="B1802" t="inlineStr">
        <is>
          <t>09</t>
        </is>
      </c>
      <c r="C1802" t="inlineStr">
        <is>
          <t>09082100</t>
        </is>
      </c>
      <c r="D1802" t="inlineStr">
        <is>
          <t>NEITHER CRUSHED NOR GROUND</t>
        </is>
      </c>
      <c r="E1802" s="3" t="n">
        <v>0.02</v>
      </c>
      <c r="F1802" s="3" t="n">
        <v>0.32</v>
      </c>
      <c r="G1802" s="3">
        <f>F1802-E1802</f>
        <v/>
      </c>
      <c r="H1802" s="4">
        <f>IF(E1802=0,"",F1802/E1802-1)</f>
        <v/>
      </c>
      <c r="I1802" t="inlineStr"/>
    </row>
    <row r="1803">
      <c r="A1803" t="inlineStr">
        <is>
          <t>Agri &amp; plantation crops</t>
        </is>
      </c>
      <c r="B1803" t="inlineStr">
        <is>
          <t>11</t>
        </is>
      </c>
      <c r="C1803" t="inlineStr">
        <is>
          <t>11010000</t>
        </is>
      </c>
      <c r="D1803" t="inlineStr">
        <is>
          <t>WHEAT OR MESLIN FLOUR</t>
        </is>
      </c>
      <c r="E1803" s="3" t="n">
        <v>0.35</v>
      </c>
      <c r="F1803" s="3" t="n">
        <v>0.32</v>
      </c>
      <c r="G1803" s="3">
        <f>F1803-E1803</f>
        <v/>
      </c>
      <c r="H1803" s="4">
        <f>IF(E1803=0,"",F1803/E1803-1)</f>
        <v/>
      </c>
      <c r="I1803" t="inlineStr"/>
    </row>
    <row r="1804">
      <c r="A1804" t="inlineStr">
        <is>
          <t>Agri &amp; plantation crops</t>
        </is>
      </c>
      <c r="B1804" t="inlineStr">
        <is>
          <t>11</t>
        </is>
      </c>
      <c r="C1804" t="inlineStr">
        <is>
          <t>11032000</t>
        </is>
      </c>
      <c r="D1804" t="inlineStr">
        <is>
          <t>PELLETS OF CEREAL</t>
        </is>
      </c>
      <c r="E1804" s="3" t="n">
        <v>0.01</v>
      </c>
      <c r="F1804" s="3" t="n">
        <v>0.32</v>
      </c>
      <c r="G1804" s="3">
        <f>F1804-E1804</f>
        <v/>
      </c>
      <c r="H1804" s="4">
        <f>IF(E1804=0,"",F1804/E1804-1)</f>
        <v/>
      </c>
      <c r="I1804" t="inlineStr"/>
    </row>
    <row r="1805">
      <c r="A1805" t="inlineStr">
        <is>
          <t>Agri &amp; plantation crops</t>
        </is>
      </c>
      <c r="B1805" t="inlineStr">
        <is>
          <t>12</t>
        </is>
      </c>
      <c r="C1805" t="inlineStr">
        <is>
          <t>12079990</t>
        </is>
      </c>
      <c r="D1805" t="inlineStr">
        <is>
          <t>OTHER OIL SEEDS AND OLEGINOUS FRUITS W/N BROKEN</t>
        </is>
      </c>
      <c r="E1805" s="3" t="n">
        <v>0.5</v>
      </c>
      <c r="F1805" s="3" t="n">
        <v>0.32</v>
      </c>
      <c r="G1805" s="3">
        <f>F1805-E1805</f>
        <v/>
      </c>
      <c r="H1805" s="4">
        <f>IF(E1805=0,"",F1805/E1805-1)</f>
        <v/>
      </c>
      <c r="I1805" t="inlineStr"/>
    </row>
    <row r="1806">
      <c r="A1806" t="inlineStr">
        <is>
          <t>Agri &amp; plantation crops</t>
        </is>
      </c>
      <c r="B1806" t="inlineStr">
        <is>
          <t>12</t>
        </is>
      </c>
      <c r="C1806" t="inlineStr">
        <is>
          <t>12099990</t>
        </is>
      </c>
      <c r="D1806" t="inlineStr">
        <is>
          <t>OTHER SEEDS ETC FOR PLANTING N.E.S</t>
        </is>
      </c>
      <c r="E1806" s="3" t="n">
        <v>0.6</v>
      </c>
      <c r="F1806" s="3" t="n">
        <v>0.32</v>
      </c>
      <c r="G1806" s="3">
        <f>F1806-E1806</f>
        <v/>
      </c>
      <c r="H1806" s="4">
        <f>IF(E1806=0,"",F1806/E1806-1)</f>
        <v/>
      </c>
      <c r="I1806" t="inlineStr"/>
    </row>
    <row r="1807">
      <c r="A1807" t="inlineStr">
        <is>
          <t>Agri &amp; plantation crops</t>
        </is>
      </c>
      <c r="B1807" t="inlineStr">
        <is>
          <t>08</t>
        </is>
      </c>
      <c r="C1807" t="inlineStr">
        <is>
          <t>08045022</t>
        </is>
      </c>
      <c r="D1807" t="inlineStr">
        <is>
          <t>BANGANAPALLI</t>
        </is>
      </c>
      <c r="E1807" s="3" t="n">
        <v>0.16</v>
      </c>
      <c r="F1807" s="3" t="n">
        <v>0.3</v>
      </c>
      <c r="G1807" s="3">
        <f>F1807-E1807</f>
        <v/>
      </c>
      <c r="H1807" s="4">
        <f>IF(E1807=0,"",F1807/E1807-1)</f>
        <v/>
      </c>
      <c r="I1807" t="inlineStr"/>
    </row>
    <row r="1808">
      <c r="A1808" t="inlineStr">
        <is>
          <t>Agri &amp; plantation crops</t>
        </is>
      </c>
      <c r="B1808" t="inlineStr">
        <is>
          <t>12</t>
        </is>
      </c>
      <c r="C1808" t="inlineStr">
        <is>
          <t>12023090</t>
        </is>
      </c>
      <c r="D1808" t="inlineStr">
        <is>
          <t>OTHER GROUNDNUT SEEDS</t>
        </is>
      </c>
      <c r="E1808" s="3" t="n">
        <v>0</v>
      </c>
      <c r="F1808" s="3" t="n">
        <v>0.3</v>
      </c>
      <c r="G1808" s="3">
        <f>F1808-E1808</f>
        <v/>
      </c>
      <c r="H1808" s="4">
        <f>IF(E1808=0,"",F1808/E1808-1)</f>
        <v/>
      </c>
      <c r="I1808" t="inlineStr"/>
    </row>
    <row r="1809">
      <c r="A1809" t="inlineStr">
        <is>
          <t>Agri &amp; plantation crops</t>
        </is>
      </c>
      <c r="B1809" t="inlineStr">
        <is>
          <t>07</t>
        </is>
      </c>
      <c r="C1809" t="inlineStr">
        <is>
          <t>07133990</t>
        </is>
      </c>
      <c r="D1809" t="inlineStr">
        <is>
          <t>OTHER DRIED LEGUMINUS VEGETABLES</t>
        </is>
      </c>
      <c r="E1809" s="3" t="n">
        <v>0.28</v>
      </c>
      <c r="F1809" s="3" t="n">
        <v>0.29</v>
      </c>
      <c r="G1809" s="3">
        <f>F1809-E1809</f>
        <v/>
      </c>
      <c r="H1809" s="4">
        <f>IF(E1809=0,"",F1809/E1809-1)</f>
        <v/>
      </c>
      <c r="I1809" t="inlineStr"/>
    </row>
    <row r="1810">
      <c r="A1810" t="inlineStr">
        <is>
          <t>Agri &amp; plantation crops</t>
        </is>
      </c>
      <c r="B1810" t="inlineStr">
        <is>
          <t>07</t>
        </is>
      </c>
      <c r="C1810" t="inlineStr">
        <is>
          <t>07143000</t>
        </is>
      </c>
      <c r="D1810" t="inlineStr">
        <is>
          <t>YAMS (DIOSCOREA SPP.)</t>
        </is>
      </c>
      <c r="E1810" s="3" t="n">
        <v>1.07</v>
      </c>
      <c r="F1810" s="3" t="n">
        <v>0.29</v>
      </c>
      <c r="G1810" s="3">
        <f>F1810-E1810</f>
        <v/>
      </c>
      <c r="H1810" s="4">
        <f>IF(E1810=0,"",F1810/E1810-1)</f>
        <v/>
      </c>
      <c r="I1810" t="inlineStr"/>
    </row>
    <row r="1811">
      <c r="A1811" t="inlineStr">
        <is>
          <t>Agri &amp; plantation crops</t>
        </is>
      </c>
      <c r="B1811" t="inlineStr">
        <is>
          <t>09</t>
        </is>
      </c>
      <c r="C1811" t="inlineStr">
        <is>
          <t>09024030</t>
        </is>
      </c>
      <c r="D1811" t="inlineStr">
        <is>
          <t>TEA BLACK,DUST IN BULK</t>
        </is>
      </c>
      <c r="E1811" s="3" t="n">
        <v>0.76</v>
      </c>
      <c r="F1811" s="3" t="n">
        <v>0.29</v>
      </c>
      <c r="G1811" s="3">
        <f>F1811-E1811</f>
        <v/>
      </c>
      <c r="H1811" s="4">
        <f>IF(E1811=0,"",F1811/E1811-1)</f>
        <v/>
      </c>
      <c r="I1811" t="inlineStr"/>
    </row>
    <row r="1812">
      <c r="A1812" t="inlineStr">
        <is>
          <t>Agri &amp; plantation crops</t>
        </is>
      </c>
      <c r="B1812" t="inlineStr">
        <is>
          <t>10</t>
        </is>
      </c>
      <c r="C1812" t="inlineStr">
        <is>
          <t>10082910</t>
        </is>
      </c>
      <c r="D1812" t="inlineStr">
        <is>
          <t>JAWAR</t>
        </is>
      </c>
      <c r="E1812" s="3" t="n">
        <v>0.04</v>
      </c>
      <c r="F1812" s="3" t="n">
        <v>0.29</v>
      </c>
      <c r="G1812" s="3">
        <f>F1812-E1812</f>
        <v/>
      </c>
      <c r="H1812" s="4">
        <f>IF(E1812=0,"",F1812/E1812-1)</f>
        <v/>
      </c>
      <c r="I1812" t="inlineStr"/>
    </row>
    <row r="1813">
      <c r="A1813" t="inlineStr">
        <is>
          <t>Agri &amp; plantation crops</t>
        </is>
      </c>
      <c r="B1813" t="inlineStr">
        <is>
          <t>12</t>
        </is>
      </c>
      <c r="C1813" t="inlineStr">
        <is>
          <t>12024190</t>
        </is>
      </c>
      <c r="D1813" t="inlineStr">
        <is>
          <t>OTHER GROUNDNUT IN SHELL</t>
        </is>
      </c>
      <c r="E1813" s="3" t="n">
        <v>0.27</v>
      </c>
      <c r="F1813" s="3" t="n">
        <v>0.28</v>
      </c>
      <c r="G1813" s="3">
        <f>F1813-E1813</f>
        <v/>
      </c>
      <c r="H1813" s="4">
        <f>IF(E1813=0,"",F1813/E1813-1)</f>
        <v/>
      </c>
      <c r="I1813" t="inlineStr"/>
    </row>
    <row r="1814">
      <c r="A1814" t="inlineStr">
        <is>
          <t>Agri &amp; plantation crops</t>
        </is>
      </c>
      <c r="B1814" t="inlineStr">
        <is>
          <t>08</t>
        </is>
      </c>
      <c r="C1814" t="inlineStr">
        <is>
          <t>08103000</t>
        </is>
      </c>
      <c r="D1814" t="inlineStr">
        <is>
          <t>BLACK, WHITE OR RED CURRANTS AND GOOSEBERRIES</t>
        </is>
      </c>
      <c r="E1814" s="3" t="n">
        <v>0.09</v>
      </c>
      <c r="F1814" s="3" t="n">
        <v>0.27</v>
      </c>
      <c r="G1814" s="3">
        <f>F1814-E1814</f>
        <v/>
      </c>
      <c r="H1814" s="4">
        <f>IF(E1814=0,"",F1814/E1814-1)</f>
        <v/>
      </c>
      <c r="I1814" t="inlineStr"/>
    </row>
    <row r="1815">
      <c r="A1815" t="inlineStr">
        <is>
          <t>Agri &amp; plantation crops</t>
        </is>
      </c>
      <c r="B1815" t="inlineStr">
        <is>
          <t>11</t>
        </is>
      </c>
      <c r="C1815" t="inlineStr">
        <is>
          <t>11042900</t>
        </is>
      </c>
      <c r="D1815" t="inlineStr">
        <is>
          <t>HULLED,PEARLED,SLICD/KIBBLD OTHR CEREALS</t>
        </is>
      </c>
      <c r="E1815" s="3" t="n">
        <v>0.41</v>
      </c>
      <c r="F1815" s="3" t="n">
        <v>0.27</v>
      </c>
      <c r="G1815" s="3">
        <f>F1815-E1815</f>
        <v/>
      </c>
      <c r="H1815" s="4">
        <f>IF(E1815=0,"",F1815/E1815-1)</f>
        <v/>
      </c>
      <c r="I1815" t="inlineStr"/>
    </row>
    <row r="1816">
      <c r="A1816" t="inlineStr">
        <is>
          <t>Agri &amp; plantation crops</t>
        </is>
      </c>
      <c r="B1816" t="inlineStr">
        <is>
          <t>07</t>
        </is>
      </c>
      <c r="C1816" t="inlineStr">
        <is>
          <t>07070000</t>
        </is>
      </c>
      <c r="D1816" t="inlineStr">
        <is>
          <t>CUCUMBERS AND GHERKINS FRSH OR CHLD</t>
        </is>
      </c>
      <c r="E1816" s="3" t="n">
        <v>0.37</v>
      </c>
      <c r="F1816" s="3" t="n">
        <v>0.26</v>
      </c>
      <c r="G1816" s="3">
        <f>F1816-E1816</f>
        <v/>
      </c>
      <c r="H1816" s="4">
        <f>IF(E1816=0,"",F1816/E1816-1)</f>
        <v/>
      </c>
      <c r="I1816" t="inlineStr"/>
    </row>
    <row r="1817">
      <c r="A1817" t="inlineStr">
        <is>
          <t>Agri &amp; plantation crops</t>
        </is>
      </c>
      <c r="B1817" t="inlineStr">
        <is>
          <t>08</t>
        </is>
      </c>
      <c r="C1817" t="inlineStr">
        <is>
          <t>08052100</t>
        </is>
      </c>
      <c r="D1817" t="inlineStr">
        <is>
          <t>MANDARINS (INCLUDING TANGERINES AND SATSUMAS)</t>
        </is>
      </c>
      <c r="E1817" s="3" t="n">
        <v>0</v>
      </c>
      <c r="F1817" s="3" t="n">
        <v>0.26</v>
      </c>
      <c r="G1817" s="3">
        <f>F1817-E1817</f>
        <v/>
      </c>
      <c r="H1817" s="4">
        <f>IF(E1817=0,"",F1817/E1817-1)</f>
        <v/>
      </c>
      <c r="I1817" t="inlineStr"/>
    </row>
    <row r="1818">
      <c r="A1818" t="inlineStr">
        <is>
          <t>Agri &amp; plantation crops</t>
        </is>
      </c>
      <c r="B1818" t="inlineStr">
        <is>
          <t>08</t>
        </is>
      </c>
      <c r="C1818" t="inlineStr">
        <is>
          <t>08109020</t>
        </is>
      </c>
      <c r="D1818" t="inlineStr">
        <is>
          <t>TAMARIND FRESH</t>
        </is>
      </c>
      <c r="E1818" s="3" t="n">
        <v>0.44</v>
      </c>
      <c r="F1818" s="3" t="n">
        <v>0.26</v>
      </c>
      <c r="G1818" s="3">
        <f>F1818-E1818</f>
        <v/>
      </c>
      <c r="H1818" s="4">
        <f>IF(E1818=0,"",F1818/E1818-1)</f>
        <v/>
      </c>
      <c r="I1818" t="inlineStr"/>
    </row>
    <row r="1819">
      <c r="A1819" t="inlineStr">
        <is>
          <t>Agri &amp; plantation crops</t>
        </is>
      </c>
      <c r="B1819" t="inlineStr">
        <is>
          <t>09</t>
        </is>
      </c>
      <c r="C1819" t="inlineStr">
        <is>
          <t>09101290</t>
        </is>
      </c>
      <c r="D1819" t="inlineStr">
        <is>
          <t>OTHER GINGER; CRUSHED OR GROUND</t>
        </is>
      </c>
      <c r="E1819" s="3" t="n">
        <v>0.39</v>
      </c>
      <c r="F1819" s="3" t="n">
        <v>0.26</v>
      </c>
      <c r="G1819" s="3">
        <f>F1819-E1819</f>
        <v/>
      </c>
      <c r="H1819" s="4">
        <f>IF(E1819=0,"",F1819/E1819-1)</f>
        <v/>
      </c>
      <c r="I1819" t="inlineStr"/>
    </row>
    <row r="1820">
      <c r="A1820" t="inlineStr">
        <is>
          <t>Agri &amp; plantation crops</t>
        </is>
      </c>
      <c r="B1820" t="inlineStr">
        <is>
          <t>07</t>
        </is>
      </c>
      <c r="C1820" t="inlineStr">
        <is>
          <t>07129030</t>
        </is>
      </c>
      <c r="D1820" t="inlineStr">
        <is>
          <t>DEHYDRATED GARLIC FLAKES</t>
        </is>
      </c>
      <c r="E1820" s="3" t="n">
        <v>0.14</v>
      </c>
      <c r="F1820" s="3" t="n">
        <v>0.25</v>
      </c>
      <c r="G1820" s="3">
        <f>F1820-E1820</f>
        <v/>
      </c>
      <c r="H1820" s="4">
        <f>IF(E1820=0,"",F1820/E1820-1)</f>
        <v/>
      </c>
      <c r="I1820" t="inlineStr"/>
    </row>
    <row r="1821">
      <c r="A1821" t="inlineStr">
        <is>
          <t>Agri &amp; plantation crops</t>
        </is>
      </c>
      <c r="B1821" t="inlineStr">
        <is>
          <t>09</t>
        </is>
      </c>
      <c r="C1821" t="inlineStr">
        <is>
          <t>09081120</t>
        </is>
      </c>
      <c r="D1821" t="inlineStr">
        <is>
          <t>SHELLED</t>
        </is>
      </c>
      <c r="E1821" s="3" t="n">
        <v>0.8</v>
      </c>
      <c r="F1821" s="3" t="n">
        <v>0.25</v>
      </c>
      <c r="G1821" s="3">
        <f>F1821-E1821</f>
        <v/>
      </c>
      <c r="H1821" s="4">
        <f>IF(E1821=0,"",F1821/E1821-1)</f>
        <v/>
      </c>
      <c r="I1821" t="inlineStr"/>
    </row>
    <row r="1822">
      <c r="A1822" t="inlineStr">
        <is>
          <t>Agri &amp; plantation crops</t>
        </is>
      </c>
      <c r="B1822" t="inlineStr">
        <is>
          <t>11</t>
        </is>
      </c>
      <c r="C1822" t="inlineStr">
        <is>
          <t>11029021</t>
        </is>
      </c>
      <c r="D1822" t="inlineStr">
        <is>
          <t>BROWN RICE FLOUR</t>
        </is>
      </c>
      <c r="E1822" s="3" t="n">
        <v>0.25</v>
      </c>
      <c r="F1822" s="3" t="n">
        <v>0.24</v>
      </c>
      <c r="G1822" s="3">
        <f>F1822-E1822</f>
        <v/>
      </c>
      <c r="H1822" s="4">
        <f>IF(E1822=0,"",F1822/E1822-1)</f>
        <v/>
      </c>
      <c r="I1822" t="inlineStr"/>
    </row>
    <row r="1823">
      <c r="A1823" t="inlineStr">
        <is>
          <t>Agri &amp; plantation crops</t>
        </is>
      </c>
      <c r="B1823" t="inlineStr">
        <is>
          <t>09</t>
        </is>
      </c>
      <c r="C1823" t="inlineStr">
        <is>
          <t>09011122</t>
        </is>
      </c>
      <c r="D1823" t="inlineStr">
        <is>
          <t>COFFEE ARABICA CHERRY PB</t>
        </is>
      </c>
      <c r="E1823" s="3" t="n">
        <v>0.41</v>
      </c>
      <c r="F1823" s="3" t="n">
        <v>0.23</v>
      </c>
      <c r="G1823" s="3">
        <f>F1823-E1823</f>
        <v/>
      </c>
      <c r="H1823" s="4">
        <f>IF(E1823=0,"",F1823/E1823-1)</f>
        <v/>
      </c>
      <c r="I1823" t="inlineStr"/>
    </row>
    <row r="1824">
      <c r="A1824" t="inlineStr">
        <is>
          <t>Agri &amp; plantation crops</t>
        </is>
      </c>
      <c r="B1824" t="inlineStr">
        <is>
          <t>09</t>
        </is>
      </c>
      <c r="C1824" t="inlineStr">
        <is>
          <t>09083210</t>
        </is>
      </c>
      <c r="D1824" t="inlineStr">
        <is>
          <t>POWDER</t>
        </is>
      </c>
      <c r="E1824" s="3" t="n">
        <v>0.03</v>
      </c>
      <c r="F1824" s="3" t="n">
        <v>0.23</v>
      </c>
      <c r="G1824" s="3">
        <f>F1824-E1824</f>
        <v/>
      </c>
      <c r="H1824" s="4">
        <f>IF(E1824=0,"",F1824/E1824-1)</f>
        <v/>
      </c>
      <c r="I1824" t="inlineStr"/>
    </row>
    <row r="1825">
      <c r="A1825" t="inlineStr">
        <is>
          <t>Agri &amp; plantation crops</t>
        </is>
      </c>
      <c r="B1825" t="inlineStr">
        <is>
          <t>12</t>
        </is>
      </c>
      <c r="C1825" t="inlineStr">
        <is>
          <t>12099150</t>
        </is>
      </c>
      <c r="D1825" t="inlineStr">
        <is>
          <t>RADISH SEEDS USED FOR SOWING</t>
        </is>
      </c>
      <c r="E1825" s="3" t="n">
        <v>0.08</v>
      </c>
      <c r="F1825" s="3" t="n">
        <v>0.23</v>
      </c>
      <c r="G1825" s="3">
        <f>F1825-E1825</f>
        <v/>
      </c>
      <c r="H1825" s="4">
        <f>IF(E1825=0,"",F1825/E1825-1)</f>
        <v/>
      </c>
      <c r="I1825" t="inlineStr"/>
    </row>
    <row r="1826">
      <c r="A1826" t="inlineStr">
        <is>
          <t>Agri &amp; plantation crops</t>
        </is>
      </c>
      <c r="B1826" t="inlineStr">
        <is>
          <t>13</t>
        </is>
      </c>
      <c r="C1826" t="inlineStr">
        <is>
          <t>13019049</t>
        </is>
      </c>
      <c r="D1826" t="inlineStr">
        <is>
          <t>OTHER OLEORESINS</t>
        </is>
      </c>
      <c r="E1826" s="3" t="n">
        <v>0.13</v>
      </c>
      <c r="F1826" s="3" t="n">
        <v>0.23</v>
      </c>
      <c r="G1826" s="3">
        <f>F1826-E1826</f>
        <v/>
      </c>
      <c r="H1826" s="4">
        <f>IF(E1826=0,"",F1826/E1826-1)</f>
        <v/>
      </c>
      <c r="I1826" t="inlineStr"/>
    </row>
    <row r="1827">
      <c r="A1827" t="inlineStr">
        <is>
          <t>Agri &amp; plantation crops</t>
        </is>
      </c>
      <c r="B1827" t="inlineStr">
        <is>
          <t>07</t>
        </is>
      </c>
      <c r="C1827" t="inlineStr">
        <is>
          <t>07119020</t>
        </is>
      </c>
      <c r="D1827" t="inlineStr">
        <is>
          <t>ASSORTED CANNED VEGETABLES</t>
        </is>
      </c>
      <c r="E1827" s="3" t="n">
        <v>0.13</v>
      </c>
      <c r="F1827" s="3" t="n">
        <v>0.22</v>
      </c>
      <c r="G1827" s="3">
        <f>F1827-E1827</f>
        <v/>
      </c>
      <c r="H1827" s="4">
        <f>IF(E1827=0,"",F1827/E1827-1)</f>
        <v/>
      </c>
      <c r="I1827" t="inlineStr"/>
    </row>
    <row r="1828">
      <c r="A1828" t="inlineStr">
        <is>
          <t>Agri &amp; plantation crops</t>
        </is>
      </c>
      <c r="B1828" t="inlineStr">
        <is>
          <t>08</t>
        </is>
      </c>
      <c r="C1828" t="inlineStr">
        <is>
          <t>08039090</t>
        </is>
      </c>
      <c r="D1828" t="inlineStr">
        <is>
          <t>OTHER BANANAS, EXCL. PLANTAINS</t>
        </is>
      </c>
      <c r="E1828" s="3" t="n">
        <v>0.38</v>
      </c>
      <c r="F1828" s="3" t="n">
        <v>0.22</v>
      </c>
      <c r="G1828" s="3">
        <f>F1828-E1828</f>
        <v/>
      </c>
      <c r="H1828" s="4">
        <f>IF(E1828=0,"",F1828/E1828-1)</f>
        <v/>
      </c>
      <c r="I1828" t="inlineStr"/>
    </row>
    <row r="1829">
      <c r="A1829" t="inlineStr">
        <is>
          <t>Agri &amp; plantation crops</t>
        </is>
      </c>
      <c r="B1829" t="inlineStr">
        <is>
          <t>09</t>
        </is>
      </c>
      <c r="C1829" t="inlineStr">
        <is>
          <t>09092110</t>
        </is>
      </c>
      <c r="D1829" t="inlineStr">
        <is>
          <t>OF SEED QUALITY</t>
        </is>
      </c>
      <c r="E1829" s="3" t="n">
        <v>0</v>
      </c>
      <c r="F1829" s="3" t="n">
        <v>0.21</v>
      </c>
      <c r="G1829" s="3">
        <f>F1829-E1829</f>
        <v/>
      </c>
      <c r="H1829" s="4">
        <f>IF(E1829=0,"",F1829/E1829-1)</f>
        <v/>
      </c>
      <c r="I1829" t="inlineStr"/>
    </row>
    <row r="1830">
      <c r="A1830" t="inlineStr">
        <is>
          <t>Agri &amp; plantation crops</t>
        </is>
      </c>
      <c r="B1830" t="inlineStr">
        <is>
          <t>10</t>
        </is>
      </c>
      <c r="C1830" t="inlineStr">
        <is>
          <t>10062000</t>
        </is>
      </c>
      <c r="D1830" t="inlineStr">
        <is>
          <t>HUSKED (BROWN) RICE</t>
        </is>
      </c>
      <c r="E1830" s="3" t="n">
        <v>0.1</v>
      </c>
      <c r="F1830" s="3" t="n">
        <v>0.21</v>
      </c>
      <c r="G1830" s="3">
        <f>F1830-E1830</f>
        <v/>
      </c>
      <c r="H1830" s="4">
        <f>IF(E1830=0,"",F1830/E1830-1)</f>
        <v/>
      </c>
      <c r="I1830" t="inlineStr"/>
    </row>
    <row r="1831">
      <c r="A1831" t="inlineStr">
        <is>
          <t>Agri &amp; plantation crops</t>
        </is>
      </c>
      <c r="B1831" t="inlineStr">
        <is>
          <t>10</t>
        </is>
      </c>
      <c r="C1831" t="inlineStr">
        <is>
          <t>10071000</t>
        </is>
      </c>
      <c r="D1831" t="inlineStr">
        <is>
          <t>SEED</t>
        </is>
      </c>
      <c r="E1831" s="3" t="n">
        <v>0.12</v>
      </c>
      <c r="F1831" s="3" t="n">
        <v>0.21</v>
      </c>
      <c r="G1831" s="3">
        <f>F1831-E1831</f>
        <v/>
      </c>
      <c r="H1831" s="4">
        <f>IF(E1831=0,"",F1831/E1831-1)</f>
        <v/>
      </c>
      <c r="I1831" t="inlineStr"/>
    </row>
    <row r="1832">
      <c r="A1832" t="inlineStr">
        <is>
          <t>Agri &amp; plantation crops</t>
        </is>
      </c>
      <c r="B1832" t="inlineStr">
        <is>
          <t>13</t>
        </is>
      </c>
      <c r="C1832" t="inlineStr">
        <is>
          <t>13023100</t>
        </is>
      </c>
      <c r="D1832" t="inlineStr">
        <is>
          <t>AGAR AGAR W/N MODIFIED</t>
        </is>
      </c>
      <c r="E1832" s="3" t="n">
        <v>0.18</v>
      </c>
      <c r="F1832" s="3" t="n">
        <v>0.21</v>
      </c>
      <c r="G1832" s="3">
        <f>F1832-E1832</f>
        <v/>
      </c>
      <c r="H1832" s="4">
        <f>IF(E1832=0,"",F1832/E1832-1)</f>
        <v/>
      </c>
      <c r="I1832" t="inlineStr"/>
    </row>
    <row r="1833">
      <c r="A1833" t="inlineStr">
        <is>
          <t>Agri &amp; plantation crops</t>
        </is>
      </c>
      <c r="B1833" t="inlineStr">
        <is>
          <t>07</t>
        </is>
      </c>
      <c r="C1833" t="inlineStr">
        <is>
          <t>07099310</t>
        </is>
      </c>
      <c r="D1833" t="inlineStr">
        <is>
          <t>PUMPKINS</t>
        </is>
      </c>
      <c r="E1833" s="3" t="n">
        <v>0.3</v>
      </c>
      <c r="F1833" s="3" t="n">
        <v>0.2</v>
      </c>
      <c r="G1833" s="3">
        <f>F1833-E1833</f>
        <v/>
      </c>
      <c r="H1833" s="4">
        <f>IF(E1833=0,"",F1833/E1833-1)</f>
        <v/>
      </c>
      <c r="I1833" t="inlineStr"/>
    </row>
    <row r="1834">
      <c r="A1834" t="inlineStr">
        <is>
          <t>Agri &amp; plantation crops</t>
        </is>
      </c>
      <c r="B1834" t="inlineStr">
        <is>
          <t>08</t>
        </is>
      </c>
      <c r="C1834" t="inlineStr">
        <is>
          <t>08119090</t>
        </is>
      </c>
      <c r="D1834" t="inlineStr">
        <is>
          <t>*OTHR FRUITS ANDNUTS W/N COKD,FRZN NOT CONTNG SUGR</t>
        </is>
      </c>
      <c r="E1834" s="3" t="n">
        <v>0.29</v>
      </c>
      <c r="F1834" s="3" t="n">
        <v>0.2</v>
      </c>
      <c r="G1834" s="3">
        <f>F1834-E1834</f>
        <v/>
      </c>
      <c r="H1834" s="4">
        <f>IF(E1834=0,"",F1834/E1834-1)</f>
        <v/>
      </c>
      <c r="I1834" t="inlineStr"/>
    </row>
    <row r="1835">
      <c r="A1835" t="inlineStr">
        <is>
          <t>Agri &amp; plantation crops</t>
        </is>
      </c>
      <c r="B1835" t="inlineStr">
        <is>
          <t>09</t>
        </is>
      </c>
      <c r="C1835" t="inlineStr">
        <is>
          <t>09023010</t>
        </is>
      </c>
      <c r="D1835" t="inlineStr">
        <is>
          <t>BLACK TEA IN PACKTS NOT EXCDNG 25 GM</t>
        </is>
      </c>
      <c r="E1835" s="3" t="n">
        <v>0.28</v>
      </c>
      <c r="F1835" s="3" t="n">
        <v>0.2</v>
      </c>
      <c r="G1835" s="3">
        <f>F1835-E1835</f>
        <v/>
      </c>
      <c r="H1835" s="4">
        <f>IF(E1835=0,"",F1835/E1835-1)</f>
        <v/>
      </c>
      <c r="I1835" t="inlineStr"/>
    </row>
    <row r="1836">
      <c r="A1836" t="inlineStr">
        <is>
          <t>Agri &amp; plantation crops</t>
        </is>
      </c>
      <c r="B1836" t="inlineStr">
        <is>
          <t>09</t>
        </is>
      </c>
      <c r="C1836" t="inlineStr">
        <is>
          <t>09109914</t>
        </is>
      </c>
      <c r="D1836" t="inlineStr">
        <is>
          <t>AJWAN SEED (BISHOP SEED)</t>
        </is>
      </c>
      <c r="E1836" s="3" t="n">
        <v>0.28</v>
      </c>
      <c r="F1836" s="3" t="n">
        <v>0.2</v>
      </c>
      <c r="G1836" s="3">
        <f>F1836-E1836</f>
        <v/>
      </c>
      <c r="H1836" s="4">
        <f>IF(E1836=0,"",F1836/E1836-1)</f>
        <v/>
      </c>
      <c r="I1836" t="inlineStr"/>
    </row>
    <row r="1837">
      <c r="A1837" t="inlineStr">
        <is>
          <t>Agri &amp; plantation crops</t>
        </is>
      </c>
      <c r="B1837" t="inlineStr">
        <is>
          <t>12</t>
        </is>
      </c>
      <c r="C1837" t="inlineStr">
        <is>
          <t>12099140</t>
        </is>
      </c>
      <c r="D1837" t="inlineStr">
        <is>
          <t>PEA SEEDS USED FOR SOWING</t>
        </is>
      </c>
      <c r="E1837" s="3" t="n">
        <v>0.02</v>
      </c>
      <c r="F1837" s="3" t="n">
        <v>0.2</v>
      </c>
      <c r="G1837" s="3">
        <f>F1837-E1837</f>
        <v/>
      </c>
      <c r="H1837" s="4">
        <f>IF(E1837=0,"",F1837/E1837-1)</f>
        <v/>
      </c>
      <c r="I1837" t="inlineStr"/>
    </row>
    <row r="1838">
      <c r="A1838" t="inlineStr">
        <is>
          <t>Agri &amp; plantation crops</t>
        </is>
      </c>
      <c r="B1838" t="inlineStr">
        <is>
          <t>07</t>
        </is>
      </c>
      <c r="C1838" t="inlineStr">
        <is>
          <t>07129020</t>
        </is>
      </c>
      <c r="D1838" t="inlineStr">
        <is>
          <t>DEHYDRATED GARLIC POWDER</t>
        </is>
      </c>
      <c r="E1838" s="3" t="n">
        <v>0.11</v>
      </c>
      <c r="F1838" s="3" t="n">
        <v>0.19</v>
      </c>
      <c r="G1838" s="3">
        <f>F1838-E1838</f>
        <v/>
      </c>
      <c r="H1838" s="4">
        <f>IF(E1838=0,"",F1838/E1838-1)</f>
        <v/>
      </c>
      <c r="I1838" t="inlineStr"/>
    </row>
    <row r="1839">
      <c r="A1839" t="inlineStr">
        <is>
          <t>Agri &amp; plantation crops</t>
        </is>
      </c>
      <c r="B1839" t="inlineStr">
        <is>
          <t>12</t>
        </is>
      </c>
      <c r="C1839" t="inlineStr">
        <is>
          <t>12099170</t>
        </is>
      </c>
      <c r="D1839" t="inlineStr">
        <is>
          <t>CHILLY SEEDS</t>
        </is>
      </c>
      <c r="E1839" s="3" t="n">
        <v>0</v>
      </c>
      <c r="F1839" s="3" t="n">
        <v>0.19</v>
      </c>
      <c r="G1839" s="3">
        <f>F1839-E1839</f>
        <v/>
      </c>
      <c r="H1839" s="4">
        <f>IF(E1839=0,"",F1839/E1839-1)</f>
        <v/>
      </c>
      <c r="I1839" t="inlineStr"/>
    </row>
    <row r="1840">
      <c r="A1840" t="inlineStr">
        <is>
          <t>Agri &amp; plantation crops</t>
        </is>
      </c>
      <c r="B1840" t="inlineStr">
        <is>
          <t>08</t>
        </is>
      </c>
      <c r="C1840" t="inlineStr">
        <is>
          <t>08011290</t>
        </is>
      </c>
      <c r="D1840" t="inlineStr">
        <is>
          <t>OTHER ENDOCARP</t>
        </is>
      </c>
      <c r="E1840" s="3" t="n">
        <v>0</v>
      </c>
      <c r="F1840" s="3" t="n">
        <v>0.18</v>
      </c>
      <c r="G1840" s="3">
        <f>F1840-E1840</f>
        <v/>
      </c>
      <c r="H1840" s="4">
        <f>IF(E1840=0,"",F1840/E1840-1)</f>
        <v/>
      </c>
      <c r="I1840" t="inlineStr"/>
    </row>
    <row r="1841">
      <c r="A1841" t="inlineStr">
        <is>
          <t>Agri &amp; plantation crops</t>
        </is>
      </c>
      <c r="B1841" t="inlineStr">
        <is>
          <t>09</t>
        </is>
      </c>
      <c r="C1841" t="inlineStr">
        <is>
          <t>09011111</t>
        </is>
      </c>
      <c r="D1841" t="inlineStr">
        <is>
          <t>COFFEE ARABICA PLANTATION`A`</t>
        </is>
      </c>
      <c r="E1841" s="3" t="n">
        <v>0.01</v>
      </c>
      <c r="F1841" s="3" t="n">
        <v>0.18</v>
      </c>
      <c r="G1841" s="3">
        <f>F1841-E1841</f>
        <v/>
      </c>
      <c r="H1841" s="4">
        <f>IF(E1841=0,"",F1841/E1841-1)</f>
        <v/>
      </c>
      <c r="I1841" t="inlineStr"/>
    </row>
    <row r="1842">
      <c r="A1842" t="inlineStr">
        <is>
          <t>Agri &amp; plantation crops</t>
        </is>
      </c>
      <c r="B1842" t="inlineStr">
        <is>
          <t>07</t>
        </is>
      </c>
      <c r="C1842" t="inlineStr">
        <is>
          <t>07102200</t>
        </is>
      </c>
      <c r="D1842" t="inlineStr">
        <is>
          <t>BEANS SHELLED OR UNSHELLED,FRZN</t>
        </is>
      </c>
      <c r="E1842" s="3" t="n">
        <v>0.03</v>
      </c>
      <c r="F1842" s="3" t="n">
        <v>0.17</v>
      </c>
      <c r="G1842" s="3">
        <f>F1842-E1842</f>
        <v/>
      </c>
      <c r="H1842" s="4">
        <f>IF(E1842=0,"",F1842/E1842-1)</f>
        <v/>
      </c>
      <c r="I1842" t="inlineStr"/>
    </row>
    <row r="1843">
      <c r="A1843" t="inlineStr">
        <is>
          <t>Agri &amp; plantation crops</t>
        </is>
      </c>
      <c r="B1843" t="inlineStr">
        <is>
          <t>07</t>
        </is>
      </c>
      <c r="C1843" t="inlineStr">
        <is>
          <t>07139010</t>
        </is>
      </c>
      <c r="D1843" t="inlineStr">
        <is>
          <t>OTHR DRIED AND SHLD LUGUMINOUS VEGTBLS,SPLIT</t>
        </is>
      </c>
      <c r="E1843" s="3" t="n">
        <v>0.09</v>
      </c>
      <c r="F1843" s="3" t="n">
        <v>0.17</v>
      </c>
      <c r="G1843" s="3">
        <f>F1843-E1843</f>
        <v/>
      </c>
      <c r="H1843" s="4">
        <f>IF(E1843=0,"",F1843/E1843-1)</f>
        <v/>
      </c>
      <c r="I1843" t="inlineStr"/>
    </row>
    <row r="1844">
      <c r="A1844" t="inlineStr">
        <is>
          <t>Agri &amp; plantation crops</t>
        </is>
      </c>
      <c r="B1844" t="inlineStr">
        <is>
          <t>08</t>
        </is>
      </c>
      <c r="C1844" t="inlineStr">
        <is>
          <t>08031090</t>
        </is>
      </c>
      <c r="D1844" t="inlineStr">
        <is>
          <t>OTHER PLANTAIN</t>
        </is>
      </c>
      <c r="E1844" s="3" t="n">
        <v>0</v>
      </c>
      <c r="F1844" s="3" t="n">
        <v>0.17</v>
      </c>
      <c r="G1844" s="3">
        <f>F1844-E1844</f>
        <v/>
      </c>
      <c r="H1844" s="4">
        <f>IF(E1844=0,"",F1844/E1844-1)</f>
        <v/>
      </c>
      <c r="I1844" t="inlineStr"/>
    </row>
    <row r="1845">
      <c r="A1845" t="inlineStr">
        <is>
          <t>Agri &amp; plantation crops</t>
        </is>
      </c>
      <c r="B1845" t="inlineStr">
        <is>
          <t>08</t>
        </is>
      </c>
      <c r="C1845" t="inlineStr">
        <is>
          <t>08045023</t>
        </is>
      </c>
      <c r="D1845" t="inlineStr">
        <is>
          <t>CHAUSA</t>
        </is>
      </c>
      <c r="E1845" s="3" t="n">
        <v>0.02</v>
      </c>
      <c r="F1845" s="3" t="n">
        <v>0.17</v>
      </c>
      <c r="G1845" s="3">
        <f>F1845-E1845</f>
        <v/>
      </c>
      <c r="H1845" s="4">
        <f>IF(E1845=0,"",F1845/E1845-1)</f>
        <v/>
      </c>
      <c r="I1845" t="inlineStr"/>
    </row>
    <row r="1846">
      <c r="A1846" t="inlineStr">
        <is>
          <t>Agri &amp; plantation crops</t>
        </is>
      </c>
      <c r="B1846" t="inlineStr">
        <is>
          <t>09</t>
        </is>
      </c>
      <c r="C1846" t="inlineStr">
        <is>
          <t>09102090</t>
        </is>
      </c>
      <c r="D1846" t="inlineStr">
        <is>
          <t>OTHER SAFFRON</t>
        </is>
      </c>
      <c r="E1846" s="3" t="n">
        <v>0.09</v>
      </c>
      <c r="F1846" s="3" t="n">
        <v>0.17</v>
      </c>
      <c r="G1846" s="3">
        <f>F1846-E1846</f>
        <v/>
      </c>
      <c r="H1846" s="4">
        <f>IF(E1846=0,"",F1846/E1846-1)</f>
        <v/>
      </c>
      <c r="I1846" t="inlineStr"/>
    </row>
    <row r="1847">
      <c r="A1847" t="inlineStr">
        <is>
          <t>Agri &amp; plantation crops</t>
        </is>
      </c>
      <c r="B1847" t="inlineStr">
        <is>
          <t>07</t>
        </is>
      </c>
      <c r="C1847" t="inlineStr">
        <is>
          <t>07134000</t>
        </is>
      </c>
      <c r="D1847" t="inlineStr">
        <is>
          <t>LENTILS (MOSUR),DRIED AND SHLD</t>
        </is>
      </c>
      <c r="E1847" s="3" t="n">
        <v>0.45</v>
      </c>
      <c r="F1847" s="3" t="n">
        <v>0.16</v>
      </c>
      <c r="G1847" s="3">
        <f>F1847-E1847</f>
        <v/>
      </c>
      <c r="H1847" s="4">
        <f>IF(E1847=0,"",F1847/E1847-1)</f>
        <v/>
      </c>
      <c r="I1847" t="inlineStr"/>
    </row>
    <row r="1848">
      <c r="A1848" t="inlineStr">
        <is>
          <t>Agri &amp; plantation crops</t>
        </is>
      </c>
      <c r="B1848" t="inlineStr">
        <is>
          <t>07</t>
        </is>
      </c>
      <c r="C1848" t="inlineStr">
        <is>
          <t>07135000</t>
        </is>
      </c>
      <c r="D1848" t="inlineStr">
        <is>
          <t>BROAD BEANS AND HORSE BEANS DRIED AND SHLD</t>
        </is>
      </c>
      <c r="E1848" s="3" t="n">
        <v>0.13</v>
      </c>
      <c r="F1848" s="3" t="n">
        <v>0.16</v>
      </c>
      <c r="G1848" s="3">
        <f>F1848-E1848</f>
        <v/>
      </c>
      <c r="H1848" s="4">
        <f>IF(E1848=0,"",F1848/E1848-1)</f>
        <v/>
      </c>
      <c r="I1848" t="inlineStr"/>
    </row>
    <row r="1849">
      <c r="A1849" t="inlineStr">
        <is>
          <t>Agri &amp; plantation crops</t>
        </is>
      </c>
      <c r="B1849" t="inlineStr">
        <is>
          <t>12</t>
        </is>
      </c>
      <c r="C1849" t="inlineStr">
        <is>
          <t>12092100</t>
        </is>
      </c>
      <c r="D1849" t="inlineStr">
        <is>
          <t>LUCERNE (ALFALFA) SEED OF FORAGE PLANTS</t>
        </is>
      </c>
      <c r="E1849" s="3" t="n">
        <v>0</v>
      </c>
      <c r="F1849" s="3" t="n">
        <v>0.16</v>
      </c>
      <c r="G1849" s="3">
        <f>F1849-E1849</f>
        <v/>
      </c>
      <c r="H1849" s="4">
        <f>IF(E1849=0,"",F1849/E1849-1)</f>
        <v/>
      </c>
      <c r="I1849" t="inlineStr"/>
    </row>
    <row r="1850">
      <c r="A1850" t="inlineStr">
        <is>
          <t>Agri &amp; plantation crops</t>
        </is>
      </c>
      <c r="B1850" t="inlineStr">
        <is>
          <t>07</t>
        </is>
      </c>
      <c r="C1850" t="inlineStr">
        <is>
          <t>07101000</t>
        </is>
      </c>
      <c r="D1850" t="inlineStr">
        <is>
          <t>POTATOES COOKED OR UNCOOKED,FROZEN</t>
        </is>
      </c>
      <c r="E1850" s="3" t="n">
        <v>0.06</v>
      </c>
      <c r="F1850" s="3" t="n">
        <v>0.15</v>
      </c>
      <c r="G1850" s="3">
        <f>F1850-E1850</f>
        <v/>
      </c>
      <c r="H1850" s="4">
        <f>IF(E1850=0,"",F1850/E1850-1)</f>
        <v/>
      </c>
      <c r="I1850" t="inlineStr"/>
    </row>
    <row r="1851">
      <c r="A1851" t="inlineStr">
        <is>
          <t>Agri &amp; plantation crops</t>
        </is>
      </c>
      <c r="B1851" t="inlineStr">
        <is>
          <t>12</t>
        </is>
      </c>
      <c r="C1851" t="inlineStr">
        <is>
          <t>12119019</t>
        </is>
      </c>
      <c r="D1851" t="inlineStr">
        <is>
          <t>OTHER SEEDS FRSH/DRID W/N CUT CRSHD/ PWDRDUSD IN PERFMRY,PHARM ETC/</t>
        </is>
      </c>
      <c r="E1851" s="3" t="n">
        <v>0</v>
      </c>
      <c r="F1851" s="3" t="n">
        <v>0.15</v>
      </c>
      <c r="G1851" s="3">
        <f>F1851-E1851</f>
        <v/>
      </c>
      <c r="H1851" s="4">
        <f>IF(E1851=0,"",F1851/E1851-1)</f>
        <v/>
      </c>
      <c r="I1851" t="inlineStr"/>
    </row>
    <row r="1852">
      <c r="A1852" t="inlineStr">
        <is>
          <t>Agri &amp; plantation crops</t>
        </is>
      </c>
      <c r="B1852" t="inlineStr">
        <is>
          <t>07</t>
        </is>
      </c>
      <c r="C1852" t="inlineStr">
        <is>
          <t>07061000</t>
        </is>
      </c>
      <c r="D1852" t="inlineStr">
        <is>
          <t>CARROTS AND TURNIPS FRSH OR CHILLED</t>
        </is>
      </c>
      <c r="E1852" s="3" t="n">
        <v>0.16</v>
      </c>
      <c r="F1852" s="3" t="n">
        <v>0.14</v>
      </c>
      <c r="G1852" s="3">
        <f>F1852-E1852</f>
        <v/>
      </c>
      <c r="H1852" s="4">
        <f>IF(E1852=0,"",F1852/E1852-1)</f>
        <v/>
      </c>
      <c r="I1852" t="inlineStr"/>
    </row>
    <row r="1853">
      <c r="A1853" t="inlineStr">
        <is>
          <t>Agri &amp; plantation crops</t>
        </is>
      </c>
      <c r="B1853" t="inlineStr">
        <is>
          <t>07</t>
        </is>
      </c>
      <c r="C1853" t="inlineStr">
        <is>
          <t>07129090</t>
        </is>
      </c>
      <c r="D1853" t="inlineStr">
        <is>
          <t>OTHERS,DRIED</t>
        </is>
      </c>
      <c r="E1853" s="3" t="n">
        <v>0.22</v>
      </c>
      <c r="F1853" s="3" t="n">
        <v>0.14</v>
      </c>
      <c r="G1853" s="3">
        <f>F1853-E1853</f>
        <v/>
      </c>
      <c r="H1853" s="4">
        <f>IF(E1853=0,"",F1853/E1853-1)</f>
        <v/>
      </c>
      <c r="I1853" t="inlineStr"/>
    </row>
    <row r="1854">
      <c r="A1854" t="inlineStr">
        <is>
          <t>Agri &amp; plantation crops</t>
        </is>
      </c>
      <c r="B1854" t="inlineStr">
        <is>
          <t>09</t>
        </is>
      </c>
      <c r="C1854" t="inlineStr">
        <is>
          <t>09021020</t>
        </is>
      </c>
      <c r="D1854" t="inlineStr">
        <is>
          <t>GREN TEA IN PACKTS&gt;25 GM BUT &lt;=1 KG</t>
        </is>
      </c>
      <c r="E1854" s="3" t="n">
        <v>0.18</v>
      </c>
      <c r="F1854" s="3" t="n">
        <v>0.14</v>
      </c>
      <c r="G1854" s="3">
        <f>F1854-E1854</f>
        <v/>
      </c>
      <c r="H1854" s="4">
        <f>IF(E1854=0,"",F1854/E1854-1)</f>
        <v/>
      </c>
      <c r="I1854" t="inlineStr"/>
    </row>
    <row r="1855">
      <c r="A1855" t="inlineStr">
        <is>
          <t>Agri &amp; plantation crops</t>
        </is>
      </c>
      <c r="B1855" t="inlineStr">
        <is>
          <t>10</t>
        </is>
      </c>
      <c r="C1855" t="inlineStr">
        <is>
          <t>10089090</t>
        </is>
      </c>
      <c r="D1855" t="inlineStr">
        <is>
          <t>OTHER CEREALS,OTHER THEN SEED QLTY</t>
        </is>
      </c>
      <c r="E1855" s="3" t="n">
        <v>1.35</v>
      </c>
      <c r="F1855" s="3" t="n">
        <v>0.14</v>
      </c>
      <c r="G1855" s="3">
        <f>F1855-E1855</f>
        <v/>
      </c>
      <c r="H1855" s="4">
        <f>IF(E1855=0,"",F1855/E1855-1)</f>
        <v/>
      </c>
      <c r="I1855" t="inlineStr"/>
    </row>
    <row r="1856">
      <c r="A1856" t="inlineStr">
        <is>
          <t>Agri &amp; plantation crops</t>
        </is>
      </c>
      <c r="B1856" t="inlineStr">
        <is>
          <t>12</t>
        </is>
      </c>
      <c r="C1856" t="inlineStr">
        <is>
          <t>12099130</t>
        </is>
      </c>
      <c r="D1856" t="inlineStr">
        <is>
          <t>ONION SEEDS USED FOR SOWING</t>
        </is>
      </c>
      <c r="E1856" s="3" t="n">
        <v>0.01</v>
      </c>
      <c r="F1856" s="3" t="n">
        <v>0.14</v>
      </c>
      <c r="G1856" s="3">
        <f>F1856-E1856</f>
        <v/>
      </c>
      <c r="H1856" s="4">
        <f>IF(E1856=0,"",F1856/E1856-1)</f>
        <v/>
      </c>
      <c r="I1856" t="inlineStr"/>
    </row>
    <row r="1857">
      <c r="A1857" t="inlineStr">
        <is>
          <t>Agri &amp; plantation crops</t>
        </is>
      </c>
      <c r="B1857" t="inlineStr">
        <is>
          <t>12</t>
        </is>
      </c>
      <c r="C1857" t="inlineStr">
        <is>
          <t>12119016</t>
        </is>
      </c>
      <c r="D1857" t="inlineStr">
        <is>
          <t>GARCINIA</t>
        </is>
      </c>
      <c r="E1857" s="3" t="n">
        <v>0.21</v>
      </c>
      <c r="F1857" s="3" t="n">
        <v>0.14</v>
      </c>
      <c r="G1857" s="3">
        <f>F1857-E1857</f>
        <v/>
      </c>
      <c r="H1857" s="4">
        <f>IF(E1857=0,"",F1857/E1857-1)</f>
        <v/>
      </c>
      <c r="I1857" t="inlineStr"/>
    </row>
    <row r="1858">
      <c r="A1858" t="inlineStr">
        <is>
          <t>Agri &amp; plantation crops</t>
        </is>
      </c>
      <c r="B1858" t="inlineStr">
        <is>
          <t>07</t>
        </is>
      </c>
      <c r="C1858" t="inlineStr">
        <is>
          <t>07099330</t>
        </is>
      </c>
      <c r="D1858" t="inlineStr">
        <is>
          <t>BITTER GOURD</t>
        </is>
      </c>
      <c r="E1858" s="3" t="n">
        <v>0</v>
      </c>
      <c r="F1858" s="3" t="n">
        <v>0.13</v>
      </c>
      <c r="G1858" s="3">
        <f>F1858-E1858</f>
        <v/>
      </c>
      <c r="H1858" s="4">
        <f>IF(E1858=0,"",F1858/E1858-1)</f>
        <v/>
      </c>
      <c r="I1858" t="inlineStr"/>
    </row>
    <row r="1859">
      <c r="A1859" t="inlineStr">
        <is>
          <t>Agri &amp; plantation crops</t>
        </is>
      </c>
      <c r="B1859" t="inlineStr">
        <is>
          <t>08</t>
        </is>
      </c>
      <c r="C1859" t="inlineStr">
        <is>
          <t>08011920</t>
        </is>
      </c>
      <c r="D1859" t="inlineStr">
        <is>
          <t>COCONUT ,DRIED EXCL. DESICCATED AND ENDOCARP</t>
        </is>
      </c>
      <c r="E1859" s="3" t="n">
        <v>0.03</v>
      </c>
      <c r="F1859" s="3" t="n">
        <v>0.13</v>
      </c>
      <c r="G1859" s="3">
        <f>F1859-E1859</f>
        <v/>
      </c>
      <c r="H1859" s="4">
        <f>IF(E1859=0,"",F1859/E1859-1)</f>
        <v/>
      </c>
      <c r="I1859" t="inlineStr"/>
    </row>
    <row r="1860">
      <c r="A1860" t="inlineStr">
        <is>
          <t>Agri &amp; plantation crops</t>
        </is>
      </c>
      <c r="B1860" t="inlineStr">
        <is>
          <t>09</t>
        </is>
      </c>
      <c r="C1860" t="inlineStr">
        <is>
          <t>09012290</t>
        </is>
      </c>
      <c r="D1860" t="inlineStr">
        <is>
          <t>OTHR ROASTED DECAFFEINATED COFFEE</t>
        </is>
      </c>
      <c r="E1860" s="3" t="n">
        <v>0.02</v>
      </c>
      <c r="F1860" s="3" t="n">
        <v>0.13</v>
      </c>
      <c r="G1860" s="3">
        <f>F1860-E1860</f>
        <v/>
      </c>
      <c r="H1860" s="4">
        <f>IF(E1860=0,"",F1860/E1860-1)</f>
        <v/>
      </c>
      <c r="I1860" t="inlineStr"/>
    </row>
    <row r="1861">
      <c r="A1861" t="inlineStr">
        <is>
          <t>Agri &amp; plantation crops</t>
        </is>
      </c>
      <c r="B1861" t="inlineStr">
        <is>
          <t>09</t>
        </is>
      </c>
      <c r="C1861" t="inlineStr">
        <is>
          <t>09081110</t>
        </is>
      </c>
      <c r="D1861" t="inlineStr">
        <is>
          <t>IN SHELL</t>
        </is>
      </c>
      <c r="E1861" s="3" t="n">
        <v>0.25</v>
      </c>
      <c r="F1861" s="3" t="n">
        <v>0.13</v>
      </c>
      <c r="G1861" s="3">
        <f>F1861-E1861</f>
        <v/>
      </c>
      <c r="H1861" s="4">
        <f>IF(E1861=0,"",F1861/E1861-1)</f>
        <v/>
      </c>
      <c r="I1861" t="inlineStr"/>
    </row>
    <row r="1862">
      <c r="A1862" t="inlineStr">
        <is>
          <t>Agri &amp; plantation crops</t>
        </is>
      </c>
      <c r="B1862" t="inlineStr">
        <is>
          <t>09</t>
        </is>
      </c>
      <c r="C1862" t="inlineStr">
        <is>
          <t>09109929</t>
        </is>
      </c>
      <c r="D1862" t="inlineStr">
        <is>
          <t>OTHER POWDER OF OTHER SPICES N.E.S.</t>
        </is>
      </c>
      <c r="E1862" s="3" t="n">
        <v>0.15</v>
      </c>
      <c r="F1862" s="3" t="n">
        <v>0.13</v>
      </c>
      <c r="G1862" s="3">
        <f>F1862-E1862</f>
        <v/>
      </c>
      <c r="H1862" s="4">
        <f>IF(E1862=0,"",F1862/E1862-1)</f>
        <v/>
      </c>
      <c r="I1862" t="inlineStr"/>
    </row>
    <row r="1863">
      <c r="A1863" t="inlineStr">
        <is>
          <t>Agri &amp; plantation crops</t>
        </is>
      </c>
      <c r="B1863" t="inlineStr">
        <is>
          <t>12</t>
        </is>
      </c>
      <c r="C1863" t="inlineStr">
        <is>
          <t>12060090</t>
        </is>
      </c>
      <c r="D1863" t="inlineStr">
        <is>
          <t>OTHER SUNFLOWER SEEDS W/N BROKEN</t>
        </is>
      </c>
      <c r="E1863" s="3" t="n">
        <v>0.24</v>
      </c>
      <c r="F1863" s="3" t="n">
        <v>0.13</v>
      </c>
      <c r="G1863" s="3">
        <f>F1863-E1863</f>
        <v/>
      </c>
      <c r="H1863" s="4">
        <f>IF(E1863=0,"",F1863/E1863-1)</f>
        <v/>
      </c>
      <c r="I1863" t="inlineStr"/>
    </row>
    <row r="1864">
      <c r="A1864" t="inlineStr">
        <is>
          <t>Agri &amp; plantation crops</t>
        </is>
      </c>
      <c r="B1864" t="inlineStr">
        <is>
          <t>08</t>
        </is>
      </c>
      <c r="C1864" t="inlineStr">
        <is>
          <t>08012200</t>
        </is>
      </c>
      <c r="D1864" t="inlineStr">
        <is>
          <t>BRAZIL NUTS FRSH/DRED SHELLED</t>
        </is>
      </c>
      <c r="E1864" s="3" t="n">
        <v>0</v>
      </c>
      <c r="F1864" s="3" t="n">
        <v>0.12</v>
      </c>
      <c r="G1864" s="3">
        <f>F1864-E1864</f>
        <v/>
      </c>
      <c r="H1864" s="4">
        <f>IF(E1864=0,"",F1864/E1864-1)</f>
        <v/>
      </c>
      <c r="I1864" t="inlineStr"/>
    </row>
    <row r="1865">
      <c r="A1865" t="inlineStr">
        <is>
          <t>Agri &amp; plantation crops</t>
        </is>
      </c>
      <c r="B1865" t="inlineStr">
        <is>
          <t>09</t>
        </is>
      </c>
      <c r="C1865" t="inlineStr">
        <is>
          <t>09019010</t>
        </is>
      </c>
      <c r="D1865" t="inlineStr">
        <is>
          <t>COFFEE HUSKS AND SKINS</t>
        </is>
      </c>
      <c r="E1865" s="3" t="n">
        <v>0.03</v>
      </c>
      <c r="F1865" s="3" t="n">
        <v>0.11</v>
      </c>
      <c r="G1865" s="3">
        <f>F1865-E1865</f>
        <v/>
      </c>
      <c r="H1865" s="4">
        <f>IF(E1865=0,"",F1865/E1865-1)</f>
        <v/>
      </c>
      <c r="I1865" t="inlineStr"/>
    </row>
    <row r="1866">
      <c r="A1866" t="inlineStr">
        <is>
          <t>Agri &amp; plantation crops</t>
        </is>
      </c>
      <c r="B1866" t="inlineStr">
        <is>
          <t>09</t>
        </is>
      </c>
      <c r="C1866" t="inlineStr">
        <is>
          <t>09101210</t>
        </is>
      </c>
      <c r="D1866" t="inlineStr">
        <is>
          <t>POWDER</t>
        </is>
      </c>
      <c r="E1866" s="3" t="n">
        <v>0.1</v>
      </c>
      <c r="F1866" s="3" t="n">
        <v>0.11</v>
      </c>
      <c r="G1866" s="3">
        <f>F1866-E1866</f>
        <v/>
      </c>
      <c r="H1866" s="4">
        <f>IF(E1866=0,"",F1866/E1866-1)</f>
        <v/>
      </c>
      <c r="I1866" t="inlineStr"/>
    </row>
    <row r="1867">
      <c r="A1867" t="inlineStr">
        <is>
          <t>Agri &amp; plantation crops</t>
        </is>
      </c>
      <c r="B1867" t="inlineStr">
        <is>
          <t>10</t>
        </is>
      </c>
      <c r="C1867" t="inlineStr">
        <is>
          <t>10051000</t>
        </is>
      </c>
      <c r="D1867" t="inlineStr">
        <is>
          <t>MAIZE SEED</t>
        </is>
      </c>
      <c r="E1867" s="3" t="n">
        <v>0.06</v>
      </c>
      <c r="F1867" s="3" t="n">
        <v>0.11</v>
      </c>
      <c r="G1867" s="3">
        <f>F1867-E1867</f>
        <v/>
      </c>
      <c r="H1867" s="4">
        <f>IF(E1867=0,"",F1867/E1867-1)</f>
        <v/>
      </c>
      <c r="I1867" t="inlineStr"/>
    </row>
    <row r="1868">
      <c r="A1868" t="inlineStr">
        <is>
          <t>Agri &amp; plantation crops</t>
        </is>
      </c>
      <c r="B1868" t="inlineStr">
        <is>
          <t>10</t>
        </is>
      </c>
      <c r="C1868" t="inlineStr">
        <is>
          <t>10082930</t>
        </is>
      </c>
      <c r="D1868" t="inlineStr">
        <is>
          <t>RAGI</t>
        </is>
      </c>
      <c r="E1868" s="3" t="n">
        <v>0.12</v>
      </c>
      <c r="F1868" s="3" t="n">
        <v>0.11</v>
      </c>
      <c r="G1868" s="3">
        <f>F1868-E1868</f>
        <v/>
      </c>
      <c r="H1868" s="4">
        <f>IF(E1868=0,"",F1868/E1868-1)</f>
        <v/>
      </c>
      <c r="I1868" t="inlineStr"/>
    </row>
    <row r="1869">
      <c r="A1869" t="inlineStr">
        <is>
          <t>Agri &amp; plantation crops</t>
        </is>
      </c>
      <c r="B1869" t="inlineStr">
        <is>
          <t>09</t>
        </is>
      </c>
      <c r="C1869" t="inlineStr">
        <is>
          <t>09041120</t>
        </is>
      </c>
      <c r="D1869" t="inlineStr">
        <is>
          <t>LIGHT BLACK PEPPER</t>
        </is>
      </c>
      <c r="E1869" s="3" t="n">
        <v>0.02</v>
      </c>
      <c r="F1869" s="3" t="n">
        <v>0.1</v>
      </c>
      <c r="G1869" s="3">
        <f>F1869-E1869</f>
        <v/>
      </c>
      <c r="H1869" s="4">
        <f>IF(E1869=0,"",F1869/E1869-1)</f>
        <v/>
      </c>
      <c r="I1869" t="inlineStr"/>
    </row>
    <row r="1870">
      <c r="A1870" t="inlineStr">
        <is>
          <t>Agri &amp; plantation crops</t>
        </is>
      </c>
      <c r="B1870" t="inlineStr">
        <is>
          <t>10</t>
        </is>
      </c>
      <c r="C1870" t="inlineStr">
        <is>
          <t>10082110</t>
        </is>
      </c>
      <c r="D1870" t="inlineStr">
        <is>
          <t>JAWAR</t>
        </is>
      </c>
      <c r="E1870" s="3" t="n">
        <v>0</v>
      </c>
      <c r="F1870" s="3" t="n">
        <v>0.1</v>
      </c>
      <c r="G1870" s="3">
        <f>F1870-E1870</f>
        <v/>
      </c>
      <c r="H1870" s="4">
        <f>IF(E1870=0,"",F1870/E1870-1)</f>
        <v/>
      </c>
      <c r="I1870" t="inlineStr"/>
    </row>
    <row r="1871">
      <c r="A1871" t="inlineStr">
        <is>
          <t>Agri &amp; plantation crops</t>
        </is>
      </c>
      <c r="B1871" t="inlineStr">
        <is>
          <t>12</t>
        </is>
      </c>
      <c r="C1871" t="inlineStr">
        <is>
          <t>12076090</t>
        </is>
      </c>
      <c r="D1871" t="inlineStr">
        <is>
          <t>OTHER SAFFLOWER</t>
        </is>
      </c>
      <c r="E1871" s="3" t="n">
        <v>0.04</v>
      </c>
      <c r="F1871" s="3" t="n">
        <v>0.1</v>
      </c>
      <c r="G1871" s="3">
        <f>F1871-E1871</f>
        <v/>
      </c>
      <c r="H1871" s="4">
        <f>IF(E1871=0,"",F1871/E1871-1)</f>
        <v/>
      </c>
      <c r="I1871" t="inlineStr"/>
    </row>
    <row r="1872">
      <c r="A1872" t="inlineStr">
        <is>
          <t>Agri &amp; plantation crops</t>
        </is>
      </c>
      <c r="B1872" t="inlineStr">
        <is>
          <t>12</t>
        </is>
      </c>
      <c r="C1872" t="inlineStr">
        <is>
          <t>12119090</t>
        </is>
      </c>
      <c r="D1872" t="inlineStr">
        <is>
          <t>OTHER PLANTS AND PARTS OF PLANTS USD IN PRFMRY, PHARMCY, INSECTICDL/FUNGICDL PURPSE, FRESH/DRIED</t>
        </is>
      </c>
      <c r="E1872" s="3" t="n">
        <v>0.02</v>
      </c>
      <c r="F1872" s="3" t="n">
        <v>0.1</v>
      </c>
      <c r="G1872" s="3">
        <f>F1872-E1872</f>
        <v/>
      </c>
      <c r="H1872" s="4">
        <f>IF(E1872=0,"",F1872/E1872-1)</f>
        <v/>
      </c>
      <c r="I1872" t="inlineStr"/>
    </row>
    <row r="1873">
      <c r="A1873" t="inlineStr">
        <is>
          <t>Agri &amp; plantation crops</t>
        </is>
      </c>
      <c r="B1873" t="inlineStr">
        <is>
          <t>06</t>
        </is>
      </c>
      <c r="C1873" t="inlineStr">
        <is>
          <t>06031100</t>
        </is>
      </c>
      <c r="D1873" t="inlineStr">
        <is>
          <t>ROSES</t>
        </is>
      </c>
      <c r="E1873" s="3" t="n">
        <v>0.03</v>
      </c>
      <c r="F1873" s="3" t="n">
        <v>0.09</v>
      </c>
      <c r="G1873" s="3">
        <f>F1873-E1873</f>
        <v/>
      </c>
      <c r="H1873" s="4">
        <f>IF(E1873=0,"",F1873/E1873-1)</f>
        <v/>
      </c>
      <c r="I1873" t="inlineStr"/>
    </row>
    <row r="1874">
      <c r="A1874" t="inlineStr">
        <is>
          <t>Agri &amp; plantation crops</t>
        </is>
      </c>
      <c r="B1874" t="inlineStr">
        <is>
          <t>07</t>
        </is>
      </c>
      <c r="C1874" t="inlineStr">
        <is>
          <t>07149010</t>
        </is>
      </c>
      <c r="D1874" t="inlineStr">
        <is>
          <t>SAGO PITH</t>
        </is>
      </c>
      <c r="E1874" s="3" t="n">
        <v>0.05</v>
      </c>
      <c r="F1874" s="3" t="n">
        <v>0.09</v>
      </c>
      <c r="G1874" s="3">
        <f>F1874-E1874</f>
        <v/>
      </c>
      <c r="H1874" s="4">
        <f>IF(E1874=0,"",F1874/E1874-1)</f>
        <v/>
      </c>
      <c r="I1874" t="inlineStr"/>
    </row>
    <row r="1875">
      <c r="A1875" t="inlineStr">
        <is>
          <t>Agri &amp; plantation crops</t>
        </is>
      </c>
      <c r="B1875" t="inlineStr">
        <is>
          <t>10</t>
        </is>
      </c>
      <c r="C1875" t="inlineStr">
        <is>
          <t>10041000</t>
        </is>
      </c>
      <c r="D1875" t="inlineStr">
        <is>
          <t>SEED</t>
        </is>
      </c>
      <c r="E1875" s="3" t="n">
        <v>0.11</v>
      </c>
      <c r="F1875" s="3" t="n">
        <v>0.09</v>
      </c>
      <c r="G1875" s="3">
        <f>F1875-E1875</f>
        <v/>
      </c>
      <c r="H1875" s="4">
        <f>IF(E1875=0,"",F1875/E1875-1)</f>
        <v/>
      </c>
      <c r="I1875" t="inlineStr"/>
    </row>
    <row r="1876">
      <c r="A1876" t="inlineStr">
        <is>
          <t>Agri &amp; plantation crops</t>
        </is>
      </c>
      <c r="B1876" t="inlineStr">
        <is>
          <t>11</t>
        </is>
      </c>
      <c r="C1876" t="inlineStr">
        <is>
          <t>11042300</t>
        </is>
      </c>
      <c r="D1876" t="inlineStr">
        <is>
          <t>HULLED,PEARLED,SLICD/KIBBLD MAIZE (CORN)</t>
        </is>
      </c>
      <c r="E1876" s="3" t="n">
        <v>0.08</v>
      </c>
      <c r="F1876" s="3" t="n">
        <v>0.09</v>
      </c>
      <c r="G1876" s="3">
        <f>F1876-E1876</f>
        <v/>
      </c>
      <c r="H1876" s="4">
        <f>IF(E1876=0,"",F1876/E1876-1)</f>
        <v/>
      </c>
      <c r="I1876" t="inlineStr"/>
    </row>
    <row r="1877">
      <c r="A1877" t="inlineStr">
        <is>
          <t>Agri &amp; plantation crops</t>
        </is>
      </c>
      <c r="B1877" t="inlineStr">
        <is>
          <t>12</t>
        </is>
      </c>
      <c r="C1877" t="inlineStr">
        <is>
          <t>12119029</t>
        </is>
      </c>
      <c r="D1877" t="inlineStr">
        <is>
          <t>OTHER LEVS,PWDR,FLURS AND PODS FRSH/DRD W/N CUT CRSHD/PWDRD</t>
        </is>
      </c>
      <c r="E1877" s="3" t="n">
        <v>0.27</v>
      </c>
      <c r="F1877" s="3" t="n">
        <v>0.09</v>
      </c>
      <c r="G1877" s="3">
        <f>F1877-E1877</f>
        <v/>
      </c>
      <c r="H1877" s="4">
        <f>IF(E1877=0,"",F1877/E1877-1)</f>
        <v/>
      </c>
      <c r="I1877" t="inlineStr"/>
    </row>
    <row r="1878">
      <c r="A1878" t="inlineStr">
        <is>
          <t>Agri &amp; plantation crops</t>
        </is>
      </c>
      <c r="B1878" t="inlineStr">
        <is>
          <t>12</t>
        </is>
      </c>
      <c r="C1878" t="inlineStr">
        <is>
          <t>12129300</t>
        </is>
      </c>
      <c r="D1878" t="inlineStr">
        <is>
          <t>SUGAR CANE</t>
        </is>
      </c>
      <c r="E1878" s="3" t="n">
        <v>0.02</v>
      </c>
      <c r="F1878" s="3" t="n">
        <v>0.09</v>
      </c>
      <c r="G1878" s="3">
        <f>F1878-E1878</f>
        <v/>
      </c>
      <c r="H1878" s="4">
        <f>IF(E1878=0,"",F1878/E1878-1)</f>
        <v/>
      </c>
      <c r="I1878" t="inlineStr"/>
    </row>
    <row r="1879">
      <c r="A1879" t="inlineStr">
        <is>
          <t>Agri &amp; plantation crops</t>
        </is>
      </c>
      <c r="B1879" t="inlineStr">
        <is>
          <t>06</t>
        </is>
      </c>
      <c r="C1879" t="inlineStr">
        <is>
          <t>06022090</t>
        </is>
      </c>
      <c r="D1879" t="inlineStr">
        <is>
          <t>OTHER TREES,SHRBS AND BUSH GRFTD/NOT</t>
        </is>
      </c>
      <c r="E1879" s="3" t="n">
        <v>0.08</v>
      </c>
      <c r="F1879" s="3" t="n">
        <v>0.08</v>
      </c>
      <c r="G1879" s="3">
        <f>F1879-E1879</f>
        <v/>
      </c>
      <c r="H1879" s="4">
        <f>IF(E1879=0,"",F1879/E1879-1)</f>
        <v/>
      </c>
      <c r="I1879" t="inlineStr"/>
    </row>
    <row r="1880">
      <c r="A1880" t="inlineStr">
        <is>
          <t>Agri &amp; plantation crops</t>
        </is>
      </c>
      <c r="B1880" t="inlineStr">
        <is>
          <t>07</t>
        </is>
      </c>
      <c r="C1880" t="inlineStr">
        <is>
          <t>07119010</t>
        </is>
      </c>
      <c r="D1880" t="inlineStr">
        <is>
          <t>GREEN PEPPER IN BRINE</t>
        </is>
      </c>
      <c r="E1880" s="3" t="n">
        <v>0.02</v>
      </c>
      <c r="F1880" s="3" t="n">
        <v>0.08</v>
      </c>
      <c r="G1880" s="3">
        <f>F1880-E1880</f>
        <v/>
      </c>
      <c r="H1880" s="4">
        <f>IF(E1880=0,"",F1880/E1880-1)</f>
        <v/>
      </c>
      <c r="I1880" t="inlineStr"/>
    </row>
    <row r="1881">
      <c r="A1881" t="inlineStr">
        <is>
          <t>Agri &amp; plantation crops</t>
        </is>
      </c>
      <c r="B1881" t="inlineStr">
        <is>
          <t>08</t>
        </is>
      </c>
      <c r="C1881" t="inlineStr">
        <is>
          <t>08029900</t>
        </is>
      </c>
      <c r="D1881" t="inlineStr">
        <is>
          <t>*OTHERS</t>
        </is>
      </c>
      <c r="E1881" s="3" t="n">
        <v>0</v>
      </c>
      <c r="F1881" s="3" t="n">
        <v>0.08</v>
      </c>
      <c r="G1881" s="3">
        <f>F1881-E1881</f>
        <v/>
      </c>
      <c r="H1881" s="4">
        <f>IF(E1881=0,"",F1881/E1881-1)</f>
        <v/>
      </c>
      <c r="I1881" t="inlineStr"/>
    </row>
    <row r="1882">
      <c r="A1882" t="inlineStr">
        <is>
          <t>Agri &amp; plantation crops</t>
        </is>
      </c>
      <c r="B1882" t="inlineStr">
        <is>
          <t>07</t>
        </is>
      </c>
      <c r="C1882" t="inlineStr">
        <is>
          <t>07133300</t>
        </is>
      </c>
      <c r="D1882" t="inlineStr">
        <is>
          <t>KIDNY BENS INCL WHTE PEA BENS DRIED AND SHLD</t>
        </is>
      </c>
      <c r="E1882" s="3" t="n">
        <v>0.02</v>
      </c>
      <c r="F1882" s="3" t="n">
        <v>0.07000000000000001</v>
      </c>
      <c r="G1882" s="3">
        <f>F1882-E1882</f>
        <v/>
      </c>
      <c r="H1882" s="4">
        <f>IF(E1882=0,"",F1882/E1882-1)</f>
        <v/>
      </c>
      <c r="I1882" t="inlineStr"/>
    </row>
    <row r="1883">
      <c r="A1883" t="inlineStr">
        <is>
          <t>Agri &amp; plantation crops</t>
        </is>
      </c>
      <c r="B1883" t="inlineStr">
        <is>
          <t>07</t>
        </is>
      </c>
      <c r="C1883" t="inlineStr">
        <is>
          <t>07144000</t>
        </is>
      </c>
      <c r="D1883" t="inlineStr">
        <is>
          <t>TARO (COLOCASIA SPP.)</t>
        </is>
      </c>
      <c r="E1883" s="3" t="n">
        <v>0.06</v>
      </c>
      <c r="F1883" s="3" t="n">
        <v>0.07000000000000001</v>
      </c>
      <c r="G1883" s="3">
        <f>F1883-E1883</f>
        <v/>
      </c>
      <c r="H1883" s="4">
        <f>IF(E1883=0,"",F1883/E1883-1)</f>
        <v/>
      </c>
      <c r="I1883" t="inlineStr"/>
    </row>
    <row r="1884">
      <c r="A1884" t="inlineStr">
        <is>
          <t>Agri &amp; plantation crops</t>
        </is>
      </c>
      <c r="B1884" t="inlineStr">
        <is>
          <t>09</t>
        </is>
      </c>
      <c r="C1884" t="inlineStr">
        <is>
          <t>09019090</t>
        </is>
      </c>
      <c r="D1884" t="inlineStr">
        <is>
          <t>OTHER COFFEE, ROASTED</t>
        </is>
      </c>
      <c r="E1884" s="3" t="n">
        <v>0.15</v>
      </c>
      <c r="F1884" s="3" t="n">
        <v>0.07000000000000001</v>
      </c>
      <c r="G1884" s="3">
        <f>F1884-E1884</f>
        <v/>
      </c>
      <c r="H1884" s="4">
        <f>IF(E1884=0,"",F1884/E1884-1)</f>
        <v/>
      </c>
      <c r="I1884" t="inlineStr"/>
    </row>
    <row r="1885">
      <c r="A1885" t="inlineStr">
        <is>
          <t>Agri &amp; plantation crops</t>
        </is>
      </c>
      <c r="B1885" t="inlineStr">
        <is>
          <t>10</t>
        </is>
      </c>
      <c r="C1885" t="inlineStr">
        <is>
          <t>10039000</t>
        </is>
      </c>
      <c r="D1885" t="inlineStr">
        <is>
          <t>OTHER BARLEY</t>
        </is>
      </c>
      <c r="E1885" s="3" t="n">
        <v>0.71</v>
      </c>
      <c r="F1885" s="3" t="n">
        <v>0.07000000000000001</v>
      </c>
      <c r="G1885" s="3">
        <f>F1885-E1885</f>
        <v/>
      </c>
      <c r="H1885" s="4">
        <f>IF(E1885=0,"",F1885/E1885-1)</f>
        <v/>
      </c>
      <c r="I1885" t="inlineStr"/>
    </row>
    <row r="1886">
      <c r="A1886" t="inlineStr">
        <is>
          <t>Agri &amp; plantation crops</t>
        </is>
      </c>
      <c r="B1886" t="inlineStr">
        <is>
          <t>11</t>
        </is>
      </c>
      <c r="C1886" t="inlineStr">
        <is>
          <t>11029029</t>
        </is>
      </c>
      <c r="D1886" t="inlineStr">
        <is>
          <t>OTHERS-OF-OTHER CEREAL FLOUR</t>
        </is>
      </c>
      <c r="E1886" s="3" t="n">
        <v>0.05</v>
      </c>
      <c r="F1886" s="3" t="n">
        <v>0.07000000000000001</v>
      </c>
      <c r="G1886" s="3">
        <f>F1886-E1886</f>
        <v/>
      </c>
      <c r="H1886" s="4">
        <f>IF(E1886=0,"",F1886/E1886-1)</f>
        <v/>
      </c>
      <c r="I1886" t="inlineStr"/>
    </row>
    <row r="1887">
      <c r="A1887" t="inlineStr">
        <is>
          <t>Agri &amp; plantation crops</t>
        </is>
      </c>
      <c r="B1887" t="inlineStr">
        <is>
          <t>11</t>
        </is>
      </c>
      <c r="C1887" t="inlineStr">
        <is>
          <t>11031110</t>
        </is>
      </c>
      <c r="D1887" t="inlineStr">
        <is>
          <t>GROATS INCLUDING SEMOLINA</t>
        </is>
      </c>
      <c r="E1887" s="3" t="n">
        <v>0.06</v>
      </c>
      <c r="F1887" s="3" t="n">
        <v>0.07000000000000001</v>
      </c>
      <c r="G1887" s="3">
        <f>F1887-E1887</f>
        <v/>
      </c>
      <c r="H1887" s="4">
        <f>IF(E1887=0,"",F1887/E1887-1)</f>
        <v/>
      </c>
      <c r="I1887" t="inlineStr"/>
    </row>
    <row r="1888">
      <c r="A1888" t="inlineStr">
        <is>
          <t>Agri &amp; plantation crops</t>
        </is>
      </c>
      <c r="B1888" t="inlineStr">
        <is>
          <t>11</t>
        </is>
      </c>
      <c r="C1888" t="inlineStr">
        <is>
          <t>11043000</t>
        </is>
      </c>
      <c r="D1888" t="inlineStr">
        <is>
          <t>GERM OF CERLS WHOLE ROLLD FLAKED OR GROUND</t>
        </is>
      </c>
      <c r="E1888" s="3" t="n">
        <v>0.06</v>
      </c>
      <c r="F1888" s="3" t="n">
        <v>0.07000000000000001</v>
      </c>
      <c r="G1888" s="3">
        <f>F1888-E1888</f>
        <v/>
      </c>
      <c r="H1888" s="4">
        <f>IF(E1888=0,"",F1888/E1888-1)</f>
        <v/>
      </c>
      <c r="I1888" t="inlineStr"/>
    </row>
    <row r="1889">
      <c r="A1889" t="inlineStr">
        <is>
          <t>Agri &amp; plantation crops</t>
        </is>
      </c>
      <c r="B1889" t="inlineStr">
        <is>
          <t>12</t>
        </is>
      </c>
      <c r="C1889" t="inlineStr">
        <is>
          <t>12119056</t>
        </is>
      </c>
      <c r="D1889" t="inlineStr">
        <is>
          <t>BASIL,HYASOP,ROSE MARY SAGE,SAVORY</t>
        </is>
      </c>
      <c r="E1889" s="3" t="n">
        <v>0.04</v>
      </c>
      <c r="F1889" s="3" t="n">
        <v>0.07000000000000001</v>
      </c>
      <c r="G1889" s="3">
        <f>F1889-E1889</f>
        <v/>
      </c>
      <c r="H1889" s="4">
        <f>IF(E1889=0,"",F1889/E1889-1)</f>
        <v/>
      </c>
      <c r="I1889" t="inlineStr"/>
    </row>
    <row r="1890">
      <c r="A1890" t="inlineStr">
        <is>
          <t>Agri &amp; plantation crops</t>
        </is>
      </c>
      <c r="B1890" t="inlineStr">
        <is>
          <t>07</t>
        </is>
      </c>
      <c r="C1890" t="inlineStr">
        <is>
          <t>07099350</t>
        </is>
      </c>
      <c r="D1890" t="inlineStr">
        <is>
          <t>SNAKE GOURD</t>
        </is>
      </c>
      <c r="E1890" s="3" t="n">
        <v>0.04</v>
      </c>
      <c r="F1890" s="3" t="n">
        <v>0.06</v>
      </c>
      <c r="G1890" s="3">
        <f>F1890-E1890</f>
        <v/>
      </c>
      <c r="H1890" s="4">
        <f>IF(E1890=0,"",F1890/E1890-1)</f>
        <v/>
      </c>
      <c r="I1890" t="inlineStr"/>
    </row>
    <row r="1891">
      <c r="A1891" t="inlineStr">
        <is>
          <t>Agri &amp; plantation crops</t>
        </is>
      </c>
      <c r="B1891" t="inlineStr">
        <is>
          <t>07</t>
        </is>
      </c>
      <c r="C1891" t="inlineStr">
        <is>
          <t>07131090</t>
        </is>
      </c>
      <c r="D1891" t="inlineStr">
        <is>
          <t>OTHERS-OF-PEAS (PISUM SATIVUM) DRIED AND SHLD</t>
        </is>
      </c>
      <c r="E1891" s="3" t="n">
        <v>0.01</v>
      </c>
      <c r="F1891" s="3" t="n">
        <v>0.06</v>
      </c>
      <c r="G1891" s="3">
        <f>F1891-E1891</f>
        <v/>
      </c>
      <c r="H1891" s="4">
        <f>IF(E1891=0,"",F1891/E1891-1)</f>
        <v/>
      </c>
      <c r="I1891" t="inlineStr"/>
    </row>
    <row r="1892">
      <c r="A1892" t="inlineStr">
        <is>
          <t>Agri &amp; plantation crops</t>
        </is>
      </c>
      <c r="B1892" t="inlineStr">
        <is>
          <t>08</t>
        </is>
      </c>
      <c r="C1892" t="inlineStr">
        <is>
          <t>08055000</t>
        </is>
      </c>
      <c r="D1892" t="inlineStr">
        <is>
          <t>LEMONS(CITRUS LIMON CITRUS LIMONUM) AND LIMES(CITRUS AURANTIFOLIA) FRSH OR DRIED</t>
        </is>
      </c>
      <c r="E1892" s="3" t="n">
        <v>0.09</v>
      </c>
      <c r="F1892" s="3" t="n">
        <v>0.06</v>
      </c>
      <c r="G1892" s="3">
        <f>F1892-E1892</f>
        <v/>
      </c>
      <c r="H1892" s="4">
        <f>IF(E1892=0,"",F1892/E1892-1)</f>
        <v/>
      </c>
      <c r="I1892" t="inlineStr"/>
    </row>
    <row r="1893">
      <c r="A1893" t="inlineStr">
        <is>
          <t>Agri &amp; plantation crops</t>
        </is>
      </c>
      <c r="B1893" t="inlineStr">
        <is>
          <t>08</t>
        </is>
      </c>
      <c r="C1893" t="inlineStr">
        <is>
          <t>08134020</t>
        </is>
      </c>
      <c r="D1893" t="inlineStr">
        <is>
          <t>SING0DA WH0LE (WATER NUT)</t>
        </is>
      </c>
      <c r="E1893" s="3" t="n">
        <v>0</v>
      </c>
      <c r="F1893" s="3" t="n">
        <v>0.06</v>
      </c>
      <c r="G1893" s="3">
        <f>F1893-E1893</f>
        <v/>
      </c>
      <c r="H1893" s="4">
        <f>IF(E1893=0,"",F1893/E1893-1)</f>
        <v/>
      </c>
      <c r="I1893" t="inlineStr"/>
    </row>
    <row r="1894">
      <c r="A1894" t="inlineStr">
        <is>
          <t>Agri &amp; plantation crops</t>
        </is>
      </c>
      <c r="B1894" t="inlineStr">
        <is>
          <t>11</t>
        </is>
      </c>
      <c r="C1894" t="inlineStr">
        <is>
          <t>11063030</t>
        </is>
      </c>
      <c r="D1894" t="inlineStr">
        <is>
          <t>FLOUR OF MANGO</t>
        </is>
      </c>
      <c r="E1894" s="3" t="n">
        <v>0.06</v>
      </c>
      <c r="F1894" s="3" t="n">
        <v>0.06</v>
      </c>
      <c r="G1894" s="3">
        <f>F1894-E1894</f>
        <v/>
      </c>
      <c r="H1894" s="4">
        <f>IF(E1894=0,"",F1894/E1894-1)</f>
        <v/>
      </c>
      <c r="I1894" t="inlineStr"/>
    </row>
    <row r="1895">
      <c r="A1895" t="inlineStr">
        <is>
          <t>Agri &amp; plantation crops</t>
        </is>
      </c>
      <c r="B1895" t="inlineStr">
        <is>
          <t>12</t>
        </is>
      </c>
      <c r="C1895" t="inlineStr">
        <is>
          <t>12040090</t>
        </is>
      </c>
      <c r="D1895" t="inlineStr">
        <is>
          <t>OTHER LINSEED W/N BROKEN</t>
        </is>
      </c>
      <c r="E1895" s="3" t="n">
        <v>0.28</v>
      </c>
      <c r="F1895" s="3" t="n">
        <v>0.06</v>
      </c>
      <c r="G1895" s="3">
        <f>F1895-E1895</f>
        <v/>
      </c>
      <c r="H1895" s="4">
        <f>IF(E1895=0,"",F1895/E1895-1)</f>
        <v/>
      </c>
      <c r="I1895" t="inlineStr"/>
    </row>
    <row r="1896">
      <c r="A1896" t="inlineStr">
        <is>
          <t>Agri &amp; plantation crops</t>
        </is>
      </c>
      <c r="B1896" t="inlineStr">
        <is>
          <t>06</t>
        </is>
      </c>
      <c r="C1896" t="inlineStr">
        <is>
          <t>06029030</t>
        </is>
      </c>
      <c r="D1896" t="inlineStr">
        <is>
          <t>PLANT FOR TISSUE CULTURE</t>
        </is>
      </c>
      <c r="E1896" s="3" t="n">
        <v>0.03</v>
      </c>
      <c r="F1896" s="3" t="n">
        <v>0.05</v>
      </c>
      <c r="G1896" s="3">
        <f>F1896-E1896</f>
        <v/>
      </c>
      <c r="H1896" s="4">
        <f>IF(E1896=0,"",F1896/E1896-1)</f>
        <v/>
      </c>
      <c r="I1896" t="inlineStr"/>
    </row>
    <row r="1897">
      <c r="A1897" t="inlineStr">
        <is>
          <t>Agri &amp; plantation crops</t>
        </is>
      </c>
      <c r="B1897" t="inlineStr">
        <is>
          <t>07</t>
        </is>
      </c>
      <c r="C1897" t="inlineStr">
        <is>
          <t>07082000</t>
        </is>
      </c>
      <c r="D1897" t="inlineStr">
        <is>
          <t>BEANS SHLD OR UNSHLD FRSH OR CHLD</t>
        </is>
      </c>
      <c r="E1897" s="3" t="n">
        <v>0.2</v>
      </c>
      <c r="F1897" s="3" t="n">
        <v>0.05</v>
      </c>
      <c r="G1897" s="3">
        <f>F1897-E1897</f>
        <v/>
      </c>
      <c r="H1897" s="4">
        <f>IF(E1897=0,"",F1897/E1897-1)</f>
        <v/>
      </c>
      <c r="I1897" t="inlineStr"/>
    </row>
    <row r="1898">
      <c r="A1898" t="inlineStr">
        <is>
          <t>Agri &amp; plantation crops</t>
        </is>
      </c>
      <c r="B1898" t="inlineStr">
        <is>
          <t>08</t>
        </is>
      </c>
      <c r="C1898" t="inlineStr">
        <is>
          <t>08031010</t>
        </is>
      </c>
      <c r="D1898" t="inlineStr">
        <is>
          <t>CURRY PLANTAIN</t>
        </is>
      </c>
      <c r="E1898" s="3" t="n">
        <v>0</v>
      </c>
      <c r="F1898" s="3" t="n">
        <v>0.05</v>
      </c>
      <c r="G1898" s="3">
        <f>F1898-E1898</f>
        <v/>
      </c>
      <c r="H1898" s="4">
        <f>IF(E1898=0,"",F1898/E1898-1)</f>
        <v/>
      </c>
      <c r="I1898" t="inlineStr"/>
    </row>
    <row r="1899">
      <c r="A1899" t="inlineStr">
        <is>
          <t>Agri &amp; plantation crops</t>
        </is>
      </c>
      <c r="B1899" t="inlineStr">
        <is>
          <t>08</t>
        </is>
      </c>
      <c r="C1899" t="inlineStr">
        <is>
          <t>08071910</t>
        </is>
      </c>
      <c r="D1899" t="inlineStr">
        <is>
          <t>MUSK MELONS</t>
        </is>
      </c>
      <c r="E1899" s="3" t="n">
        <v>0.28</v>
      </c>
      <c r="F1899" s="3" t="n">
        <v>0.05</v>
      </c>
      <c r="G1899" s="3">
        <f>F1899-E1899</f>
        <v/>
      </c>
      <c r="H1899" s="4">
        <f>IF(E1899=0,"",F1899/E1899-1)</f>
        <v/>
      </c>
      <c r="I1899" t="inlineStr"/>
    </row>
    <row r="1900">
      <c r="A1900" t="inlineStr">
        <is>
          <t>Agri &amp; plantation crops</t>
        </is>
      </c>
      <c r="B1900" t="inlineStr">
        <is>
          <t>09</t>
        </is>
      </c>
      <c r="C1900" t="inlineStr">
        <is>
          <t>09021090</t>
        </is>
      </c>
      <c r="D1900" t="inlineStr">
        <is>
          <t>OTHER GREEN TEA IN PCKETS NOT EXCLDNG 3KG</t>
        </is>
      </c>
      <c r="E1900" s="3" t="n">
        <v>0</v>
      </c>
      <c r="F1900" s="3" t="n">
        <v>0.05</v>
      </c>
      <c r="G1900" s="3">
        <f>F1900-E1900</f>
        <v/>
      </c>
      <c r="H1900" s="4">
        <f>IF(E1900=0,"",F1900/E1900-1)</f>
        <v/>
      </c>
      <c r="I1900" t="inlineStr"/>
    </row>
    <row r="1901">
      <c r="A1901" t="inlineStr">
        <is>
          <t>Agri &amp; plantation crops</t>
        </is>
      </c>
      <c r="B1901" t="inlineStr">
        <is>
          <t>09</t>
        </is>
      </c>
      <c r="C1901" t="inlineStr">
        <is>
          <t>09061190</t>
        </is>
      </c>
      <c r="D1901" t="inlineStr">
        <is>
          <t>OTHER CINNAMON</t>
        </is>
      </c>
      <c r="E1901" s="3" t="n">
        <v>0.02</v>
      </c>
      <c r="F1901" s="3" t="n">
        <v>0.05</v>
      </c>
      <c r="G1901" s="3">
        <f>F1901-E1901</f>
        <v/>
      </c>
      <c r="H1901" s="4">
        <f>IF(E1901=0,"",F1901/E1901-1)</f>
        <v/>
      </c>
      <c r="I1901" t="inlineStr"/>
    </row>
    <row r="1902">
      <c r="A1902" t="inlineStr">
        <is>
          <t>Agri &amp; plantation crops</t>
        </is>
      </c>
      <c r="B1902" t="inlineStr">
        <is>
          <t>09</t>
        </is>
      </c>
      <c r="C1902" t="inlineStr">
        <is>
          <t>09062000</t>
        </is>
      </c>
      <c r="D1902" t="inlineStr">
        <is>
          <t>CINNAMON AND ITS TREE FLWRS CRSHD OR GRND</t>
        </is>
      </c>
      <c r="E1902" s="3" t="n">
        <v>0</v>
      </c>
      <c r="F1902" s="3" t="n">
        <v>0.05</v>
      </c>
      <c r="G1902" s="3">
        <f>F1902-E1902</f>
        <v/>
      </c>
      <c r="H1902" s="4">
        <f>IF(E1902=0,"",F1902/E1902-1)</f>
        <v/>
      </c>
      <c r="I1902" t="inlineStr"/>
    </row>
    <row r="1903">
      <c r="A1903" t="inlineStr">
        <is>
          <t>Agri &amp; plantation crops</t>
        </is>
      </c>
      <c r="B1903" t="inlineStr">
        <is>
          <t>09</t>
        </is>
      </c>
      <c r="C1903" t="inlineStr">
        <is>
          <t>09071090</t>
        </is>
      </c>
      <c r="D1903" t="inlineStr">
        <is>
          <t>OTHER PARTS OF CLOVE, NEITHER CRUSHED NOR GROUND</t>
        </is>
      </c>
      <c r="E1903" s="3" t="n">
        <v>0.04</v>
      </c>
      <c r="F1903" s="3" t="n">
        <v>0.05</v>
      </c>
      <c r="G1903" s="3">
        <f>F1903-E1903</f>
        <v/>
      </c>
      <c r="H1903" s="4">
        <f>IF(E1903=0,"",F1903/E1903-1)</f>
        <v/>
      </c>
      <c r="I1903" t="inlineStr"/>
    </row>
    <row r="1904">
      <c r="A1904" t="inlineStr">
        <is>
          <t>Agri &amp; plantation crops</t>
        </is>
      </c>
      <c r="B1904" t="inlineStr">
        <is>
          <t>09</t>
        </is>
      </c>
      <c r="C1904" t="inlineStr">
        <is>
          <t>09082200</t>
        </is>
      </c>
      <c r="D1904" t="inlineStr">
        <is>
          <t>CRUSHED OR GROUND</t>
        </is>
      </c>
      <c r="E1904" s="3" t="n">
        <v>0.03</v>
      </c>
      <c r="F1904" s="3" t="n">
        <v>0.05</v>
      </c>
      <c r="G1904" s="3">
        <f>F1904-E1904</f>
        <v/>
      </c>
      <c r="H1904" s="4">
        <f>IF(E1904=0,"",F1904/E1904-1)</f>
        <v/>
      </c>
      <c r="I1904" t="inlineStr"/>
    </row>
    <row r="1905">
      <c r="A1905" t="inlineStr">
        <is>
          <t>Agri &amp; plantation crops</t>
        </is>
      </c>
      <c r="B1905" t="inlineStr">
        <is>
          <t>11</t>
        </is>
      </c>
      <c r="C1905" t="inlineStr">
        <is>
          <t>11031900</t>
        </is>
      </c>
      <c r="D1905" t="inlineStr">
        <is>
          <t>GROATS AND MEAL OF OTHR CEREALS</t>
        </is>
      </c>
      <c r="E1905" s="3" t="n">
        <v>0.02</v>
      </c>
      <c r="F1905" s="3" t="n">
        <v>0.05</v>
      </c>
      <c r="G1905" s="3">
        <f>F1905-E1905</f>
        <v/>
      </c>
      <c r="H1905" s="4">
        <f>IF(E1905=0,"",F1905/E1905-1)</f>
        <v/>
      </c>
      <c r="I1905" t="inlineStr"/>
    </row>
    <row r="1906">
      <c r="A1906" t="inlineStr">
        <is>
          <t>Agri &amp; plantation crops</t>
        </is>
      </c>
      <c r="B1906" t="inlineStr">
        <is>
          <t>09</t>
        </is>
      </c>
      <c r="C1906" t="inlineStr">
        <is>
          <t>09109924</t>
        </is>
      </c>
      <c r="D1906" t="inlineStr">
        <is>
          <t>FENUGREEK POWDER</t>
        </is>
      </c>
      <c r="E1906" s="3" t="n">
        <v>0.01</v>
      </c>
      <c r="F1906" s="3" t="n">
        <v>0.04</v>
      </c>
      <c r="G1906" s="3">
        <f>F1906-E1906</f>
        <v/>
      </c>
      <c r="H1906" s="4">
        <f>IF(E1906=0,"",F1906/E1906-1)</f>
        <v/>
      </c>
      <c r="I1906" t="inlineStr"/>
    </row>
    <row r="1907">
      <c r="A1907" t="inlineStr">
        <is>
          <t>Agri &amp; plantation crops</t>
        </is>
      </c>
      <c r="B1907" t="inlineStr">
        <is>
          <t>11</t>
        </is>
      </c>
      <c r="C1907" t="inlineStr">
        <is>
          <t>11041900</t>
        </is>
      </c>
      <c r="D1907" t="inlineStr">
        <is>
          <t>ROLLED/FLAKED GRAINS OF OTHER CEREALS</t>
        </is>
      </c>
      <c r="E1907" s="3" t="n">
        <v>0.02</v>
      </c>
      <c r="F1907" s="3" t="n">
        <v>0.04</v>
      </c>
      <c r="G1907" s="3">
        <f>F1907-E1907</f>
        <v/>
      </c>
      <c r="H1907" s="4">
        <f>IF(E1907=0,"",F1907/E1907-1)</f>
        <v/>
      </c>
      <c r="I1907" t="inlineStr"/>
    </row>
    <row r="1908">
      <c r="A1908" t="inlineStr">
        <is>
          <t>Agri &amp; plantation crops</t>
        </is>
      </c>
      <c r="B1908" t="inlineStr">
        <is>
          <t>12</t>
        </is>
      </c>
      <c r="C1908" t="inlineStr">
        <is>
          <t>12019000</t>
        </is>
      </c>
      <c r="D1908" t="inlineStr">
        <is>
          <t>OTHER SOYA BEANS</t>
        </is>
      </c>
      <c r="E1908" s="3" t="n">
        <v>0</v>
      </c>
      <c r="F1908" s="3" t="n">
        <v>0.04</v>
      </c>
      <c r="G1908" s="3">
        <f>F1908-E1908</f>
        <v/>
      </c>
      <c r="H1908" s="4">
        <f>IF(E1908=0,"",F1908/E1908-1)</f>
        <v/>
      </c>
      <c r="I1908" t="inlineStr"/>
    </row>
    <row r="1909">
      <c r="A1909" t="inlineStr">
        <is>
          <t>Agri &amp; plantation crops</t>
        </is>
      </c>
      <c r="B1909" t="inlineStr">
        <is>
          <t>12</t>
        </is>
      </c>
      <c r="C1909" t="inlineStr">
        <is>
          <t>12077090</t>
        </is>
      </c>
      <c r="D1909" t="inlineStr">
        <is>
          <t>OTHER MELON SEEDS</t>
        </is>
      </c>
      <c r="E1909" s="3" t="n">
        <v>0.09</v>
      </c>
      <c r="F1909" s="3" t="n">
        <v>0.04</v>
      </c>
      <c r="G1909" s="3">
        <f>F1909-E1909</f>
        <v/>
      </c>
      <c r="H1909" s="4">
        <f>IF(E1909=0,"",F1909/E1909-1)</f>
        <v/>
      </c>
      <c r="I1909" t="inlineStr"/>
    </row>
    <row r="1910">
      <c r="A1910" t="inlineStr">
        <is>
          <t>Agri &amp; plantation crops</t>
        </is>
      </c>
      <c r="B1910" t="inlineStr">
        <is>
          <t>13</t>
        </is>
      </c>
      <c r="C1910" t="inlineStr">
        <is>
          <t>13012000</t>
        </is>
      </c>
      <c r="D1910" t="inlineStr">
        <is>
          <t>GUM ARABIC</t>
        </is>
      </c>
      <c r="E1910" s="3" t="n">
        <v>0.01</v>
      </c>
      <c r="F1910" s="3" t="n">
        <v>0.04</v>
      </c>
      <c r="G1910" s="3">
        <f>F1910-E1910</f>
        <v/>
      </c>
      <c r="H1910" s="4">
        <f>IF(E1910=0,"",F1910/E1910-1)</f>
        <v/>
      </c>
      <c r="I1910" t="inlineStr"/>
    </row>
    <row r="1911">
      <c r="A1911" t="inlineStr">
        <is>
          <t>Agri &amp; plantation crops</t>
        </is>
      </c>
      <c r="B1911" t="inlineStr">
        <is>
          <t>13</t>
        </is>
      </c>
      <c r="C1911" t="inlineStr">
        <is>
          <t>13021990</t>
        </is>
      </c>
      <c r="D1911" t="inlineStr">
        <is>
          <t>OTHERS, DERIVED FROM VEGETBLE PRODCTS</t>
        </is>
      </c>
      <c r="E1911" s="3" t="n">
        <v>0</v>
      </c>
      <c r="F1911" s="3" t="n">
        <v>0.04</v>
      </c>
      <c r="G1911" s="3">
        <f>F1911-E1911</f>
        <v/>
      </c>
      <c r="H1911" s="4">
        <f>IF(E1911=0,"",F1911/E1911-1)</f>
        <v/>
      </c>
      <c r="I1911" t="inlineStr"/>
    </row>
    <row r="1912">
      <c r="A1912" t="inlineStr">
        <is>
          <t>Agri &amp; plantation crops</t>
        </is>
      </c>
      <c r="B1912" t="inlineStr">
        <is>
          <t>07</t>
        </is>
      </c>
      <c r="C1912" t="inlineStr">
        <is>
          <t>07096090</t>
        </is>
      </c>
      <c r="D1912" t="inlineStr">
        <is>
          <t>OTHER FRUITS OF THE GENUS CAPSICUM OR PIMENTA</t>
        </is>
      </c>
      <c r="E1912" s="3" t="n">
        <v>0.1</v>
      </c>
      <c r="F1912" s="3" t="n">
        <v>0.03</v>
      </c>
      <c r="G1912" s="3">
        <f>F1912-E1912</f>
        <v/>
      </c>
      <c r="H1912" s="4">
        <f>IF(E1912=0,"",F1912/E1912-1)</f>
        <v/>
      </c>
      <c r="I1912" t="inlineStr"/>
    </row>
    <row r="1913">
      <c r="A1913" t="inlineStr">
        <is>
          <t>Agri &amp; plantation crops</t>
        </is>
      </c>
      <c r="B1913" t="inlineStr">
        <is>
          <t>07</t>
        </is>
      </c>
      <c r="C1913" t="inlineStr">
        <is>
          <t>07102900</t>
        </is>
      </c>
      <c r="D1913" t="inlineStr">
        <is>
          <t>OTHR LEGUMINOUS VEGTBLS SHELD OR NT FRZN</t>
        </is>
      </c>
      <c r="E1913" s="3" t="n">
        <v>0.64</v>
      </c>
      <c r="F1913" s="3" t="n">
        <v>0.03</v>
      </c>
      <c r="G1913" s="3">
        <f>F1913-E1913</f>
        <v/>
      </c>
      <c r="H1913" s="4">
        <f>IF(E1913=0,"",F1913/E1913-1)</f>
        <v/>
      </c>
      <c r="I1913" t="inlineStr"/>
    </row>
    <row r="1914">
      <c r="A1914" t="inlineStr">
        <is>
          <t>Agri &amp; plantation crops</t>
        </is>
      </c>
      <c r="B1914" t="inlineStr">
        <is>
          <t>08</t>
        </is>
      </c>
      <c r="C1914" t="inlineStr">
        <is>
          <t>08045024</t>
        </is>
      </c>
      <c r="D1914" t="inlineStr">
        <is>
          <t>DASHERI</t>
        </is>
      </c>
      <c r="E1914" s="3" t="n">
        <v>0.04</v>
      </c>
      <c r="F1914" s="3" t="n">
        <v>0.03</v>
      </c>
      <c r="G1914" s="3">
        <f>F1914-E1914</f>
        <v/>
      </c>
      <c r="H1914" s="4">
        <f>IF(E1914=0,"",F1914/E1914-1)</f>
        <v/>
      </c>
      <c r="I1914" t="inlineStr"/>
    </row>
    <row r="1915">
      <c r="A1915" t="inlineStr">
        <is>
          <t>Agri &amp; plantation crops</t>
        </is>
      </c>
      <c r="B1915" t="inlineStr">
        <is>
          <t>08</t>
        </is>
      </c>
      <c r="C1915" t="inlineStr">
        <is>
          <t>08135020</t>
        </is>
      </c>
      <c r="D1915" t="inlineStr">
        <is>
          <t>MIXTURES OF DRIED FRUIT</t>
        </is>
      </c>
      <c r="E1915" s="3" t="n">
        <v>0.02</v>
      </c>
      <c r="F1915" s="3" t="n">
        <v>0.03</v>
      </c>
      <c r="G1915" s="3">
        <f>F1915-E1915</f>
        <v/>
      </c>
      <c r="H1915" s="4">
        <f>IF(E1915=0,"",F1915/E1915-1)</f>
        <v/>
      </c>
      <c r="I1915" t="inlineStr"/>
    </row>
    <row r="1916">
      <c r="A1916" t="inlineStr">
        <is>
          <t>Agri &amp; plantation crops</t>
        </is>
      </c>
      <c r="B1916" t="inlineStr">
        <is>
          <t>09</t>
        </is>
      </c>
      <c r="C1916" t="inlineStr">
        <is>
          <t>09041130</t>
        </is>
      </c>
      <c r="D1916" t="inlineStr">
        <is>
          <t>BLACK PEPPER GARBLED</t>
        </is>
      </c>
      <c r="E1916" s="3" t="n">
        <v>0</v>
      </c>
      <c r="F1916" s="3" t="n">
        <v>0.03</v>
      </c>
      <c r="G1916" s="3">
        <f>F1916-E1916</f>
        <v/>
      </c>
      <c r="H1916" s="4">
        <f>IF(E1916=0,"",F1916/E1916-1)</f>
        <v/>
      </c>
      <c r="I1916" t="inlineStr"/>
    </row>
    <row r="1917">
      <c r="A1917" t="inlineStr">
        <is>
          <t>Agri &amp; plantation crops</t>
        </is>
      </c>
      <c r="B1917" t="inlineStr">
        <is>
          <t>09</t>
        </is>
      </c>
      <c r="C1917" t="inlineStr">
        <is>
          <t>09103090</t>
        </is>
      </c>
      <c r="D1917" t="inlineStr">
        <is>
          <t>OTHER TURMERIC</t>
        </is>
      </c>
      <c r="E1917" s="3" t="n">
        <v>0.46</v>
      </c>
      <c r="F1917" s="3" t="n">
        <v>0.03</v>
      </c>
      <c r="G1917" s="3">
        <f>F1917-E1917</f>
        <v/>
      </c>
      <c r="H1917" s="4">
        <f>IF(E1917=0,"",F1917/E1917-1)</f>
        <v/>
      </c>
      <c r="I1917" t="inlineStr"/>
    </row>
    <row r="1918">
      <c r="A1918" t="inlineStr">
        <is>
          <t>Agri &amp; plantation crops</t>
        </is>
      </c>
      <c r="B1918" t="inlineStr">
        <is>
          <t>11</t>
        </is>
      </c>
      <c r="C1918" t="inlineStr">
        <is>
          <t>11063020</t>
        </is>
      </c>
      <c r="D1918" t="inlineStr">
        <is>
          <t>FL0UR, MEAL AND P0WDER OF SING0DA</t>
        </is>
      </c>
      <c r="E1918" s="3" t="n">
        <v>0.01</v>
      </c>
      <c r="F1918" s="3" t="n">
        <v>0.03</v>
      </c>
      <c r="G1918" s="3">
        <f>F1918-E1918</f>
        <v/>
      </c>
      <c r="H1918" s="4">
        <f>IF(E1918=0,"",F1918/E1918-1)</f>
        <v/>
      </c>
      <c r="I1918" t="inlineStr"/>
    </row>
    <row r="1919">
      <c r="A1919" t="inlineStr">
        <is>
          <t>Agri &amp; plantation crops</t>
        </is>
      </c>
      <c r="B1919" t="inlineStr">
        <is>
          <t>11</t>
        </is>
      </c>
      <c r="C1919" t="inlineStr">
        <is>
          <t>11090000</t>
        </is>
      </c>
      <c r="D1919" t="inlineStr">
        <is>
          <t>WHEAT GLUTEN , W/N DRIED</t>
        </is>
      </c>
      <c r="E1919" s="3" t="n">
        <v>0</v>
      </c>
      <c r="F1919" s="3" t="n">
        <v>0.03</v>
      </c>
      <c r="G1919" s="3">
        <f>F1919-E1919</f>
        <v/>
      </c>
      <c r="H1919" s="4">
        <f>IF(E1919=0,"",F1919/E1919-1)</f>
        <v/>
      </c>
      <c r="I1919" t="inlineStr"/>
    </row>
    <row r="1920">
      <c r="A1920" t="inlineStr">
        <is>
          <t>Agri &amp; plantation crops</t>
        </is>
      </c>
      <c r="B1920" t="inlineStr">
        <is>
          <t>12</t>
        </is>
      </c>
      <c r="C1920" t="inlineStr">
        <is>
          <t>12119033</t>
        </is>
      </c>
      <c r="D1920" t="inlineStr">
        <is>
          <t>CAMBODGE FRUIT RIND/THE DRIED PERICAP OF THE FRUITS OF GARCINIA CAMBOGIA</t>
        </is>
      </c>
      <c r="E1920" s="3" t="n">
        <v>0.01</v>
      </c>
      <c r="F1920" s="3" t="n">
        <v>0.03</v>
      </c>
      <c r="G1920" s="3">
        <f>F1920-E1920</f>
        <v/>
      </c>
      <c r="H1920" s="4">
        <f>IF(E1920=0,"",F1920/E1920-1)</f>
        <v/>
      </c>
      <c r="I1920" t="inlineStr"/>
    </row>
    <row r="1921">
      <c r="A1921" t="inlineStr">
        <is>
          <t>Agri &amp; plantation crops</t>
        </is>
      </c>
      <c r="B1921" t="inlineStr">
        <is>
          <t>13</t>
        </is>
      </c>
      <c r="C1921" t="inlineStr">
        <is>
          <t>13019099</t>
        </is>
      </c>
      <c r="D1921" t="inlineStr">
        <is>
          <t>OTHER OLEORESINS</t>
        </is>
      </c>
      <c r="E1921" s="3" t="n">
        <v>0</v>
      </c>
      <c r="F1921" s="3" t="n">
        <v>0.03</v>
      </c>
      <c r="G1921" s="3">
        <f>F1921-E1921</f>
        <v/>
      </c>
      <c r="H1921" s="4">
        <f>IF(E1921=0,"",F1921/E1921-1)</f>
        <v/>
      </c>
      <c r="I1921" t="inlineStr"/>
    </row>
    <row r="1922">
      <c r="A1922" t="inlineStr">
        <is>
          <t>Agri &amp; plantation crops</t>
        </is>
      </c>
      <c r="B1922" t="inlineStr">
        <is>
          <t>06</t>
        </is>
      </c>
      <c r="C1922" t="inlineStr">
        <is>
          <t>06022010</t>
        </is>
      </c>
      <c r="D1922" t="inlineStr">
        <is>
          <t>EDIBLE FRUIT/NUT TREES,GRAFTED OR NOT</t>
        </is>
      </c>
      <c r="E1922" s="3" t="n">
        <v>0.06</v>
      </c>
      <c r="F1922" s="3" t="n">
        <v>0.02</v>
      </c>
      <c r="G1922" s="3">
        <f>F1922-E1922</f>
        <v/>
      </c>
      <c r="H1922" s="4">
        <f>IF(E1922=0,"",F1922/E1922-1)</f>
        <v/>
      </c>
      <c r="I1922" t="inlineStr"/>
    </row>
    <row r="1923">
      <c r="A1923" t="inlineStr">
        <is>
          <t>Agri &amp; plantation crops</t>
        </is>
      </c>
      <c r="B1923" t="inlineStr">
        <is>
          <t>06</t>
        </is>
      </c>
      <c r="C1923" t="inlineStr">
        <is>
          <t>06049000</t>
        </is>
      </c>
      <c r="D1923" t="inlineStr">
        <is>
          <t>OTHER OF HDG. 0604</t>
        </is>
      </c>
      <c r="E1923" s="3" t="n">
        <v>0.04</v>
      </c>
      <c r="F1923" s="3" t="n">
        <v>0.02</v>
      </c>
      <c r="G1923" s="3">
        <f>F1923-E1923</f>
        <v/>
      </c>
      <c r="H1923" s="4">
        <f>IF(E1923=0,"",F1923/E1923-1)</f>
        <v/>
      </c>
      <c r="I1923" t="inlineStr"/>
    </row>
    <row r="1924">
      <c r="A1924" t="inlineStr">
        <is>
          <t>Agri &amp; plantation crops</t>
        </is>
      </c>
      <c r="B1924" t="inlineStr">
        <is>
          <t>07</t>
        </is>
      </c>
      <c r="C1924" t="inlineStr">
        <is>
          <t>07099930</t>
        </is>
      </c>
      <c r="D1924" t="inlineStr">
        <is>
          <t>OKRA/LADY FINGER (BHINDI)</t>
        </is>
      </c>
      <c r="E1924" s="3" t="n">
        <v>0</v>
      </c>
      <c r="F1924" s="3" t="n">
        <v>0.02</v>
      </c>
      <c r="G1924" s="3">
        <f>F1924-E1924</f>
        <v/>
      </c>
      <c r="H1924" s="4">
        <f>IF(E1924=0,"",F1924/E1924-1)</f>
        <v/>
      </c>
      <c r="I1924" t="inlineStr"/>
    </row>
    <row r="1925">
      <c r="A1925" t="inlineStr">
        <is>
          <t>Agri &amp; plantation crops</t>
        </is>
      </c>
      <c r="B1925" t="inlineStr">
        <is>
          <t>07</t>
        </is>
      </c>
      <c r="C1925" t="inlineStr">
        <is>
          <t>07131020</t>
        </is>
      </c>
      <c r="D1925" t="inlineStr">
        <is>
          <t>GREEN PEAS</t>
        </is>
      </c>
      <c r="E1925" s="3" t="n">
        <v>0</v>
      </c>
      <c r="F1925" s="3" t="n">
        <v>0.02</v>
      </c>
      <c r="G1925" s="3">
        <f>F1925-E1925</f>
        <v/>
      </c>
      <c r="H1925" s="4">
        <f>IF(E1925=0,"",F1925/E1925-1)</f>
        <v/>
      </c>
      <c r="I1925" t="inlineStr"/>
    </row>
    <row r="1926">
      <c r="A1926" t="inlineStr">
        <is>
          <t>Agri &amp; plantation crops</t>
        </is>
      </c>
      <c r="B1926" t="inlineStr">
        <is>
          <t>08</t>
        </is>
      </c>
      <c r="C1926" t="inlineStr">
        <is>
          <t>08021200</t>
        </is>
      </c>
      <c r="D1926" t="inlineStr">
        <is>
          <t>SHELLED ALMONDS FRSH OR DRIED</t>
        </is>
      </c>
      <c r="E1926" s="3" t="n">
        <v>0</v>
      </c>
      <c r="F1926" s="3" t="n">
        <v>0.02</v>
      </c>
      <c r="G1926" s="3">
        <f>F1926-E1926</f>
        <v/>
      </c>
      <c r="H1926" s="4">
        <f>IF(E1926=0,"",F1926/E1926-1)</f>
        <v/>
      </c>
      <c r="I1926" t="inlineStr"/>
    </row>
    <row r="1927">
      <c r="A1927" t="inlineStr">
        <is>
          <t>Agri &amp; plantation crops</t>
        </is>
      </c>
      <c r="B1927" t="inlineStr">
        <is>
          <t>08</t>
        </is>
      </c>
      <c r="C1927" t="inlineStr">
        <is>
          <t>08042090</t>
        </is>
      </c>
      <c r="D1927" t="inlineStr">
        <is>
          <t>OTHER FIGS EXCLDNG FRSH</t>
        </is>
      </c>
      <c r="E1927" s="3" t="n">
        <v>0</v>
      </c>
      <c r="F1927" s="3" t="n">
        <v>0.02</v>
      </c>
      <c r="G1927" s="3">
        <f>F1927-E1927</f>
        <v/>
      </c>
      <c r="H1927" s="4">
        <f>IF(E1927=0,"",F1927/E1927-1)</f>
        <v/>
      </c>
      <c r="I1927" t="inlineStr"/>
    </row>
    <row r="1928">
      <c r="A1928" t="inlineStr">
        <is>
          <t>Agri &amp; plantation crops</t>
        </is>
      </c>
      <c r="B1928" t="inlineStr">
        <is>
          <t>08</t>
        </is>
      </c>
      <c r="C1928" t="inlineStr">
        <is>
          <t>08045025</t>
        </is>
      </c>
      <c r="D1928" t="inlineStr">
        <is>
          <t>LANGDA</t>
        </is>
      </c>
      <c r="E1928" s="3" t="n">
        <v>0.02</v>
      </c>
      <c r="F1928" s="3" t="n">
        <v>0.02</v>
      </c>
      <c r="G1928" s="3">
        <f>F1928-E1928</f>
        <v/>
      </c>
      <c r="H1928" s="4">
        <f>IF(E1928=0,"",F1928/E1928-1)</f>
        <v/>
      </c>
      <c r="I1928" t="inlineStr"/>
    </row>
    <row r="1929">
      <c r="A1929" t="inlineStr">
        <is>
          <t>Agri &amp; plantation crops</t>
        </is>
      </c>
      <c r="B1929" t="inlineStr">
        <is>
          <t>08</t>
        </is>
      </c>
      <c r="C1929" t="inlineStr">
        <is>
          <t>08045028</t>
        </is>
      </c>
      <c r="D1929" t="inlineStr">
        <is>
          <t>MALLIKA</t>
        </is>
      </c>
      <c r="E1929" s="3" t="n">
        <v>0.06</v>
      </c>
      <c r="F1929" s="3" t="n">
        <v>0.02</v>
      </c>
      <c r="G1929" s="3">
        <f>F1929-E1929</f>
        <v/>
      </c>
      <c r="H1929" s="4">
        <f>IF(E1929=0,"",F1929/E1929-1)</f>
        <v/>
      </c>
      <c r="I1929" t="inlineStr"/>
    </row>
    <row r="1930">
      <c r="A1930" t="inlineStr">
        <is>
          <t>Agri &amp; plantation crops</t>
        </is>
      </c>
      <c r="B1930" t="inlineStr">
        <is>
          <t>08</t>
        </is>
      </c>
      <c r="C1930" t="inlineStr">
        <is>
          <t>08051000</t>
        </is>
      </c>
      <c r="D1930" t="inlineStr">
        <is>
          <t>ORANGES FRESH OR DRIED</t>
        </is>
      </c>
      <c r="E1930" s="3" t="n">
        <v>0.01</v>
      </c>
      <c r="F1930" s="3" t="n">
        <v>0.02</v>
      </c>
      <c r="G1930" s="3">
        <f>F1930-E1930</f>
        <v/>
      </c>
      <c r="H1930" s="4">
        <f>IF(E1930=0,"",F1930/E1930-1)</f>
        <v/>
      </c>
      <c r="I1930" t="inlineStr"/>
    </row>
    <row r="1931">
      <c r="A1931" t="inlineStr">
        <is>
          <t>Agri &amp; plantation crops</t>
        </is>
      </c>
      <c r="B1931" t="inlineStr">
        <is>
          <t>08</t>
        </is>
      </c>
      <c r="C1931" t="inlineStr">
        <is>
          <t>08109060</t>
        </is>
      </c>
      <c r="D1931" t="inlineStr">
        <is>
          <t>LICHI</t>
        </is>
      </c>
      <c r="E1931" s="3" t="n">
        <v>0</v>
      </c>
      <c r="F1931" s="3" t="n">
        <v>0.02</v>
      </c>
      <c r="G1931" s="3">
        <f>F1931-E1931</f>
        <v/>
      </c>
      <c r="H1931" s="4">
        <f>IF(E1931=0,"",F1931/E1931-1)</f>
        <v/>
      </c>
      <c r="I1931" t="inlineStr"/>
    </row>
    <row r="1932">
      <c r="A1932" t="inlineStr">
        <is>
          <t>Agri &amp; plantation crops</t>
        </is>
      </c>
      <c r="B1932" t="inlineStr">
        <is>
          <t>09</t>
        </is>
      </c>
      <c r="C1932" t="inlineStr">
        <is>
          <t>09061910</t>
        </is>
      </c>
      <c r="D1932" t="inlineStr">
        <is>
          <t>CASSIA</t>
        </is>
      </c>
      <c r="E1932" s="3" t="n">
        <v>0.02</v>
      </c>
      <c r="F1932" s="3" t="n">
        <v>0.02</v>
      </c>
      <c r="G1932" s="3">
        <f>F1932-E1932</f>
        <v/>
      </c>
      <c r="H1932" s="4">
        <f>IF(E1932=0,"",F1932/E1932-1)</f>
        <v/>
      </c>
      <c r="I1932" t="inlineStr"/>
    </row>
    <row r="1933">
      <c r="A1933" t="inlineStr">
        <is>
          <t>Agri &amp; plantation crops</t>
        </is>
      </c>
      <c r="B1933" t="inlineStr">
        <is>
          <t>10</t>
        </is>
      </c>
      <c r="C1933" t="inlineStr">
        <is>
          <t>10081090</t>
        </is>
      </c>
      <c r="D1933" t="inlineStr">
        <is>
          <t>OTHER BUCK WHEAT</t>
        </is>
      </c>
      <c r="E1933" s="3" t="n">
        <v>0.01</v>
      </c>
      <c r="F1933" s="3" t="n">
        <v>0.02</v>
      </c>
      <c r="G1933" s="3">
        <f>F1933-E1933</f>
        <v/>
      </c>
      <c r="H1933" s="4">
        <f>IF(E1933=0,"",F1933/E1933-1)</f>
        <v/>
      </c>
      <c r="I1933" t="inlineStr"/>
    </row>
    <row r="1934">
      <c r="A1934" t="inlineStr">
        <is>
          <t>Agri &amp; plantation crops</t>
        </is>
      </c>
      <c r="B1934" t="inlineStr">
        <is>
          <t>10</t>
        </is>
      </c>
      <c r="C1934" t="inlineStr">
        <is>
          <t>10085000</t>
        </is>
      </c>
      <c r="D1934" t="inlineStr">
        <is>
          <t>QUINOA(CHENOPODIUM QUINOA)</t>
        </is>
      </c>
      <c r="E1934" s="3" t="n">
        <v>0.2</v>
      </c>
      <c r="F1934" s="3" t="n">
        <v>0.02</v>
      </c>
      <c r="G1934" s="3">
        <f>F1934-E1934</f>
        <v/>
      </c>
      <c r="H1934" s="4">
        <f>IF(E1934=0,"",F1934/E1934-1)</f>
        <v/>
      </c>
      <c r="I1934" t="inlineStr"/>
    </row>
    <row r="1935">
      <c r="A1935" t="inlineStr">
        <is>
          <t>Agri &amp; plantation crops</t>
        </is>
      </c>
      <c r="B1935" t="inlineStr">
        <is>
          <t>12</t>
        </is>
      </c>
      <c r="C1935" t="inlineStr">
        <is>
          <t>12089000</t>
        </is>
      </c>
      <c r="D1935" t="inlineStr">
        <is>
          <t>OTHER FLOURS AND MEALS</t>
        </is>
      </c>
      <c r="E1935" s="3" t="n">
        <v>0.13</v>
      </c>
      <c r="F1935" s="3" t="n">
        <v>0.02</v>
      </c>
      <c r="G1935" s="3">
        <f>F1935-E1935</f>
        <v/>
      </c>
      <c r="H1935" s="4">
        <f>IF(E1935=0,"",F1935/E1935-1)</f>
        <v/>
      </c>
      <c r="I1935" t="inlineStr"/>
    </row>
    <row r="1936">
      <c r="A1936" t="inlineStr">
        <is>
          <t>Agri &amp; plantation crops</t>
        </is>
      </c>
      <c r="B1936" t="inlineStr">
        <is>
          <t>12</t>
        </is>
      </c>
      <c r="C1936" t="inlineStr">
        <is>
          <t>12099160</t>
        </is>
      </c>
      <c r="D1936" t="inlineStr">
        <is>
          <t>TOMATO SEEDS</t>
        </is>
      </c>
      <c r="E1936" s="3" t="n">
        <v>0.02</v>
      </c>
      <c r="F1936" s="3" t="n">
        <v>0.02</v>
      </c>
      <c r="G1936" s="3">
        <f>F1936-E1936</f>
        <v/>
      </c>
      <c r="H1936" s="4">
        <f>IF(E1936=0,"",F1936/E1936-1)</f>
        <v/>
      </c>
      <c r="I1936" t="inlineStr"/>
    </row>
    <row r="1937">
      <c r="A1937" t="inlineStr">
        <is>
          <t>Agri &amp; plantation crops</t>
        </is>
      </c>
      <c r="B1937" t="inlineStr">
        <is>
          <t>13</t>
        </is>
      </c>
      <c r="C1937" t="inlineStr">
        <is>
          <t>13019012</t>
        </is>
      </c>
      <c r="D1937" t="inlineStr">
        <is>
          <t>AFRICAN GUM</t>
        </is>
      </c>
      <c r="E1937" s="3" t="n">
        <v>0</v>
      </c>
      <c r="F1937" s="3" t="n">
        <v>0.02</v>
      </c>
      <c r="G1937" s="3">
        <f>F1937-E1937</f>
        <v/>
      </c>
      <c r="H1937" s="4">
        <f>IF(E1937=0,"",F1937/E1937-1)</f>
        <v/>
      </c>
      <c r="I1937" t="inlineStr"/>
    </row>
    <row r="1938">
      <c r="A1938" t="inlineStr">
        <is>
          <t>Agri &amp; plantation crops</t>
        </is>
      </c>
      <c r="B1938" t="inlineStr">
        <is>
          <t>13</t>
        </is>
      </c>
      <c r="C1938" t="inlineStr">
        <is>
          <t>13019039</t>
        </is>
      </c>
      <c r="D1938" t="inlineStr">
        <is>
          <t>OTHER GUM RESINS</t>
        </is>
      </c>
      <c r="E1938" s="3" t="n">
        <v>0</v>
      </c>
      <c r="F1938" s="3" t="n">
        <v>0.02</v>
      </c>
      <c r="G1938" s="3">
        <f>F1938-E1938</f>
        <v/>
      </c>
      <c r="H1938" s="4">
        <f>IF(E1938=0,"",F1938/E1938-1)</f>
        <v/>
      </c>
      <c r="I1938" t="inlineStr"/>
    </row>
    <row r="1939">
      <c r="A1939" t="inlineStr">
        <is>
          <t>Agri &amp; plantation crops</t>
        </is>
      </c>
      <c r="B1939" t="inlineStr">
        <is>
          <t>13</t>
        </is>
      </c>
      <c r="C1939" t="inlineStr">
        <is>
          <t>13023290</t>
        </is>
      </c>
      <c r="D1939" t="inlineStr">
        <is>
          <t>OTHR MUCILAGES THICKNRS W/N MODIFD,DERIVD FROM LOCUST BEANS OR LOCUST BEAN SEED</t>
        </is>
      </c>
      <c r="E1939" s="3" t="n">
        <v>0</v>
      </c>
      <c r="F1939" s="3" t="n">
        <v>0.02</v>
      </c>
      <c r="G1939" s="3">
        <f>F1939-E1939</f>
        <v/>
      </c>
      <c r="H1939" s="4">
        <f>IF(E1939=0,"",F1939/E1939-1)</f>
        <v/>
      </c>
      <c r="I1939" t="inlineStr"/>
    </row>
    <row r="1940">
      <c r="A1940" t="inlineStr">
        <is>
          <t>Agri &amp; plantation crops</t>
        </is>
      </c>
      <c r="B1940" t="inlineStr">
        <is>
          <t>13</t>
        </is>
      </c>
      <c r="C1940" t="inlineStr">
        <is>
          <t>13023920</t>
        </is>
      </c>
      <c r="D1940" t="inlineStr">
        <is>
          <t>Kappa carrageenan</t>
        </is>
      </c>
      <c r="E1940" s="3" t="n">
        <v>0</v>
      </c>
      <c r="F1940" s="3" t="n">
        <v>0.02</v>
      </c>
      <c r="G1940" s="3">
        <f>F1940-E1940</f>
        <v/>
      </c>
      <c r="H1940" s="4">
        <f>IF(E1940=0,"",F1940/E1940-1)</f>
        <v/>
      </c>
      <c r="I1940" t="inlineStr"/>
    </row>
    <row r="1941">
      <c r="A1941" t="inlineStr">
        <is>
          <t>Agri &amp; plantation crops</t>
        </is>
      </c>
      <c r="B1941" t="inlineStr">
        <is>
          <t>06</t>
        </is>
      </c>
      <c r="C1941" t="inlineStr">
        <is>
          <t>06011000</t>
        </is>
      </c>
      <c r="D1941" t="inlineStr">
        <is>
          <t>BULBS,TUBERS,TUBEROUS ROOTS, CORMS,CROWN AND RHIZOMES,DORMANT</t>
        </is>
      </c>
      <c r="E1941" s="3" t="n">
        <v>0</v>
      </c>
      <c r="F1941" s="3" t="n">
        <v>0.01</v>
      </c>
      <c r="G1941" s="3">
        <f>F1941-E1941</f>
        <v/>
      </c>
      <c r="H1941" s="4">
        <f>IF(E1941=0,"",F1941/E1941-1)</f>
        <v/>
      </c>
      <c r="I1941" t="inlineStr"/>
    </row>
    <row r="1942">
      <c r="A1942" t="inlineStr">
        <is>
          <t>Agri &amp; plantation crops</t>
        </is>
      </c>
      <c r="B1942" t="inlineStr">
        <is>
          <t>06</t>
        </is>
      </c>
      <c r="C1942" t="inlineStr">
        <is>
          <t>06031200</t>
        </is>
      </c>
      <c r="D1942" t="inlineStr">
        <is>
          <t>CARNATIONS</t>
        </is>
      </c>
      <c r="E1942" s="3" t="n">
        <v>0</v>
      </c>
      <c r="F1942" s="3" t="n">
        <v>0.01</v>
      </c>
      <c r="G1942" s="3">
        <f>F1942-E1942</f>
        <v/>
      </c>
      <c r="H1942" s="4">
        <f>IF(E1942=0,"",F1942/E1942-1)</f>
        <v/>
      </c>
      <c r="I1942" t="inlineStr"/>
    </row>
    <row r="1943">
      <c r="A1943" t="inlineStr">
        <is>
          <t>Agri &amp; plantation crops</t>
        </is>
      </c>
      <c r="B1943" t="inlineStr">
        <is>
          <t>06</t>
        </is>
      </c>
      <c r="C1943" t="inlineStr">
        <is>
          <t>06042000</t>
        </is>
      </c>
      <c r="D1943" t="inlineStr">
        <is>
          <t>FRESH OF HDG. 0604</t>
        </is>
      </c>
      <c r="E1943" s="3" t="n">
        <v>0.02</v>
      </c>
      <c r="F1943" s="3" t="n">
        <v>0.01</v>
      </c>
      <c r="G1943" s="3">
        <f>F1943-E1943</f>
        <v/>
      </c>
      <c r="H1943" s="4">
        <f>IF(E1943=0,"",F1943/E1943-1)</f>
        <v/>
      </c>
      <c r="I1943" t="inlineStr"/>
    </row>
    <row r="1944">
      <c r="A1944" t="inlineStr">
        <is>
          <t>Agri &amp; plantation crops</t>
        </is>
      </c>
      <c r="B1944" t="inlineStr">
        <is>
          <t>07</t>
        </is>
      </c>
      <c r="C1944" t="inlineStr">
        <is>
          <t>07031011</t>
        </is>
      </c>
      <c r="D1944" t="inlineStr">
        <is>
          <t>ROSE ONIONS FRESH OR CHILLED</t>
        </is>
      </c>
      <c r="E1944" s="3" t="n">
        <v>11.51</v>
      </c>
      <c r="F1944" s="3" t="n">
        <v>0.01</v>
      </c>
      <c r="G1944" s="3">
        <f>F1944-E1944</f>
        <v/>
      </c>
      <c r="H1944" s="4">
        <f>IF(E1944=0,"",F1944/E1944-1)</f>
        <v/>
      </c>
      <c r="I1944" t="inlineStr"/>
    </row>
    <row r="1945">
      <c r="A1945" t="inlineStr">
        <is>
          <t>Agri &amp; plantation crops</t>
        </is>
      </c>
      <c r="B1945" t="inlineStr">
        <is>
          <t>07</t>
        </is>
      </c>
      <c r="C1945" t="inlineStr">
        <is>
          <t>07051100</t>
        </is>
      </c>
      <c r="D1945" t="inlineStr">
        <is>
          <t>CABAGE LETTUCE(HEAD LETTUCE)FRSH OR CHLD</t>
        </is>
      </c>
      <c r="E1945" s="3" t="n">
        <v>0</v>
      </c>
      <c r="F1945" s="3" t="n">
        <v>0.01</v>
      </c>
      <c r="G1945" s="3">
        <f>F1945-E1945</f>
        <v/>
      </c>
      <c r="H1945" s="4">
        <f>IF(E1945=0,"",F1945/E1945-1)</f>
        <v/>
      </c>
      <c r="I1945" t="inlineStr"/>
    </row>
    <row r="1946">
      <c r="A1946" t="inlineStr">
        <is>
          <t>Agri &amp; plantation crops</t>
        </is>
      </c>
      <c r="B1946" t="inlineStr">
        <is>
          <t>07</t>
        </is>
      </c>
      <c r="C1946" t="inlineStr">
        <is>
          <t>07089000</t>
        </is>
      </c>
      <c r="D1946" t="inlineStr">
        <is>
          <t>OTHR LEGMINOUS VGTBL W/N SHLD,FRSH/CHLD</t>
        </is>
      </c>
      <c r="E1946" s="3" t="n">
        <v>0.08</v>
      </c>
      <c r="F1946" s="3" t="n">
        <v>0.01</v>
      </c>
      <c r="G1946" s="3">
        <f>F1946-E1946</f>
        <v/>
      </c>
      <c r="H1946" s="4">
        <f>IF(E1946=0,"",F1946/E1946-1)</f>
        <v/>
      </c>
      <c r="I1946" t="inlineStr"/>
    </row>
    <row r="1947">
      <c r="A1947" t="inlineStr">
        <is>
          <t>Agri &amp; plantation crops</t>
        </is>
      </c>
      <c r="B1947" t="inlineStr">
        <is>
          <t>07</t>
        </is>
      </c>
      <c r="C1947" t="inlineStr">
        <is>
          <t>07099360</t>
        </is>
      </c>
      <c r="D1947" t="inlineStr">
        <is>
          <t>COCCINIA (KUNDRU)</t>
        </is>
      </c>
      <c r="E1947" s="3" t="n">
        <v>0</v>
      </c>
      <c r="F1947" s="3" t="n">
        <v>0.01</v>
      </c>
      <c r="G1947" s="3">
        <f>F1947-E1947</f>
        <v/>
      </c>
      <c r="H1947" s="4">
        <f>IF(E1947=0,"",F1947/E1947-1)</f>
        <v/>
      </c>
      <c r="I1947" t="inlineStr"/>
    </row>
    <row r="1948">
      <c r="A1948" t="inlineStr">
        <is>
          <t>Agri &amp; plantation crops</t>
        </is>
      </c>
      <c r="B1948" t="inlineStr">
        <is>
          <t>07</t>
        </is>
      </c>
      <c r="C1948" t="inlineStr">
        <is>
          <t>07099390</t>
        </is>
      </c>
      <c r="D1948" t="inlineStr">
        <is>
          <t>OTHERS-OF-PUMPKINS, SQUASH ANDGOURDS (CUCURBITA SPP.)- FRUITS</t>
        </is>
      </c>
      <c r="E1948" s="3" t="n">
        <v>0.06</v>
      </c>
      <c r="F1948" s="3" t="n">
        <v>0.01</v>
      </c>
      <c r="G1948" s="3">
        <f>F1948-E1948</f>
        <v/>
      </c>
      <c r="H1948" s="4">
        <f>IF(E1948=0,"",F1948/E1948-1)</f>
        <v/>
      </c>
      <c r="I1948" t="inlineStr"/>
    </row>
    <row r="1949">
      <c r="A1949" t="inlineStr">
        <is>
          <t>Agri &amp; plantation crops</t>
        </is>
      </c>
      <c r="B1949" t="inlineStr">
        <is>
          <t>07</t>
        </is>
      </c>
      <c r="C1949" t="inlineStr">
        <is>
          <t>07149090</t>
        </is>
      </c>
      <c r="D1949" t="inlineStr">
        <is>
          <t>OTHR EDBL RTS AND TBRS CONTG HGH STRCH/INULN</t>
        </is>
      </c>
      <c r="E1949" s="3" t="n">
        <v>0</v>
      </c>
      <c r="F1949" s="3" t="n">
        <v>0.01</v>
      </c>
      <c r="G1949" s="3">
        <f>F1949-E1949</f>
        <v/>
      </c>
      <c r="H1949" s="4">
        <f>IF(E1949=0,"",F1949/E1949-1)</f>
        <v/>
      </c>
      <c r="I1949" t="inlineStr"/>
    </row>
    <row r="1950">
      <c r="A1950" t="inlineStr">
        <is>
          <t>Agri &amp; plantation crops</t>
        </is>
      </c>
      <c r="B1950" t="inlineStr">
        <is>
          <t>08</t>
        </is>
      </c>
      <c r="C1950" t="inlineStr">
        <is>
          <t>08042010</t>
        </is>
      </c>
      <c r="D1950" t="inlineStr">
        <is>
          <t>FIGS FRESH</t>
        </is>
      </c>
      <c r="E1950" s="3" t="n">
        <v>0</v>
      </c>
      <c r="F1950" s="3" t="n">
        <v>0.01</v>
      </c>
      <c r="G1950" s="3">
        <f>F1950-E1950</f>
        <v/>
      </c>
      <c r="H1950" s="4">
        <f>IF(E1950=0,"",F1950/E1950-1)</f>
        <v/>
      </c>
      <c r="I1950" t="inlineStr"/>
    </row>
    <row r="1951">
      <c r="A1951" t="inlineStr">
        <is>
          <t>Agri &amp; plantation crops</t>
        </is>
      </c>
      <c r="B1951" t="inlineStr">
        <is>
          <t>08</t>
        </is>
      </c>
      <c r="C1951" t="inlineStr">
        <is>
          <t>08059000</t>
        </is>
      </c>
      <c r="D1951" t="inlineStr">
        <is>
          <t>OTHER CITRUS FRUITS FRESH OR DRIED</t>
        </is>
      </c>
      <c r="E1951" s="3" t="n">
        <v>0.21</v>
      </c>
      <c r="F1951" s="3" t="n">
        <v>0.01</v>
      </c>
      <c r="G1951" s="3">
        <f>F1951-E1951</f>
        <v/>
      </c>
      <c r="H1951" s="4">
        <f>IF(E1951=0,"",F1951/E1951-1)</f>
        <v/>
      </c>
      <c r="I1951" t="inlineStr"/>
    </row>
    <row r="1952">
      <c r="A1952" t="inlineStr">
        <is>
          <t>Agri &amp; plantation crops</t>
        </is>
      </c>
      <c r="B1952" t="inlineStr">
        <is>
          <t>09</t>
        </is>
      </c>
      <c r="C1952" t="inlineStr">
        <is>
          <t>09019020</t>
        </is>
      </c>
      <c r="D1952" t="inlineStr">
        <is>
          <t>COFFEE SUBSTITUTES CONTAINING COFFEE</t>
        </is>
      </c>
      <c r="E1952" s="3" t="n">
        <v>0</v>
      </c>
      <c r="F1952" s="3" t="n">
        <v>0.01</v>
      </c>
      <c r="G1952" s="3">
        <f>F1952-E1952</f>
        <v/>
      </c>
      <c r="H1952" s="4">
        <f>IF(E1952=0,"",F1952/E1952-1)</f>
        <v/>
      </c>
      <c r="I1952" t="inlineStr"/>
    </row>
    <row r="1953">
      <c r="A1953" t="inlineStr">
        <is>
          <t>Agri &amp; plantation crops</t>
        </is>
      </c>
      <c r="B1953" t="inlineStr">
        <is>
          <t>09</t>
        </is>
      </c>
      <c r="C1953" t="inlineStr">
        <is>
          <t>09021010</t>
        </is>
      </c>
      <c r="D1953" t="inlineStr">
        <is>
          <t>TEA GREEN IN PACKETS NT EXCDNG 25 GRAMS</t>
        </is>
      </c>
      <c r="E1953" s="3" t="n">
        <v>0.48</v>
      </c>
      <c r="F1953" s="3" t="n">
        <v>0.01</v>
      </c>
      <c r="G1953" s="3">
        <f>F1953-E1953</f>
        <v/>
      </c>
      <c r="H1953" s="4">
        <f>IF(E1953=0,"",F1953/E1953-1)</f>
        <v/>
      </c>
      <c r="I1953" t="inlineStr"/>
    </row>
    <row r="1954">
      <c r="A1954" t="inlineStr">
        <is>
          <t>Agri &amp; plantation crops</t>
        </is>
      </c>
      <c r="B1954" t="inlineStr">
        <is>
          <t>09</t>
        </is>
      </c>
      <c r="C1954" t="inlineStr">
        <is>
          <t>09072000</t>
        </is>
      </c>
      <c r="D1954" t="inlineStr">
        <is>
          <t>CRUSHED OR GROUND</t>
        </is>
      </c>
      <c r="E1954" s="3" t="n">
        <v>0.01</v>
      </c>
      <c r="F1954" s="3" t="n">
        <v>0.01</v>
      </c>
      <c r="G1954" s="3">
        <f>F1954-E1954</f>
        <v/>
      </c>
      <c r="H1954" s="4">
        <f>IF(E1954=0,"",F1954/E1954-1)</f>
        <v/>
      </c>
      <c r="I1954" t="inlineStr"/>
    </row>
    <row r="1955">
      <c r="A1955" t="inlineStr">
        <is>
          <t>Agri &amp; plantation crops</t>
        </is>
      </c>
      <c r="B1955" t="inlineStr">
        <is>
          <t>09</t>
        </is>
      </c>
      <c r="C1955" t="inlineStr">
        <is>
          <t>09083220</t>
        </is>
      </c>
      <c r="D1955" t="inlineStr">
        <is>
          <t>SMALL CARDAMOM SEEDS</t>
        </is>
      </c>
      <c r="E1955" s="3" t="n">
        <v>0.04</v>
      </c>
      <c r="F1955" s="3" t="n">
        <v>0.01</v>
      </c>
      <c r="G1955" s="3">
        <f>F1955-E1955</f>
        <v/>
      </c>
      <c r="H1955" s="4">
        <f>IF(E1955=0,"",F1955/E1955-1)</f>
        <v/>
      </c>
      <c r="I1955" t="inlineStr"/>
    </row>
    <row r="1956">
      <c r="A1956" t="inlineStr">
        <is>
          <t>Agri &amp; plantation crops</t>
        </is>
      </c>
      <c r="B1956" t="inlineStr">
        <is>
          <t>09</t>
        </is>
      </c>
      <c r="C1956" t="inlineStr">
        <is>
          <t>09083290</t>
        </is>
      </c>
      <c r="D1956" t="inlineStr">
        <is>
          <t>OTHER CARDAMOM; CRUSHED OR GROUND</t>
        </is>
      </c>
      <c r="E1956" s="3" t="n">
        <v>0.06</v>
      </c>
      <c r="F1956" s="3" t="n">
        <v>0.01</v>
      </c>
      <c r="G1956" s="3">
        <f>F1956-E1956</f>
        <v/>
      </c>
      <c r="H1956" s="4">
        <f>IF(E1956=0,"",F1956/E1956-1)</f>
        <v/>
      </c>
      <c r="I1956" t="inlineStr"/>
    </row>
    <row r="1957">
      <c r="A1957" t="inlineStr">
        <is>
          <t>Agri &amp; plantation crops</t>
        </is>
      </c>
      <c r="B1957" t="inlineStr">
        <is>
          <t>09</t>
        </is>
      </c>
      <c r="C1957" t="inlineStr">
        <is>
          <t>09096129</t>
        </is>
      </c>
      <c r="D1957" t="inlineStr">
        <is>
          <t>OTHER SEEDS OF BADIAN</t>
        </is>
      </c>
      <c r="E1957" s="3" t="n">
        <v>0</v>
      </c>
      <c r="F1957" s="3" t="n">
        <v>0.01</v>
      </c>
      <c r="G1957" s="3">
        <f>F1957-E1957</f>
        <v/>
      </c>
      <c r="H1957" s="4">
        <f>IF(E1957=0,"",F1957/E1957-1)</f>
        <v/>
      </c>
      <c r="I1957" t="inlineStr"/>
    </row>
    <row r="1958">
      <c r="A1958" t="inlineStr">
        <is>
          <t>Agri &amp; plantation crops</t>
        </is>
      </c>
      <c r="B1958" t="inlineStr">
        <is>
          <t>09</t>
        </is>
      </c>
      <c r="C1958" t="inlineStr">
        <is>
          <t>09096220</t>
        </is>
      </c>
      <c r="D1958" t="inlineStr">
        <is>
          <t>BADIAN</t>
        </is>
      </c>
      <c r="E1958" s="3" t="n">
        <v>0</v>
      </c>
      <c r="F1958" s="3" t="n">
        <v>0.01</v>
      </c>
      <c r="G1958" s="3">
        <f>F1958-E1958</f>
        <v/>
      </c>
      <c r="H1958" s="4">
        <f>IF(E1958=0,"",F1958/E1958-1)</f>
        <v/>
      </c>
      <c r="I1958" t="inlineStr"/>
    </row>
    <row r="1959">
      <c r="A1959" t="inlineStr">
        <is>
          <t>Agri &amp; plantation crops</t>
        </is>
      </c>
      <c r="B1959" t="inlineStr">
        <is>
          <t>10</t>
        </is>
      </c>
      <c r="C1959" t="inlineStr">
        <is>
          <t>10064000</t>
        </is>
      </c>
      <c r="D1959" t="inlineStr">
        <is>
          <t>BROKEN RICE</t>
        </is>
      </c>
      <c r="E1959" s="3" t="n">
        <v>0</v>
      </c>
      <c r="F1959" s="3" t="n">
        <v>0.01</v>
      </c>
      <c r="G1959" s="3">
        <f>F1959-E1959</f>
        <v/>
      </c>
      <c r="H1959" s="4">
        <f>IF(E1959=0,"",F1959/E1959-1)</f>
        <v/>
      </c>
      <c r="I1959" t="inlineStr"/>
    </row>
    <row r="1960">
      <c r="A1960" t="inlineStr">
        <is>
          <t>Agri &amp; plantation crops</t>
        </is>
      </c>
      <c r="B1960" t="inlineStr">
        <is>
          <t>10</t>
        </is>
      </c>
      <c r="C1960" t="inlineStr">
        <is>
          <t>10081010</t>
        </is>
      </c>
      <c r="D1960" t="inlineStr">
        <is>
          <t>BUCK WHEAT OF SEED QTLY</t>
        </is>
      </c>
      <c r="E1960" s="3" t="n">
        <v>0</v>
      </c>
      <c r="F1960" s="3" t="n">
        <v>0.01</v>
      </c>
      <c r="G1960" s="3">
        <f>F1960-E1960</f>
        <v/>
      </c>
      <c r="H1960" s="4">
        <f>IF(E1960=0,"",F1960/E1960-1)</f>
        <v/>
      </c>
      <c r="I1960" t="inlineStr"/>
    </row>
    <row r="1961">
      <c r="A1961" t="inlineStr">
        <is>
          <t>Agri &amp; plantation crops</t>
        </is>
      </c>
      <c r="B1961" t="inlineStr">
        <is>
          <t>10</t>
        </is>
      </c>
      <c r="C1961" t="inlineStr">
        <is>
          <t>10082940</t>
        </is>
      </c>
      <c r="D1961" t="inlineStr">
        <is>
          <t>Barnyard</t>
        </is>
      </c>
      <c r="E1961" s="3" t="n">
        <v>0</v>
      </c>
      <c r="F1961" s="3" t="n">
        <v>0.01</v>
      </c>
      <c r="G1961" s="3">
        <f>F1961-E1961</f>
        <v/>
      </c>
      <c r="H1961" s="4">
        <f>IF(E1961=0,"",F1961/E1961-1)</f>
        <v/>
      </c>
      <c r="I1961" t="inlineStr"/>
    </row>
    <row r="1962">
      <c r="A1962" t="inlineStr">
        <is>
          <t>Agri &amp; plantation crops</t>
        </is>
      </c>
      <c r="B1962" t="inlineStr">
        <is>
          <t>10</t>
        </is>
      </c>
      <c r="C1962" t="inlineStr">
        <is>
          <t>10082950</t>
        </is>
      </c>
      <c r="D1962" t="inlineStr">
        <is>
          <t>Proso</t>
        </is>
      </c>
      <c r="E1962" s="3" t="n">
        <v>0</v>
      </c>
      <c r="F1962" s="3" t="n">
        <v>0.01</v>
      </c>
      <c r="G1962" s="3">
        <f>F1962-E1962</f>
        <v/>
      </c>
      <c r="H1962" s="4">
        <f>IF(E1962=0,"",F1962/E1962-1)</f>
        <v/>
      </c>
      <c r="I1962" t="inlineStr"/>
    </row>
    <row r="1963">
      <c r="A1963" t="inlineStr">
        <is>
          <t>Agri &amp; plantation crops</t>
        </is>
      </c>
      <c r="B1963" t="inlineStr">
        <is>
          <t>10</t>
        </is>
      </c>
      <c r="C1963" t="inlineStr">
        <is>
          <t>10082960</t>
        </is>
      </c>
      <c r="D1963" t="inlineStr">
        <is>
          <t>Foxtail</t>
        </is>
      </c>
      <c r="E1963" s="3" t="n">
        <v>0.03</v>
      </c>
      <c r="F1963" s="3" t="n">
        <v>0.01</v>
      </c>
      <c r="G1963" s="3">
        <f>F1963-E1963</f>
        <v/>
      </c>
      <c r="H1963" s="4">
        <f>IF(E1963=0,"",F1963/E1963-1)</f>
        <v/>
      </c>
      <c r="I1963" t="inlineStr"/>
    </row>
    <row r="1964">
      <c r="A1964" t="inlineStr">
        <is>
          <t>Agri &amp; plantation crops</t>
        </is>
      </c>
      <c r="B1964" t="inlineStr">
        <is>
          <t>10</t>
        </is>
      </c>
      <c r="C1964" t="inlineStr">
        <is>
          <t>10082970</t>
        </is>
      </c>
      <c r="D1964" t="inlineStr">
        <is>
          <t>Kodo</t>
        </is>
      </c>
      <c r="E1964" s="3" t="n">
        <v>0</v>
      </c>
      <c r="F1964" s="3" t="n">
        <v>0.01</v>
      </c>
      <c r="G1964" s="3">
        <f>F1964-E1964</f>
        <v/>
      </c>
      <c r="H1964" s="4">
        <f>IF(E1964=0,"",F1964/E1964-1)</f>
        <v/>
      </c>
      <c r="I1964" t="inlineStr"/>
    </row>
    <row r="1965">
      <c r="A1965" t="inlineStr">
        <is>
          <t>Agri &amp; plantation crops</t>
        </is>
      </c>
      <c r="B1965" t="inlineStr">
        <is>
          <t>10</t>
        </is>
      </c>
      <c r="C1965" t="inlineStr">
        <is>
          <t>10082999</t>
        </is>
      </c>
      <c r="D1965" t="inlineStr">
        <is>
          <t>OTHERS-OF-OTHER MILLET EXCL SEED</t>
        </is>
      </c>
      <c r="E1965" s="3" t="n">
        <v>0</v>
      </c>
      <c r="F1965" s="3" t="n">
        <v>0.01</v>
      </c>
      <c r="G1965" s="3">
        <f>F1965-E1965</f>
        <v/>
      </c>
      <c r="H1965" s="4">
        <f>IF(E1965=0,"",F1965/E1965-1)</f>
        <v/>
      </c>
      <c r="I1965" t="inlineStr"/>
    </row>
    <row r="1966">
      <c r="A1966" t="inlineStr">
        <is>
          <t>Agri &amp; plantation crops</t>
        </is>
      </c>
      <c r="B1966" t="inlineStr">
        <is>
          <t>10</t>
        </is>
      </c>
      <c r="C1966" t="inlineStr">
        <is>
          <t>10083090</t>
        </is>
      </c>
      <c r="D1966" t="inlineStr">
        <is>
          <t>OTHER CANARY</t>
        </is>
      </c>
      <c r="E1966" s="3" t="n">
        <v>0.17</v>
      </c>
      <c r="F1966" s="3" t="n">
        <v>0.01</v>
      </c>
      <c r="G1966" s="3">
        <f>F1966-E1966</f>
        <v/>
      </c>
      <c r="H1966" s="4">
        <f>IF(E1966=0,"",F1966/E1966-1)</f>
        <v/>
      </c>
      <c r="I1966" t="inlineStr"/>
    </row>
    <row r="1967">
      <c r="A1967" t="inlineStr">
        <is>
          <t>Agri &amp; plantation crops</t>
        </is>
      </c>
      <c r="B1967" t="inlineStr">
        <is>
          <t>11</t>
        </is>
      </c>
      <c r="C1967" t="inlineStr">
        <is>
          <t>11031120</t>
        </is>
      </c>
      <c r="D1967" t="inlineStr">
        <is>
          <t>MEAL OF WHEAT</t>
        </is>
      </c>
      <c r="E1967" s="3" t="n">
        <v>0</v>
      </c>
      <c r="F1967" s="3" t="n">
        <v>0.01</v>
      </c>
      <c r="G1967" s="3">
        <f>F1967-E1967</f>
        <v/>
      </c>
      <c r="H1967" s="4">
        <f>IF(E1967=0,"",F1967/E1967-1)</f>
        <v/>
      </c>
      <c r="I1967" t="inlineStr"/>
    </row>
    <row r="1968">
      <c r="A1968" t="inlineStr">
        <is>
          <t>Agri &amp; plantation crops</t>
        </is>
      </c>
      <c r="B1968" t="inlineStr">
        <is>
          <t>11</t>
        </is>
      </c>
      <c r="C1968" t="inlineStr">
        <is>
          <t>11072000</t>
        </is>
      </c>
      <c r="D1968" t="inlineStr">
        <is>
          <t>MALT ROASTED</t>
        </is>
      </c>
      <c r="E1968" s="3" t="n">
        <v>0</v>
      </c>
      <c r="F1968" s="3" t="n">
        <v>0.01</v>
      </c>
      <c r="G1968" s="3">
        <f>F1968-E1968</f>
        <v/>
      </c>
      <c r="H1968" s="4">
        <f>IF(E1968=0,"",F1968/E1968-1)</f>
        <v/>
      </c>
      <c r="I1968" t="inlineStr"/>
    </row>
    <row r="1969">
      <c r="A1969" t="inlineStr">
        <is>
          <t>Agri &amp; plantation crops</t>
        </is>
      </c>
      <c r="B1969" t="inlineStr">
        <is>
          <t>11</t>
        </is>
      </c>
      <c r="C1969" t="inlineStr">
        <is>
          <t>11081400</t>
        </is>
      </c>
      <c r="D1969" t="inlineStr">
        <is>
          <t>STARCH OF MANIOC(CASSAVA)</t>
        </is>
      </c>
      <c r="E1969" s="3" t="n">
        <v>0.01</v>
      </c>
      <c r="F1969" s="3" t="n">
        <v>0.01</v>
      </c>
      <c r="G1969" s="3">
        <f>F1969-E1969</f>
        <v/>
      </c>
      <c r="H1969" s="4">
        <f>IF(E1969=0,"",F1969/E1969-1)</f>
        <v/>
      </c>
      <c r="I1969" t="inlineStr"/>
    </row>
    <row r="1970">
      <c r="A1970" t="inlineStr">
        <is>
          <t>Agri &amp; plantation crops</t>
        </is>
      </c>
      <c r="B1970" t="inlineStr">
        <is>
          <t>11</t>
        </is>
      </c>
      <c r="C1970" t="inlineStr">
        <is>
          <t>11081910</t>
        </is>
      </c>
      <c r="D1970" t="inlineStr">
        <is>
          <t>SAG0 STARCH (0THER THAN SAG0 FL0UR)</t>
        </is>
      </c>
      <c r="E1970" s="3" t="n">
        <v>0.01</v>
      </c>
      <c r="F1970" s="3" t="n">
        <v>0.01</v>
      </c>
      <c r="G1970" s="3">
        <f>F1970-E1970</f>
        <v/>
      </c>
      <c r="H1970" s="4">
        <f>IF(E1970=0,"",F1970/E1970-1)</f>
        <v/>
      </c>
      <c r="I1970" t="inlineStr"/>
    </row>
    <row r="1971">
      <c r="A1971" t="inlineStr">
        <is>
          <t>Agri &amp; plantation crops</t>
        </is>
      </c>
      <c r="B1971" t="inlineStr">
        <is>
          <t>12</t>
        </is>
      </c>
      <c r="C1971" t="inlineStr">
        <is>
          <t>12074010</t>
        </is>
      </c>
      <c r="D1971" t="inlineStr">
        <is>
          <t>SESAMUM SEED W/N BROKEN OF SEED QLTY</t>
        </is>
      </c>
      <c r="E1971" s="3" t="n">
        <v>0</v>
      </c>
      <c r="F1971" s="3" t="n">
        <v>0.01</v>
      </c>
      <c r="G1971" s="3">
        <f>F1971-E1971</f>
        <v/>
      </c>
      <c r="H1971" s="4">
        <f>IF(E1971=0,"",F1971/E1971-1)</f>
        <v/>
      </c>
      <c r="I1971" t="inlineStr"/>
    </row>
    <row r="1972">
      <c r="A1972" t="inlineStr">
        <is>
          <t>Agri &amp; plantation crops</t>
        </is>
      </c>
      <c r="B1972" t="inlineStr">
        <is>
          <t>12</t>
        </is>
      </c>
      <c r="C1972" t="inlineStr">
        <is>
          <t>12075010</t>
        </is>
      </c>
      <c r="D1972" t="inlineStr">
        <is>
          <t>MUSTARD SEEDS W/N BROKEN OF SEED QLTY</t>
        </is>
      </c>
      <c r="E1972" s="3" t="n">
        <v>0.01</v>
      </c>
      <c r="F1972" s="3" t="n">
        <v>0.01</v>
      </c>
      <c r="G1972" s="3">
        <f>F1972-E1972</f>
        <v/>
      </c>
      <c r="H1972" s="4">
        <f>IF(E1972=0,"",F1972/E1972-1)</f>
        <v/>
      </c>
      <c r="I1972" t="inlineStr"/>
    </row>
    <row r="1973">
      <c r="A1973" t="inlineStr">
        <is>
          <t>Agri &amp; plantation crops</t>
        </is>
      </c>
      <c r="B1973" t="inlineStr">
        <is>
          <t>12</t>
        </is>
      </c>
      <c r="C1973" t="inlineStr">
        <is>
          <t>12079940</t>
        </is>
      </c>
      <c r="D1973" t="inlineStr">
        <is>
          <t>KOKUM/THE DRIED PERICRAP OF THE FRUITS OFGARCINIA INDICA</t>
        </is>
      </c>
      <c r="E1973" s="3" t="n">
        <v>0.01</v>
      </c>
      <c r="F1973" s="3" t="n">
        <v>0.01</v>
      </c>
      <c r="G1973" s="3">
        <f>F1973-E1973</f>
        <v/>
      </c>
      <c r="H1973" s="4">
        <f>IF(E1973=0,"",F1973/E1973-1)</f>
        <v/>
      </c>
      <c r="I1973" t="inlineStr"/>
    </row>
    <row r="1974">
      <c r="A1974" t="inlineStr">
        <is>
          <t>Agri &amp; plantation crops</t>
        </is>
      </c>
      <c r="B1974" t="inlineStr">
        <is>
          <t>12</t>
        </is>
      </c>
      <c r="C1974" t="inlineStr">
        <is>
          <t>12091000</t>
        </is>
      </c>
      <c r="D1974" t="inlineStr">
        <is>
          <t>SUGAR BEET SEED OF A KIND USED FOR SOWING</t>
        </is>
      </c>
      <c r="E1974" s="3" t="n">
        <v>0.02</v>
      </c>
      <c r="F1974" s="3" t="n">
        <v>0.01</v>
      </c>
      <c r="G1974" s="3">
        <f>F1974-E1974</f>
        <v/>
      </c>
      <c r="H1974" s="4">
        <f>IF(E1974=0,"",F1974/E1974-1)</f>
        <v/>
      </c>
      <c r="I1974" t="inlineStr"/>
    </row>
    <row r="1975">
      <c r="A1975" t="inlineStr">
        <is>
          <t>Agri &amp; plantation crops</t>
        </is>
      </c>
      <c r="B1975" t="inlineStr">
        <is>
          <t>12</t>
        </is>
      </c>
      <c r="C1975" t="inlineStr">
        <is>
          <t>12099110</t>
        </is>
      </c>
      <c r="D1975" t="inlineStr">
        <is>
          <t>CABBAGE SEEDS USED FOR SOWING</t>
        </is>
      </c>
      <c r="E1975" s="3" t="n">
        <v>0.01</v>
      </c>
      <c r="F1975" s="3" t="n">
        <v>0.01</v>
      </c>
      <c r="G1975" s="3">
        <f>F1975-E1975</f>
        <v/>
      </c>
      <c r="H1975" s="4">
        <f>IF(E1975=0,"",F1975/E1975-1)</f>
        <v/>
      </c>
      <c r="I1975" t="inlineStr"/>
    </row>
    <row r="1976">
      <c r="A1976" t="inlineStr">
        <is>
          <t>Agri &amp; plantation crops</t>
        </is>
      </c>
      <c r="B1976" t="inlineStr">
        <is>
          <t>12</t>
        </is>
      </c>
      <c r="C1976" t="inlineStr">
        <is>
          <t>12099910</t>
        </is>
      </c>
      <c r="D1976" t="inlineStr">
        <is>
          <t>FRUIT SEEDS FOR PLANTING OR SOWINGS</t>
        </is>
      </c>
      <c r="E1976" s="3" t="n">
        <v>0.06</v>
      </c>
      <c r="F1976" s="3" t="n">
        <v>0.01</v>
      </c>
      <c r="G1976" s="3">
        <f>F1976-E1976</f>
        <v/>
      </c>
      <c r="H1976" s="4">
        <f>IF(E1976=0,"",F1976/E1976-1)</f>
        <v/>
      </c>
      <c r="I1976" t="inlineStr"/>
    </row>
    <row r="1977">
      <c r="A1977" t="inlineStr">
        <is>
          <t>Agri &amp; plantation crops</t>
        </is>
      </c>
      <c r="B1977" t="inlineStr">
        <is>
          <t>12</t>
        </is>
      </c>
      <c r="C1977" t="inlineStr">
        <is>
          <t>12119054</t>
        </is>
      </c>
      <c r="D1977" t="inlineStr">
        <is>
          <t>AGARWOOD (INCLDNG CHIPS AND DUST)</t>
        </is>
      </c>
      <c r="E1977" s="3" t="n">
        <v>0</v>
      </c>
      <c r="F1977" s="3" t="n">
        <v>0.01</v>
      </c>
      <c r="G1977" s="3">
        <f>F1977-E1977</f>
        <v/>
      </c>
      <c r="H1977" s="4">
        <f>IF(E1977=0,"",F1977/E1977-1)</f>
        <v/>
      </c>
      <c r="I1977" t="inlineStr"/>
    </row>
    <row r="1978">
      <c r="A1978" t="inlineStr">
        <is>
          <t>Agri &amp; plantation crops</t>
        </is>
      </c>
      <c r="B1978" t="inlineStr">
        <is>
          <t>13</t>
        </is>
      </c>
      <c r="C1978" t="inlineStr">
        <is>
          <t>13021918</t>
        </is>
      </c>
      <c r="D1978" t="inlineStr">
        <is>
          <t>CAMBODGE EXTRACT</t>
        </is>
      </c>
      <c r="E1978" s="3" t="n">
        <v>0</v>
      </c>
      <c r="F1978" s="3" t="n">
        <v>0.01</v>
      </c>
      <c r="G1978" s="3">
        <f>F1978-E1978</f>
        <v/>
      </c>
      <c r="H1978" s="4">
        <f>IF(E1978=0,"",F1978/E1978-1)</f>
        <v/>
      </c>
      <c r="I1978" t="inlineStr"/>
    </row>
    <row r="1979">
      <c r="A1979" t="inlineStr">
        <is>
          <t>Agri &amp; plantation crops</t>
        </is>
      </c>
      <c r="B1979" t="inlineStr">
        <is>
          <t>14</t>
        </is>
      </c>
      <c r="C1979" t="inlineStr">
        <is>
          <t>14012000</t>
        </is>
      </c>
      <c r="D1979" t="inlineStr">
        <is>
          <t>RATTANS</t>
        </is>
      </c>
      <c r="E1979" s="3" t="n">
        <v>0.05</v>
      </c>
      <c r="F1979" s="3" t="n">
        <v>0.01</v>
      </c>
      <c r="G1979" s="3">
        <f>F1979-E1979</f>
        <v/>
      </c>
      <c r="H1979" s="4">
        <f>IF(E1979=0,"",F1979/E1979-1)</f>
        <v/>
      </c>
      <c r="I1979" t="inlineStr"/>
    </row>
    <row r="1980">
      <c r="A1980" t="inlineStr">
        <is>
          <t>Agri &amp; plantation crops</t>
        </is>
      </c>
      <c r="B1980" t="inlineStr">
        <is>
          <t>06</t>
        </is>
      </c>
      <c r="C1980" t="inlineStr">
        <is>
          <t>06024000</t>
        </is>
      </c>
      <c r="D1980" t="inlineStr">
        <is>
          <t>ROSES GRAFTED OR NOT</t>
        </is>
      </c>
      <c r="E1980" s="3" t="n">
        <v>0.04</v>
      </c>
      <c r="F1980" s="3" t="n">
        <v>0</v>
      </c>
      <c r="G1980" s="3">
        <f>F1980-E1980</f>
        <v/>
      </c>
      <c r="H1980" s="4">
        <f>IF(E1980=0,"",F1980/E1980-1)</f>
        <v/>
      </c>
      <c r="I1980" t="inlineStr"/>
    </row>
    <row r="1981">
      <c r="A1981" t="inlineStr">
        <is>
          <t>Agri &amp; plantation crops</t>
        </is>
      </c>
      <c r="B1981" t="inlineStr">
        <is>
          <t>06</t>
        </is>
      </c>
      <c r="C1981" t="inlineStr">
        <is>
          <t>06031400</t>
        </is>
      </c>
      <c r="D1981" t="inlineStr">
        <is>
          <t>CHRYSANTHEMUMS</t>
        </is>
      </c>
      <c r="E1981" s="3" t="n">
        <v>0</v>
      </c>
      <c r="F1981" s="3" t="n">
        <v>0</v>
      </c>
      <c r="G1981" s="3">
        <f>F1981-E1981</f>
        <v/>
      </c>
      <c r="H1981" s="4">
        <f>IF(E1981=0,"",F1981/E1981-1)</f>
        <v/>
      </c>
      <c r="I1981" t="inlineStr"/>
    </row>
    <row r="1982">
      <c r="A1982" t="inlineStr">
        <is>
          <t>Agri &amp; plantation crops</t>
        </is>
      </c>
      <c r="B1982" t="inlineStr">
        <is>
          <t>07</t>
        </is>
      </c>
      <c r="C1982" t="inlineStr">
        <is>
          <t>07011000</t>
        </is>
      </c>
      <c r="D1982" t="inlineStr">
        <is>
          <t>POTATO SEEDS FRESH OR CHILLED</t>
        </is>
      </c>
      <c r="E1982" s="3" t="n">
        <v>0</v>
      </c>
      <c r="F1982" s="3" t="n">
        <v>0</v>
      </c>
      <c r="G1982" s="3">
        <f>F1982-E1982</f>
        <v/>
      </c>
      <c r="H1982" s="4">
        <f>IF(E1982=0,"",F1982/E1982-1)</f>
        <v/>
      </c>
      <c r="I1982" t="inlineStr"/>
    </row>
    <row r="1983">
      <c r="A1983" t="inlineStr">
        <is>
          <t>Agri &amp; plantation crops</t>
        </is>
      </c>
      <c r="B1983" t="inlineStr">
        <is>
          <t>07</t>
        </is>
      </c>
      <c r="C1983" t="inlineStr">
        <is>
          <t>07069090</t>
        </is>
      </c>
      <c r="D1983" t="inlineStr">
        <is>
          <t>OTHER ROOTSFRSH OR CHLD</t>
        </is>
      </c>
      <c r="E1983" s="3" t="n">
        <v>0.1</v>
      </c>
      <c r="F1983" s="3" t="n">
        <v>0</v>
      </c>
      <c r="G1983" s="3">
        <f>F1983-E1983</f>
        <v/>
      </c>
      <c r="H1983" s="4">
        <f>IF(E1983=0,"",F1983/E1983-1)</f>
        <v/>
      </c>
      <c r="I1983" t="inlineStr"/>
    </row>
    <row r="1984">
      <c r="A1984" t="inlineStr">
        <is>
          <t>Agri &amp; plantation crops</t>
        </is>
      </c>
      <c r="B1984" t="inlineStr">
        <is>
          <t>07</t>
        </is>
      </c>
      <c r="C1984" t="inlineStr">
        <is>
          <t>07092000</t>
        </is>
      </c>
      <c r="D1984" t="inlineStr">
        <is>
          <t>ASPARAGUS FRESH OR CHILLED</t>
        </is>
      </c>
      <c r="E1984" s="3" t="n">
        <v>0</v>
      </c>
      <c r="F1984" s="3" t="n">
        <v>0</v>
      </c>
      <c r="G1984" s="3">
        <f>F1984-E1984</f>
        <v/>
      </c>
      <c r="H1984" s="4">
        <f>IF(E1984=0,"",F1984/E1984-1)</f>
        <v/>
      </c>
      <c r="I1984" t="inlineStr"/>
    </row>
    <row r="1985">
      <c r="A1985" t="inlineStr">
        <is>
          <t>Agri &amp; plantation crops</t>
        </is>
      </c>
      <c r="B1985" t="inlineStr">
        <is>
          <t>07</t>
        </is>
      </c>
      <c r="C1985" t="inlineStr">
        <is>
          <t>07093000</t>
        </is>
      </c>
      <c r="D1985" t="inlineStr">
        <is>
          <t>AUBERGINES(EGG PLANTS)FRSH OR CHLD</t>
        </is>
      </c>
      <c r="E1985" s="3" t="n">
        <v>0</v>
      </c>
      <c r="F1985" s="3" t="n">
        <v>0</v>
      </c>
      <c r="G1985" s="3">
        <f>F1985-E1985</f>
        <v/>
      </c>
      <c r="H1985" s="4">
        <f>IF(E1985=0,"",F1985/E1985-1)</f>
        <v/>
      </c>
      <c r="I1985" t="inlineStr"/>
    </row>
    <row r="1986">
      <c r="A1986" t="inlineStr">
        <is>
          <t>Agri &amp; plantation crops</t>
        </is>
      </c>
      <c r="B1986" t="inlineStr">
        <is>
          <t>07</t>
        </is>
      </c>
      <c r="C1986" t="inlineStr">
        <is>
          <t>07097000</t>
        </is>
      </c>
      <c r="D1986" t="inlineStr">
        <is>
          <t>SPINACH FRSH/CHLD</t>
        </is>
      </c>
      <c r="E1986" s="3" t="n">
        <v>0</v>
      </c>
      <c r="F1986" s="3" t="n">
        <v>0</v>
      </c>
      <c r="G1986" s="3">
        <f>F1986-E1986</f>
        <v/>
      </c>
      <c r="H1986" s="4">
        <f>IF(E1986=0,"",F1986/E1986-1)</f>
        <v/>
      </c>
      <c r="I1986" t="inlineStr"/>
    </row>
    <row r="1987">
      <c r="A1987" t="inlineStr">
        <is>
          <t>Agri &amp; plantation crops</t>
        </is>
      </c>
      <c r="B1987" t="inlineStr">
        <is>
          <t>07</t>
        </is>
      </c>
      <c r="C1987" t="inlineStr">
        <is>
          <t>07099320</t>
        </is>
      </c>
      <c r="D1987" t="inlineStr">
        <is>
          <t>SQUASH</t>
        </is>
      </c>
      <c r="E1987" s="3" t="n">
        <v>0.05</v>
      </c>
      <c r="F1987" s="3" t="n">
        <v>0</v>
      </c>
      <c r="G1987" s="3">
        <f>F1987-E1987</f>
        <v/>
      </c>
      <c r="H1987" s="4">
        <f>IF(E1987=0,"",F1987/E1987-1)</f>
        <v/>
      </c>
      <c r="I1987" t="inlineStr"/>
    </row>
    <row r="1988">
      <c r="A1988" t="inlineStr">
        <is>
          <t>Agri &amp; plantation crops</t>
        </is>
      </c>
      <c r="B1988" t="inlineStr">
        <is>
          <t>07</t>
        </is>
      </c>
      <c r="C1988" t="inlineStr">
        <is>
          <t>07099340</t>
        </is>
      </c>
      <c r="D1988" t="inlineStr">
        <is>
          <t>BOTTLE GOURD</t>
        </is>
      </c>
      <c r="E1988" s="3" t="n">
        <v>0</v>
      </c>
      <c r="F1988" s="3" t="n">
        <v>0</v>
      </c>
      <c r="G1988" s="3">
        <f>F1988-E1988</f>
        <v/>
      </c>
      <c r="H1988" s="4">
        <f>IF(E1988=0,"",F1988/E1988-1)</f>
        <v/>
      </c>
      <c r="I1988" t="inlineStr"/>
    </row>
    <row r="1989">
      <c r="A1989" t="inlineStr">
        <is>
          <t>Agri &amp; plantation crops</t>
        </is>
      </c>
      <c r="B1989" t="inlineStr">
        <is>
          <t>07</t>
        </is>
      </c>
      <c r="C1989" t="inlineStr">
        <is>
          <t>07099910</t>
        </is>
      </c>
      <c r="D1989" t="inlineStr">
        <is>
          <t>GREEN PEPPER</t>
        </is>
      </c>
      <c r="E1989" s="3" t="n">
        <v>0</v>
      </c>
      <c r="F1989" s="3" t="n">
        <v>0</v>
      </c>
      <c r="G1989" s="3">
        <f>F1989-E1989</f>
        <v/>
      </c>
      <c r="H1989" s="4">
        <f>IF(E1989=0,"",F1989/E1989-1)</f>
        <v/>
      </c>
      <c r="I1989" t="inlineStr"/>
    </row>
    <row r="1990">
      <c r="A1990" t="inlineStr">
        <is>
          <t>Agri &amp; plantation crops</t>
        </is>
      </c>
      <c r="B1990" t="inlineStr">
        <is>
          <t>07</t>
        </is>
      </c>
      <c r="C1990" t="inlineStr">
        <is>
          <t>07103000</t>
        </is>
      </c>
      <c r="D1990" t="inlineStr">
        <is>
          <t>SPINACH FRZN</t>
        </is>
      </c>
      <c r="E1990" s="3" t="n">
        <v>0.06</v>
      </c>
      <c r="F1990" s="3" t="n">
        <v>0</v>
      </c>
      <c r="G1990" s="3">
        <f>F1990-E1990</f>
        <v/>
      </c>
      <c r="H1990" s="4">
        <f>IF(E1990=0,"",F1990/E1990-1)</f>
        <v/>
      </c>
      <c r="I1990" t="inlineStr"/>
    </row>
    <row r="1991">
      <c r="A1991" t="inlineStr">
        <is>
          <t>Agri &amp; plantation crops</t>
        </is>
      </c>
      <c r="B1991" t="inlineStr">
        <is>
          <t>07</t>
        </is>
      </c>
      <c r="C1991" t="inlineStr">
        <is>
          <t>07115900</t>
        </is>
      </c>
      <c r="D1991" t="inlineStr">
        <is>
          <t>OTHERUSHROOMS AND TRUFFLES PROVISNLY PRESRVD</t>
        </is>
      </c>
      <c r="E1991" s="3" t="n">
        <v>0</v>
      </c>
      <c r="F1991" s="3" t="n">
        <v>0</v>
      </c>
      <c r="G1991" s="3">
        <f>F1991-E1991</f>
        <v/>
      </c>
      <c r="H1991" s="4">
        <f>IF(E1991=0,"",F1991/E1991-1)</f>
        <v/>
      </c>
      <c r="I1991" t="inlineStr"/>
    </row>
    <row r="1992">
      <c r="A1992" t="inlineStr">
        <is>
          <t>Agri &amp; plantation crops</t>
        </is>
      </c>
      <c r="B1992" t="inlineStr">
        <is>
          <t>07</t>
        </is>
      </c>
      <c r="C1992" t="inlineStr">
        <is>
          <t>07123900</t>
        </is>
      </c>
      <c r="D1992" t="inlineStr">
        <is>
          <t>OTHERS (E.G.TRUFFLES ETC.)DRIED.</t>
        </is>
      </c>
      <c r="E1992" s="3" t="n">
        <v>0.11</v>
      </c>
      <c r="F1992" s="3" t="n">
        <v>0</v>
      </c>
      <c r="G1992" s="3">
        <f>F1992-E1992</f>
        <v/>
      </c>
      <c r="H1992" s="4">
        <f>IF(E1992=0,"",F1992/E1992-1)</f>
        <v/>
      </c>
      <c r="I1992" t="inlineStr"/>
    </row>
    <row r="1993">
      <c r="A1993" t="inlineStr">
        <is>
          <t>Agri &amp; plantation crops</t>
        </is>
      </c>
      <c r="B1993" t="inlineStr">
        <is>
          <t>07</t>
        </is>
      </c>
      <c r="C1993" t="inlineStr">
        <is>
          <t>07129040</t>
        </is>
      </c>
      <c r="D1993" t="inlineStr">
        <is>
          <t>DRIED GARLIC</t>
        </is>
      </c>
      <c r="E1993" s="3" t="n">
        <v>0.09</v>
      </c>
      <c r="F1993" s="3" t="n">
        <v>0</v>
      </c>
      <c r="G1993" s="3">
        <f>F1993-E1993</f>
        <v/>
      </c>
      <c r="H1993" s="4">
        <f>IF(E1993=0,"",F1993/E1993-1)</f>
        <v/>
      </c>
      <c r="I1993" t="inlineStr"/>
    </row>
    <row r="1994">
      <c r="A1994" t="inlineStr">
        <is>
          <t>Agri &amp; plantation crops</t>
        </is>
      </c>
      <c r="B1994" t="inlineStr">
        <is>
          <t>07</t>
        </is>
      </c>
      <c r="C1994" t="inlineStr">
        <is>
          <t>07129050</t>
        </is>
      </c>
      <c r="D1994" t="inlineStr">
        <is>
          <t>MARJORAM, OREGANO</t>
        </is>
      </c>
      <c r="E1994" s="3" t="n">
        <v>0</v>
      </c>
      <c r="F1994" s="3" t="n">
        <v>0</v>
      </c>
      <c r="G1994" s="3">
        <f>F1994-E1994</f>
        <v/>
      </c>
      <c r="H1994" s="4">
        <f>IF(E1994=0,"",F1994/E1994-1)</f>
        <v/>
      </c>
      <c r="I1994" t="inlineStr"/>
    </row>
    <row r="1995">
      <c r="A1995" t="inlineStr">
        <is>
          <t>Agri &amp; plantation crops</t>
        </is>
      </c>
      <c r="B1995" t="inlineStr">
        <is>
          <t>07</t>
        </is>
      </c>
      <c r="C1995" t="inlineStr">
        <is>
          <t>07129060</t>
        </is>
      </c>
      <c r="D1995" t="inlineStr">
        <is>
          <t>POTATOES</t>
        </is>
      </c>
      <c r="E1995" s="3" t="n">
        <v>0.02</v>
      </c>
      <c r="F1995" s="3" t="n">
        <v>0</v>
      </c>
      <c r="G1995" s="3">
        <f>F1995-E1995</f>
        <v/>
      </c>
      <c r="H1995" s="4">
        <f>IF(E1995=0,"",F1995/E1995-1)</f>
        <v/>
      </c>
      <c r="I1995" t="inlineStr"/>
    </row>
    <row r="1996">
      <c r="A1996" t="inlineStr">
        <is>
          <t>Agri &amp; plantation crops</t>
        </is>
      </c>
      <c r="B1996" t="inlineStr">
        <is>
          <t>07</t>
        </is>
      </c>
      <c r="C1996" t="inlineStr">
        <is>
          <t>07142000</t>
        </is>
      </c>
      <c r="D1996" t="inlineStr">
        <is>
          <t>SWET POTATOES</t>
        </is>
      </c>
      <c r="E1996" s="3" t="n">
        <v>0.07000000000000001</v>
      </c>
      <c r="F1996" s="3" t="n">
        <v>0</v>
      </c>
      <c r="G1996" s="3">
        <f>F1996-E1996</f>
        <v/>
      </c>
      <c r="H1996" s="4">
        <f>IF(E1996=0,"",F1996/E1996-1)</f>
        <v/>
      </c>
      <c r="I1996" t="inlineStr"/>
    </row>
    <row r="1997">
      <c r="A1997" t="inlineStr">
        <is>
          <t>Agri &amp; plantation crops</t>
        </is>
      </c>
      <c r="B1997" t="inlineStr">
        <is>
          <t>08</t>
        </is>
      </c>
      <c r="C1997" t="inlineStr">
        <is>
          <t>08013290</t>
        </is>
      </c>
      <c r="D1997" t="inlineStr">
        <is>
          <t>OTHER CASHEW KERNEL</t>
        </is>
      </c>
      <c r="E1997" s="3" t="n">
        <v>0</v>
      </c>
      <c r="F1997" s="3" t="n">
        <v>0</v>
      </c>
      <c r="G1997" s="3">
        <f>F1997-E1997</f>
        <v/>
      </c>
      <c r="H1997" s="4">
        <f>IF(E1997=0,"",F1997/E1997-1)</f>
        <v/>
      </c>
      <c r="I1997" t="inlineStr"/>
    </row>
    <row r="1998">
      <c r="A1998" t="inlineStr">
        <is>
          <t>Agri &amp; plantation crops</t>
        </is>
      </c>
      <c r="B1998" t="inlineStr">
        <is>
          <t>08</t>
        </is>
      </c>
      <c r="C1998" t="inlineStr">
        <is>
          <t>08028010</t>
        </is>
      </c>
      <c r="D1998" t="inlineStr">
        <is>
          <t>WHOLE</t>
        </is>
      </c>
      <c r="E1998" s="3" t="n">
        <v>0</v>
      </c>
      <c r="F1998" s="3" t="n">
        <v>0</v>
      </c>
      <c r="G1998" s="3">
        <f>F1998-E1998</f>
        <v/>
      </c>
      <c r="H1998" s="4">
        <f>IF(E1998=0,"",F1998/E1998-1)</f>
        <v/>
      </c>
      <c r="I1998" t="inlineStr"/>
    </row>
    <row r="1999">
      <c r="A1999" t="inlineStr">
        <is>
          <t>Agri &amp; plantation crops</t>
        </is>
      </c>
      <c r="B1999" t="inlineStr">
        <is>
          <t>08</t>
        </is>
      </c>
      <c r="C1999" t="inlineStr">
        <is>
          <t>08044000</t>
        </is>
      </c>
      <c r="D1999" t="inlineStr">
        <is>
          <t>AVOCADOS FRESH OR DRIED</t>
        </is>
      </c>
      <c r="E1999" s="3" t="n">
        <v>0.01</v>
      </c>
      <c r="F1999" s="3" t="n">
        <v>0</v>
      </c>
      <c r="G1999" s="3">
        <f>F1999-E1999</f>
        <v/>
      </c>
      <c r="H1999" s="4">
        <f>IF(E1999=0,"",F1999/E1999-1)</f>
        <v/>
      </c>
      <c r="I1999" t="inlineStr"/>
    </row>
    <row r="2000">
      <c r="A2000" t="inlineStr">
        <is>
          <t>Agri &amp; plantation crops</t>
        </is>
      </c>
      <c r="B2000" t="inlineStr">
        <is>
          <t>08</t>
        </is>
      </c>
      <c r="C2000" t="inlineStr">
        <is>
          <t>08045027</t>
        </is>
      </c>
      <c r="D2000" t="inlineStr">
        <is>
          <t>TOTAPURI</t>
        </is>
      </c>
      <c r="E2000" s="3" t="n">
        <v>0</v>
      </c>
      <c r="F2000" s="3" t="n">
        <v>0</v>
      </c>
      <c r="G2000" s="3">
        <f>F2000-E2000</f>
        <v/>
      </c>
      <c r="H2000" s="4">
        <f>IF(E2000=0,"",F2000/E2000-1)</f>
        <v/>
      </c>
      <c r="I2000" t="inlineStr"/>
    </row>
    <row r="2001">
      <c r="A2001" t="inlineStr">
        <is>
          <t>Agri &amp; plantation crops</t>
        </is>
      </c>
      <c r="B2001" t="inlineStr">
        <is>
          <t>08</t>
        </is>
      </c>
      <c r="C2001" t="inlineStr">
        <is>
          <t>08054000</t>
        </is>
      </c>
      <c r="D2001" t="inlineStr">
        <is>
          <t>GRAPEFRUIT AND POMELOS</t>
        </is>
      </c>
      <c r="E2001" s="3" t="n">
        <v>0</v>
      </c>
      <c r="F2001" s="3" t="n">
        <v>0</v>
      </c>
      <c r="G2001" s="3">
        <f>F2001-E2001</f>
        <v/>
      </c>
      <c r="H2001" s="4">
        <f>IF(E2001=0,"",F2001/E2001-1)</f>
        <v/>
      </c>
      <c r="I2001" t="inlineStr"/>
    </row>
    <row r="2002">
      <c r="A2002" t="inlineStr">
        <is>
          <t>Agri &amp; plantation crops</t>
        </is>
      </c>
      <c r="B2002" t="inlineStr">
        <is>
          <t>08</t>
        </is>
      </c>
      <c r="C2002" t="inlineStr">
        <is>
          <t>08062010</t>
        </is>
      </c>
      <c r="D2002" t="inlineStr">
        <is>
          <t>RAISINS</t>
        </is>
      </c>
      <c r="E2002" s="3" t="n">
        <v>0</v>
      </c>
      <c r="F2002" s="3" t="n">
        <v>0</v>
      </c>
      <c r="G2002" s="3">
        <f>F2002-E2002</f>
        <v/>
      </c>
      <c r="H2002" s="4">
        <f>IF(E2002=0,"",F2002/E2002-1)</f>
        <v/>
      </c>
      <c r="I2002" t="inlineStr"/>
    </row>
    <row r="2003">
      <c r="A2003" t="inlineStr">
        <is>
          <t>Agri &amp; plantation crops</t>
        </is>
      </c>
      <c r="B2003" t="inlineStr">
        <is>
          <t>08</t>
        </is>
      </c>
      <c r="C2003" t="inlineStr">
        <is>
          <t>08071990</t>
        </is>
      </c>
      <c r="D2003" t="inlineStr">
        <is>
          <t>OTHERS-OF-MELON , OTHER THAN WATER MELON</t>
        </is>
      </c>
      <c r="E2003" s="3" t="n">
        <v>0.91</v>
      </c>
      <c r="F2003" s="3" t="n">
        <v>0</v>
      </c>
      <c r="G2003" s="3">
        <f>F2003-E2003</f>
        <v/>
      </c>
      <c r="H2003" s="4">
        <f>IF(E2003=0,"",F2003/E2003-1)</f>
        <v/>
      </c>
      <c r="I2003" t="inlineStr"/>
    </row>
    <row r="2004">
      <c r="A2004" t="inlineStr">
        <is>
          <t>Agri &amp; plantation crops</t>
        </is>
      </c>
      <c r="B2004" t="inlineStr">
        <is>
          <t>08</t>
        </is>
      </c>
      <c r="C2004" t="inlineStr">
        <is>
          <t>08101000</t>
        </is>
      </c>
      <c r="D2004" t="inlineStr">
        <is>
          <t>STRAWBERRIES FRESH</t>
        </is>
      </c>
      <c r="E2004" s="3" t="n">
        <v>0.01</v>
      </c>
      <c r="F2004" s="3" t="n">
        <v>0</v>
      </c>
      <c r="G2004" s="3">
        <f>F2004-E2004</f>
        <v/>
      </c>
      <c r="H2004" s="4">
        <f>IF(E2004=0,"",F2004/E2004-1)</f>
        <v/>
      </c>
      <c r="I2004" t="inlineStr"/>
    </row>
    <row r="2005">
      <c r="A2005" t="inlineStr">
        <is>
          <t>Agri &amp; plantation crops</t>
        </is>
      </c>
      <c r="B2005" t="inlineStr">
        <is>
          <t>08</t>
        </is>
      </c>
      <c r="C2005" t="inlineStr">
        <is>
          <t>08102000</t>
        </is>
      </c>
      <c r="D2005" t="inlineStr">
        <is>
          <t>RASPBERIS,BLACKBRS,MULBRS AND LOGANBRS,FRSH</t>
        </is>
      </c>
      <c r="E2005" s="3" t="n">
        <v>0.01</v>
      </c>
      <c r="F2005" s="3" t="n">
        <v>0</v>
      </c>
      <c r="G2005" s="3">
        <f>F2005-E2005</f>
        <v/>
      </c>
      <c r="H2005" s="4">
        <f>IF(E2005=0,"",F2005/E2005-1)</f>
        <v/>
      </c>
      <c r="I2005" t="inlineStr"/>
    </row>
    <row r="2006">
      <c r="A2006" t="inlineStr">
        <is>
          <t>Agri &amp; plantation crops</t>
        </is>
      </c>
      <c r="B2006" t="inlineStr">
        <is>
          <t>08</t>
        </is>
      </c>
      <c r="C2006" t="inlineStr">
        <is>
          <t>08106000</t>
        </is>
      </c>
      <c r="D2006" t="inlineStr">
        <is>
          <t>DURIANS</t>
        </is>
      </c>
      <c r="E2006" s="3" t="n">
        <v>0</v>
      </c>
      <c r="F2006" s="3" t="n">
        <v>0</v>
      </c>
      <c r="G2006" s="3">
        <f>F2006-E2006</f>
        <v/>
      </c>
      <c r="H2006" s="4">
        <f>IF(E2006=0,"",F2006/E2006-1)</f>
        <v/>
      </c>
      <c r="I2006" t="inlineStr"/>
    </row>
    <row r="2007">
      <c r="A2007" t="inlineStr">
        <is>
          <t>Agri &amp; plantation crops</t>
        </is>
      </c>
      <c r="B2007" t="inlineStr">
        <is>
          <t>08</t>
        </is>
      </c>
      <c r="C2007" t="inlineStr">
        <is>
          <t>08112010</t>
        </is>
      </c>
      <c r="D2007" t="inlineStr">
        <is>
          <t>RASPBERS,BLACKBERS,MULBERS,LOGANBERS COOKED/UNCOOKED CONTAINING ADDED SUGAR</t>
        </is>
      </c>
      <c r="E2007" s="3" t="n">
        <v>0</v>
      </c>
      <c r="F2007" s="3" t="n">
        <v>0</v>
      </c>
      <c r="G2007" s="3">
        <f>F2007-E2007</f>
        <v/>
      </c>
      <c r="H2007" s="4">
        <f>IF(E2007=0,"",F2007/E2007-1)</f>
        <v/>
      </c>
      <c r="I2007" t="inlineStr"/>
    </row>
    <row r="2008">
      <c r="A2008" t="inlineStr">
        <is>
          <t>Agri &amp; plantation crops</t>
        </is>
      </c>
      <c r="B2008" t="inlineStr">
        <is>
          <t>09</t>
        </is>
      </c>
      <c r="C2008" t="inlineStr">
        <is>
          <t>09011141</t>
        </is>
      </c>
      <c r="D2008" t="inlineStr">
        <is>
          <t>COFFEE ROB CHERRY AB</t>
        </is>
      </c>
      <c r="E2008" s="3" t="n">
        <v>0.55</v>
      </c>
      <c r="F2008" s="3" t="n">
        <v>0</v>
      </c>
      <c r="G2008" s="3">
        <f>F2008-E2008</f>
        <v/>
      </c>
      <c r="H2008" s="4">
        <f>IF(E2008=0,"",F2008/E2008-1)</f>
        <v/>
      </c>
      <c r="I2008" t="inlineStr"/>
    </row>
    <row r="2009">
      <c r="A2009" t="inlineStr">
        <is>
          <t>Agri &amp; plantation crops</t>
        </is>
      </c>
      <c r="B2009" t="inlineStr">
        <is>
          <t>09</t>
        </is>
      </c>
      <c r="C2009" t="inlineStr">
        <is>
          <t>09012110</t>
        </is>
      </c>
      <c r="D2009" t="inlineStr">
        <is>
          <t>ROASTED NOT DECAFFEINATED COFFEE IN BLK PCKNG</t>
        </is>
      </c>
      <c r="E2009" s="3" t="n">
        <v>0</v>
      </c>
      <c r="F2009" s="3" t="n">
        <v>0</v>
      </c>
      <c r="G2009" s="3">
        <f>F2009-E2009</f>
        <v/>
      </c>
      <c r="H2009" s="4">
        <f>IF(E2009=0,"",F2009/E2009-1)</f>
        <v/>
      </c>
      <c r="I2009" t="inlineStr"/>
    </row>
    <row r="2010">
      <c r="A2010" t="inlineStr">
        <is>
          <t>Agri &amp; plantation crops</t>
        </is>
      </c>
      <c r="B2010" t="inlineStr">
        <is>
          <t>09</t>
        </is>
      </c>
      <c r="C2010" t="inlineStr">
        <is>
          <t>09022020</t>
        </is>
      </c>
      <c r="D2010" t="inlineStr">
        <is>
          <t>TEA GREN IN BULK</t>
        </is>
      </c>
      <c r="E2010" s="3" t="n">
        <v>0</v>
      </c>
      <c r="F2010" s="3" t="n">
        <v>0</v>
      </c>
      <c r="G2010" s="3">
        <f>F2010-E2010</f>
        <v/>
      </c>
      <c r="H2010" s="4">
        <f>IF(E2010=0,"",F2010/E2010-1)</f>
        <v/>
      </c>
      <c r="I2010" t="inlineStr"/>
    </row>
    <row r="2011">
      <c r="A2011" t="inlineStr">
        <is>
          <t>Agri &amp; plantation crops</t>
        </is>
      </c>
      <c r="B2011" t="inlineStr">
        <is>
          <t>09</t>
        </is>
      </c>
      <c r="C2011" t="inlineStr">
        <is>
          <t>09041140</t>
        </is>
      </c>
      <c r="D2011" t="inlineStr">
        <is>
          <t>BLACK PEPPER UNGARBLED</t>
        </is>
      </c>
      <c r="E2011" s="3" t="n">
        <v>0</v>
      </c>
      <c r="F2011" s="3" t="n">
        <v>0</v>
      </c>
      <c r="G2011" s="3">
        <f>F2011-E2011</f>
        <v/>
      </c>
      <c r="H2011" s="4">
        <f>IF(E2011=0,"",F2011/E2011-1)</f>
        <v/>
      </c>
      <c r="I2011" t="inlineStr"/>
    </row>
    <row r="2012">
      <c r="A2012" t="inlineStr">
        <is>
          <t>Agri &amp; plantation crops</t>
        </is>
      </c>
      <c r="B2012" t="inlineStr">
        <is>
          <t>09</t>
        </is>
      </c>
      <c r="C2012" t="inlineStr">
        <is>
          <t>09041160</t>
        </is>
      </c>
      <c r="D2012" t="inlineStr">
        <is>
          <t>PEPPER PINHEADS</t>
        </is>
      </c>
      <c r="E2012" s="3" t="n">
        <v>0</v>
      </c>
      <c r="F2012" s="3" t="n">
        <v>0</v>
      </c>
      <c r="G2012" s="3">
        <f>F2012-E2012</f>
        <v/>
      </c>
      <c r="H2012" s="4">
        <f>IF(E2012=0,"",F2012/E2012-1)</f>
        <v/>
      </c>
      <c r="I2012" t="inlineStr"/>
    </row>
    <row r="2013">
      <c r="A2013" t="inlineStr">
        <is>
          <t>Agri &amp; plantation crops</t>
        </is>
      </c>
      <c r="B2013" t="inlineStr">
        <is>
          <t>09</t>
        </is>
      </c>
      <c r="C2013" t="inlineStr">
        <is>
          <t>09041190</t>
        </is>
      </c>
      <c r="D2013" t="inlineStr">
        <is>
          <t>OTHR PEPPER NTHR CRSHD NOR GRND</t>
        </is>
      </c>
      <c r="E2013" s="3" t="n">
        <v>0.02</v>
      </c>
      <c r="F2013" s="3" t="n">
        <v>0</v>
      </c>
      <c r="G2013" s="3">
        <f>F2013-E2013</f>
        <v/>
      </c>
      <c r="H2013" s="4">
        <f>IF(E2013=0,"",F2013/E2013-1)</f>
        <v/>
      </c>
      <c r="I2013" t="inlineStr"/>
    </row>
    <row r="2014">
      <c r="A2014" t="inlineStr">
        <is>
          <t>Agri &amp; plantation crops</t>
        </is>
      </c>
      <c r="B2014" t="inlineStr">
        <is>
          <t>09</t>
        </is>
      </c>
      <c r="C2014" t="inlineStr">
        <is>
          <t>09042120</t>
        </is>
      </c>
      <c r="D2014" t="inlineStr">
        <is>
          <t>OF GENUS PIMENTA</t>
        </is>
      </c>
      <c r="E2014" s="3" t="n">
        <v>0.03</v>
      </c>
      <c r="F2014" s="3" t="n">
        <v>0</v>
      </c>
      <c r="G2014" s="3">
        <f>F2014-E2014</f>
        <v/>
      </c>
      <c r="H2014" s="4">
        <f>IF(E2014=0,"",F2014/E2014-1)</f>
        <v/>
      </c>
      <c r="I2014" t="inlineStr"/>
    </row>
    <row r="2015">
      <c r="A2015" t="inlineStr">
        <is>
          <t>Agri &amp; plantation crops</t>
        </is>
      </c>
      <c r="B2015" t="inlineStr">
        <is>
          <t>09</t>
        </is>
      </c>
      <c r="C2015" t="inlineStr">
        <is>
          <t>09061110</t>
        </is>
      </c>
      <c r="D2015" t="inlineStr">
        <is>
          <t>CINNAMON BARK</t>
        </is>
      </c>
      <c r="E2015" s="3" t="n">
        <v>0</v>
      </c>
      <c r="F2015" s="3" t="n">
        <v>0</v>
      </c>
      <c r="G2015" s="3">
        <f>F2015-E2015</f>
        <v/>
      </c>
      <c r="H2015" s="4">
        <f>IF(E2015=0,"",F2015/E2015-1)</f>
        <v/>
      </c>
      <c r="I2015" t="inlineStr"/>
    </row>
    <row r="2016">
      <c r="A2016" t="inlineStr">
        <is>
          <t>Agri &amp; plantation crops</t>
        </is>
      </c>
      <c r="B2016" t="inlineStr">
        <is>
          <t>09</t>
        </is>
      </c>
      <c r="C2016" t="inlineStr">
        <is>
          <t>09061990</t>
        </is>
      </c>
      <c r="D2016" t="inlineStr">
        <is>
          <t>OTHER CASSIA</t>
        </is>
      </c>
      <c r="E2016" s="3" t="n">
        <v>0.02</v>
      </c>
      <c r="F2016" s="3" t="n">
        <v>0</v>
      </c>
      <c r="G2016" s="3">
        <f>F2016-E2016</f>
        <v/>
      </c>
      <c r="H2016" s="4">
        <f>IF(E2016=0,"",F2016/E2016-1)</f>
        <v/>
      </c>
      <c r="I2016" t="inlineStr"/>
    </row>
    <row r="2017">
      <c r="A2017" t="inlineStr">
        <is>
          <t>Agri &amp; plantation crops</t>
        </is>
      </c>
      <c r="B2017" t="inlineStr">
        <is>
          <t>09</t>
        </is>
      </c>
      <c r="C2017" t="inlineStr">
        <is>
          <t>09071030</t>
        </is>
      </c>
      <c r="D2017" t="inlineStr">
        <is>
          <t>STEM</t>
        </is>
      </c>
      <c r="E2017" s="3" t="n">
        <v>0.01</v>
      </c>
      <c r="F2017" s="3" t="n">
        <v>0</v>
      </c>
      <c r="G2017" s="3">
        <f>F2017-E2017</f>
        <v/>
      </c>
      <c r="H2017" s="4">
        <f>IF(E2017=0,"",F2017/E2017-1)</f>
        <v/>
      </c>
      <c r="I2017" t="inlineStr"/>
    </row>
    <row r="2018">
      <c r="A2018" t="inlineStr">
        <is>
          <t>Agri &amp; plantation crops</t>
        </is>
      </c>
      <c r="B2018" t="inlineStr">
        <is>
          <t>09</t>
        </is>
      </c>
      <c r="C2018" t="inlineStr">
        <is>
          <t>09096210</t>
        </is>
      </c>
      <c r="D2018" t="inlineStr">
        <is>
          <t>ANISE</t>
        </is>
      </c>
      <c r="E2018" s="3" t="n">
        <v>0.01</v>
      </c>
      <c r="F2018" s="3" t="n">
        <v>0</v>
      </c>
      <c r="G2018" s="3">
        <f>F2018-E2018</f>
        <v/>
      </c>
      <c r="H2018" s="4">
        <f>IF(E2018=0,"",F2018/E2018-1)</f>
        <v/>
      </c>
      <c r="I2018" t="inlineStr"/>
    </row>
    <row r="2019">
      <c r="A2019" t="inlineStr">
        <is>
          <t>Agri &amp; plantation crops</t>
        </is>
      </c>
      <c r="B2019" t="inlineStr">
        <is>
          <t>09</t>
        </is>
      </c>
      <c r="C2019" t="inlineStr">
        <is>
          <t>09096230</t>
        </is>
      </c>
      <c r="D2019" t="inlineStr">
        <is>
          <t>CARAWAY OR FENNEL</t>
        </is>
      </c>
      <c r="E2019" s="3" t="n">
        <v>0.01</v>
      </c>
      <c r="F2019" s="3" t="n">
        <v>0</v>
      </c>
      <c r="G2019" s="3">
        <f>F2019-E2019</f>
        <v/>
      </c>
      <c r="H2019" s="4">
        <f>IF(E2019=0,"",F2019/E2019-1)</f>
        <v/>
      </c>
      <c r="I2019" t="inlineStr"/>
    </row>
    <row r="2020">
      <c r="A2020" t="inlineStr">
        <is>
          <t>Agri &amp; plantation crops</t>
        </is>
      </c>
      <c r="B2020" t="inlineStr">
        <is>
          <t>09</t>
        </is>
      </c>
      <c r="C2020" t="inlineStr">
        <is>
          <t>09101130</t>
        </is>
      </c>
      <c r="D2020" t="inlineStr">
        <is>
          <t>DRIED, BLEACHED</t>
        </is>
      </c>
      <c r="E2020" s="3" t="n">
        <v>0.44</v>
      </c>
      <c r="F2020" s="3" t="n">
        <v>0</v>
      </c>
      <c r="G2020" s="3">
        <f>F2020-E2020</f>
        <v/>
      </c>
      <c r="H2020" s="4">
        <f>IF(E2020=0,"",F2020/E2020-1)</f>
        <v/>
      </c>
      <c r="I2020" t="inlineStr"/>
    </row>
    <row r="2021">
      <c r="A2021" t="inlineStr">
        <is>
          <t>Agri &amp; plantation crops</t>
        </is>
      </c>
      <c r="B2021" t="inlineStr">
        <is>
          <t>09</t>
        </is>
      </c>
      <c r="C2021" t="inlineStr">
        <is>
          <t>09109913</t>
        </is>
      </c>
      <c r="D2021" t="inlineStr">
        <is>
          <t>DILL SEED</t>
        </is>
      </c>
      <c r="E2021" s="3" t="n">
        <v>0</v>
      </c>
      <c r="F2021" s="3" t="n">
        <v>0</v>
      </c>
      <c r="G2021" s="3">
        <f>F2021-E2021</f>
        <v/>
      </c>
      <c r="H2021" s="4">
        <f>IF(E2021=0,"",F2021/E2021-1)</f>
        <v/>
      </c>
      <c r="I2021" t="inlineStr"/>
    </row>
    <row r="2022">
      <c r="A2022" t="inlineStr">
        <is>
          <t>Agri &amp; plantation crops</t>
        </is>
      </c>
      <c r="B2022" t="inlineStr">
        <is>
          <t>09</t>
        </is>
      </c>
      <c r="C2022" t="inlineStr">
        <is>
          <t>09109927</t>
        </is>
      </c>
      <c r="D2022" t="inlineStr">
        <is>
          <t>MUSTARD POWDER</t>
        </is>
      </c>
      <c r="E2022" s="3" t="n">
        <v>0.03</v>
      </c>
      <c r="F2022" s="3" t="n">
        <v>0</v>
      </c>
      <c r="G2022" s="3">
        <f>F2022-E2022</f>
        <v/>
      </c>
      <c r="H2022" s="4">
        <f>IF(E2022=0,"",F2022/E2022-1)</f>
        <v/>
      </c>
      <c r="I2022" t="inlineStr"/>
    </row>
    <row r="2023">
      <c r="A2023" t="inlineStr">
        <is>
          <t>Agri &amp; plantation crops</t>
        </is>
      </c>
      <c r="B2023" t="inlineStr">
        <is>
          <t>09</t>
        </is>
      </c>
      <c r="C2023" t="inlineStr">
        <is>
          <t>09109930</t>
        </is>
      </c>
      <c r="D2023" t="inlineStr">
        <is>
          <t>Husk</t>
        </is>
      </c>
      <c r="E2023" s="3" t="n">
        <v>0.03</v>
      </c>
      <c r="F2023" s="3" t="n">
        <v>0</v>
      </c>
      <c r="G2023" s="3">
        <f>F2023-E2023</f>
        <v/>
      </c>
      <c r="H2023" s="4">
        <f>IF(E2023=0,"",F2023/E2023-1)</f>
        <v/>
      </c>
      <c r="I2023" t="inlineStr"/>
    </row>
    <row r="2024">
      <c r="A2024" t="inlineStr">
        <is>
          <t>Agri &amp; plantation crops</t>
        </is>
      </c>
      <c r="B2024" t="inlineStr">
        <is>
          <t>10</t>
        </is>
      </c>
      <c r="C2024" t="inlineStr">
        <is>
          <t>10029000</t>
        </is>
      </c>
      <c r="D2024" t="inlineStr">
        <is>
          <t>OTHER RYE</t>
        </is>
      </c>
      <c r="E2024" s="3" t="n">
        <v>0</v>
      </c>
      <c r="F2024" s="3" t="n">
        <v>0</v>
      </c>
      <c r="G2024" s="3">
        <f>F2024-E2024</f>
        <v/>
      </c>
      <c r="H2024" s="4">
        <f>IF(E2024=0,"",F2024/E2024-1)</f>
        <v/>
      </c>
      <c r="I2024" t="inlineStr"/>
    </row>
    <row r="2025">
      <c r="A2025" t="inlineStr">
        <is>
          <t>Agri &amp; plantation crops</t>
        </is>
      </c>
      <c r="B2025" t="inlineStr">
        <is>
          <t>10</t>
        </is>
      </c>
      <c r="C2025" t="inlineStr">
        <is>
          <t>10031000</t>
        </is>
      </c>
      <c r="D2025" t="inlineStr">
        <is>
          <t>SEED</t>
        </is>
      </c>
      <c r="E2025" s="3" t="n">
        <v>0.43</v>
      </c>
      <c r="F2025" s="3" t="n">
        <v>0</v>
      </c>
      <c r="G2025" s="3">
        <f>F2025-E2025</f>
        <v/>
      </c>
      <c r="H2025" s="4">
        <f>IF(E2025=0,"",F2025/E2025-1)</f>
        <v/>
      </c>
      <c r="I2025" t="inlineStr"/>
    </row>
    <row r="2026">
      <c r="A2026" t="inlineStr">
        <is>
          <t>Agri &amp; plantation crops</t>
        </is>
      </c>
      <c r="B2026" t="inlineStr">
        <is>
          <t>10</t>
        </is>
      </c>
      <c r="C2026" t="inlineStr">
        <is>
          <t>10059030</t>
        </is>
      </c>
      <c r="D2026" t="inlineStr">
        <is>
          <t>POPCORN (ZEA MAYS VAR. EVERTA)</t>
        </is>
      </c>
      <c r="E2026" s="3" t="n">
        <v>0.02</v>
      </c>
      <c r="F2026" s="3" t="n">
        <v>0</v>
      </c>
      <c r="G2026" s="3">
        <f>F2026-E2026</f>
        <v/>
      </c>
      <c r="H2026" s="4">
        <f>IF(E2026=0,"",F2026/E2026-1)</f>
        <v/>
      </c>
      <c r="I2026" t="inlineStr"/>
    </row>
    <row r="2027">
      <c r="A2027" t="inlineStr">
        <is>
          <t>Agri &amp; plantation crops</t>
        </is>
      </c>
      <c r="B2027" t="inlineStr">
        <is>
          <t>10</t>
        </is>
      </c>
      <c r="C2027" t="inlineStr">
        <is>
          <t>10082140</t>
        </is>
      </c>
      <c r="D2027" t="inlineStr">
        <is>
          <t>Barnyard</t>
        </is>
      </c>
      <c r="E2027" s="3" t="n">
        <v>0</v>
      </c>
      <c r="F2027" s="3" t="n">
        <v>0</v>
      </c>
      <c r="G2027" s="3">
        <f>F2027-E2027</f>
        <v/>
      </c>
      <c r="H2027" s="4">
        <f>IF(E2027=0,"",F2027/E2027-1)</f>
        <v/>
      </c>
      <c r="I2027" t="inlineStr"/>
    </row>
    <row r="2028">
      <c r="A2028" t="inlineStr">
        <is>
          <t>Agri &amp; plantation crops</t>
        </is>
      </c>
      <c r="B2028" t="inlineStr">
        <is>
          <t>10</t>
        </is>
      </c>
      <c r="C2028" t="inlineStr">
        <is>
          <t>10082160</t>
        </is>
      </c>
      <c r="D2028" t="inlineStr">
        <is>
          <t>Foxtail</t>
        </is>
      </c>
      <c r="E2028" s="3" t="n">
        <v>0</v>
      </c>
      <c r="F2028" s="3" t="n">
        <v>0</v>
      </c>
      <c r="G2028" s="3">
        <f>F2028-E2028</f>
        <v/>
      </c>
      <c r="H2028" s="4">
        <f>IF(E2028=0,"",F2028/E2028-1)</f>
        <v/>
      </c>
      <c r="I2028" t="inlineStr"/>
    </row>
    <row r="2029">
      <c r="A2029" t="inlineStr">
        <is>
          <t>Agri &amp; plantation crops</t>
        </is>
      </c>
      <c r="B2029" t="inlineStr">
        <is>
          <t>10</t>
        </is>
      </c>
      <c r="C2029" t="inlineStr">
        <is>
          <t>10082170</t>
        </is>
      </c>
      <c r="D2029" t="inlineStr">
        <is>
          <t>Kodo</t>
        </is>
      </c>
      <c r="E2029" s="3" t="n">
        <v>0</v>
      </c>
      <c r="F2029" s="3" t="n">
        <v>0</v>
      </c>
      <c r="G2029" s="3">
        <f>F2029-E2029</f>
        <v/>
      </c>
      <c r="H2029" s="4">
        <f>IF(E2029=0,"",F2029/E2029-1)</f>
        <v/>
      </c>
      <c r="I2029" t="inlineStr"/>
    </row>
    <row r="2030">
      <c r="A2030" t="inlineStr">
        <is>
          <t>Agri &amp; plantation crops</t>
        </is>
      </c>
      <c r="B2030" t="inlineStr">
        <is>
          <t>10</t>
        </is>
      </c>
      <c r="C2030" t="inlineStr">
        <is>
          <t>10082180</t>
        </is>
      </c>
      <c r="D2030" t="inlineStr">
        <is>
          <t>Little</t>
        </is>
      </c>
      <c r="E2030" s="3" t="n">
        <v>0</v>
      </c>
      <c r="F2030" s="3" t="n">
        <v>0</v>
      </c>
      <c r="G2030" s="3">
        <f>F2030-E2030</f>
        <v/>
      </c>
      <c r="H2030" s="4">
        <f>IF(E2030=0,"",F2030/E2030-1)</f>
        <v/>
      </c>
      <c r="I2030" t="inlineStr"/>
    </row>
    <row r="2031">
      <c r="A2031" t="inlineStr">
        <is>
          <t>Agri &amp; plantation crops</t>
        </is>
      </c>
      <c r="B2031" t="inlineStr">
        <is>
          <t>10</t>
        </is>
      </c>
      <c r="C2031" t="inlineStr">
        <is>
          <t>10082199</t>
        </is>
      </c>
      <c r="D2031" t="inlineStr">
        <is>
          <t>OTHERS-OF-MILLET : SEED</t>
        </is>
      </c>
      <c r="E2031" s="3" t="n">
        <v>0</v>
      </c>
      <c r="F2031" s="3" t="n">
        <v>0</v>
      </c>
      <c r="G2031" s="3">
        <f>F2031-E2031</f>
        <v/>
      </c>
      <c r="H2031" s="4">
        <f>IF(E2031=0,"",F2031/E2031-1)</f>
        <v/>
      </c>
      <c r="I2031" t="inlineStr"/>
    </row>
    <row r="2032">
      <c r="A2032" t="inlineStr">
        <is>
          <t>Agri &amp; plantation crops</t>
        </is>
      </c>
      <c r="B2032" t="inlineStr">
        <is>
          <t>10</t>
        </is>
      </c>
      <c r="C2032" t="inlineStr">
        <is>
          <t>10082980</t>
        </is>
      </c>
      <c r="D2032" t="inlineStr">
        <is>
          <t>Little</t>
        </is>
      </c>
      <c r="E2032" s="3" t="n">
        <v>0.01</v>
      </c>
      <c r="F2032" s="3" t="n">
        <v>0</v>
      </c>
      <c r="G2032" s="3">
        <f>F2032-E2032</f>
        <v/>
      </c>
      <c r="H2032" s="4">
        <f>IF(E2032=0,"",F2032/E2032-1)</f>
        <v/>
      </c>
      <c r="I2032" t="inlineStr"/>
    </row>
    <row r="2033">
      <c r="A2033" t="inlineStr">
        <is>
          <t>Agri &amp; plantation crops</t>
        </is>
      </c>
      <c r="B2033" t="inlineStr">
        <is>
          <t>10</t>
        </is>
      </c>
      <c r="C2033" t="inlineStr">
        <is>
          <t>10089010</t>
        </is>
      </c>
      <c r="D2033" t="inlineStr">
        <is>
          <t>OTHER CEREALS OF SEED QLTY</t>
        </is>
      </c>
      <c r="E2033" s="3" t="n">
        <v>0</v>
      </c>
      <c r="F2033" s="3" t="n">
        <v>0</v>
      </c>
      <c r="G2033" s="3">
        <f>F2033-E2033</f>
        <v/>
      </c>
      <c r="H2033" s="4">
        <f>IF(E2033=0,"",F2033/E2033-1)</f>
        <v/>
      </c>
      <c r="I2033" t="inlineStr"/>
    </row>
    <row r="2034">
      <c r="A2034" t="inlineStr">
        <is>
          <t>Agri &amp; plantation crops</t>
        </is>
      </c>
      <c r="B2034" t="inlineStr">
        <is>
          <t>11</t>
        </is>
      </c>
      <c r="C2034" t="inlineStr">
        <is>
          <t>11029010</t>
        </is>
      </c>
      <c r="D2034" t="inlineStr">
        <is>
          <t>RYE FLOUR</t>
        </is>
      </c>
      <c r="E2034" s="3" t="n">
        <v>0</v>
      </c>
      <c r="F2034" s="3" t="n">
        <v>0</v>
      </c>
      <c r="G2034" s="3">
        <f>F2034-E2034</f>
        <v/>
      </c>
      <c r="H2034" s="4">
        <f>IF(E2034=0,"",F2034/E2034-1)</f>
        <v/>
      </c>
      <c r="I2034" t="inlineStr"/>
    </row>
    <row r="2035">
      <c r="A2035" t="inlineStr">
        <is>
          <t>Agri &amp; plantation crops</t>
        </is>
      </c>
      <c r="B2035" t="inlineStr">
        <is>
          <t>11</t>
        </is>
      </c>
      <c r="C2035" t="inlineStr">
        <is>
          <t>11051000</t>
        </is>
      </c>
      <c r="D2035" t="inlineStr">
        <is>
          <t>FLOUR AND MEAL OF POTATOES</t>
        </is>
      </c>
      <c r="E2035" s="3" t="n">
        <v>0</v>
      </c>
      <c r="F2035" s="3" t="n">
        <v>0</v>
      </c>
      <c r="G2035" s="3">
        <f>F2035-E2035</f>
        <v/>
      </c>
      <c r="H2035" s="4">
        <f>IF(E2035=0,"",F2035/E2035-1)</f>
        <v/>
      </c>
      <c r="I2035" t="inlineStr"/>
    </row>
    <row r="2036">
      <c r="A2036" t="inlineStr">
        <is>
          <t>Agri &amp; plantation crops</t>
        </is>
      </c>
      <c r="B2036" t="inlineStr">
        <is>
          <t>11</t>
        </is>
      </c>
      <c r="C2036" t="inlineStr">
        <is>
          <t>11062010</t>
        </is>
      </c>
      <c r="D2036" t="inlineStr">
        <is>
          <t>FLOUR AND MEAL OF SAGO</t>
        </is>
      </c>
      <c r="E2036" s="3" t="n">
        <v>0.02</v>
      </c>
      <c r="F2036" s="3" t="n">
        <v>0</v>
      </c>
      <c r="G2036" s="3">
        <f>F2036-E2036</f>
        <v/>
      </c>
      <c r="H2036" s="4">
        <f>IF(E2036=0,"",F2036/E2036-1)</f>
        <v/>
      </c>
      <c r="I2036" t="inlineStr"/>
    </row>
    <row r="2037">
      <c r="A2037" t="inlineStr">
        <is>
          <t>Agri &amp; plantation crops</t>
        </is>
      </c>
      <c r="B2037" t="inlineStr">
        <is>
          <t>11</t>
        </is>
      </c>
      <c r="C2037" t="inlineStr">
        <is>
          <t>11081300</t>
        </is>
      </c>
      <c r="D2037" t="inlineStr">
        <is>
          <t>STARCH OF POTATO</t>
        </is>
      </c>
      <c r="E2037" s="3" t="n">
        <v>0</v>
      </c>
      <c r="F2037" s="3" t="n">
        <v>0</v>
      </c>
      <c r="G2037" s="3">
        <f>F2037-E2037</f>
        <v/>
      </c>
      <c r="H2037" s="4">
        <f>IF(E2037=0,"",F2037/E2037-1)</f>
        <v/>
      </c>
      <c r="I2037" t="inlineStr"/>
    </row>
    <row r="2038">
      <c r="A2038" t="inlineStr">
        <is>
          <t>Agri &amp; plantation crops</t>
        </is>
      </c>
      <c r="B2038" t="inlineStr">
        <is>
          <t>11</t>
        </is>
      </c>
      <c r="C2038" t="inlineStr">
        <is>
          <t>11081990</t>
        </is>
      </c>
      <c r="D2038" t="inlineStr">
        <is>
          <t>0THER STARCHES</t>
        </is>
      </c>
      <c r="E2038" s="3" t="n">
        <v>0</v>
      </c>
      <c r="F2038" s="3" t="n">
        <v>0</v>
      </c>
      <c r="G2038" s="3">
        <f>F2038-E2038</f>
        <v/>
      </c>
      <c r="H2038" s="4">
        <f>IF(E2038=0,"",F2038/E2038-1)</f>
        <v/>
      </c>
      <c r="I2038" t="inlineStr"/>
    </row>
    <row r="2039">
      <c r="A2039" t="inlineStr">
        <is>
          <t>Agri &amp; plantation crops</t>
        </is>
      </c>
      <c r="B2039" t="inlineStr">
        <is>
          <t>12</t>
        </is>
      </c>
      <c r="C2039" t="inlineStr">
        <is>
          <t>12024290</t>
        </is>
      </c>
      <c r="D2039" t="inlineStr">
        <is>
          <t>OTHERS-OF-GROUND-NUT, NOT ROASTED OR OTHERWISE COOKED, WHETHER OR NOT SHELLED OR BROKEN-IN SHELLED WHETHER OR NOT BROKEN</t>
        </is>
      </c>
      <c r="E2039" s="3" t="n">
        <v>0.01</v>
      </c>
      <c r="F2039" s="3" t="n">
        <v>0</v>
      </c>
      <c r="G2039" s="3">
        <f>F2039-E2039</f>
        <v/>
      </c>
      <c r="H2039" s="4">
        <f>IF(E2039=0,"",F2039/E2039-1)</f>
        <v/>
      </c>
      <c r="I2039" t="inlineStr"/>
    </row>
    <row r="2040">
      <c r="A2040" t="inlineStr">
        <is>
          <t>Agri &amp; plantation crops</t>
        </is>
      </c>
      <c r="B2040" t="inlineStr">
        <is>
          <t>12</t>
        </is>
      </c>
      <c r="C2040" t="inlineStr">
        <is>
          <t>12040010</t>
        </is>
      </c>
      <c r="D2040" t="inlineStr">
        <is>
          <t>LINSEED W/N BROKEN OF SEED QLTY</t>
        </is>
      </c>
      <c r="E2040" s="3" t="n">
        <v>0</v>
      </c>
      <c r="F2040" s="3" t="n">
        <v>0</v>
      </c>
      <c r="G2040" s="3">
        <f>F2040-E2040</f>
        <v/>
      </c>
      <c r="H2040" s="4">
        <f>IF(E2040=0,"",F2040/E2040-1)</f>
        <v/>
      </c>
      <c r="I2040" t="inlineStr"/>
    </row>
    <row r="2041">
      <c r="A2041" t="inlineStr">
        <is>
          <t>Agri &amp; plantation crops</t>
        </is>
      </c>
      <c r="B2041" t="inlineStr">
        <is>
          <t>12</t>
        </is>
      </c>
      <c r="C2041" t="inlineStr">
        <is>
          <t>12060010</t>
        </is>
      </c>
      <c r="D2041" t="inlineStr">
        <is>
          <t>SUNFLOWER SEEDS W/N BROKEN OF SEED QLTY</t>
        </is>
      </c>
      <c r="E2041" s="3" t="n">
        <v>0.07000000000000001</v>
      </c>
      <c r="F2041" s="3" t="n">
        <v>0</v>
      </c>
      <c r="G2041" s="3">
        <f>F2041-E2041</f>
        <v/>
      </c>
      <c r="H2041" s="4">
        <f>IF(E2041=0,"",F2041/E2041-1)</f>
        <v/>
      </c>
      <c r="I2041" t="inlineStr"/>
    </row>
    <row r="2042">
      <c r="A2042" t="inlineStr">
        <is>
          <t>Agri &amp; plantation crops</t>
        </is>
      </c>
      <c r="B2042" t="inlineStr">
        <is>
          <t>12</t>
        </is>
      </c>
      <c r="C2042" t="inlineStr">
        <is>
          <t>12071010</t>
        </is>
      </c>
      <c r="D2042" t="inlineStr">
        <is>
          <t>PALM NUTS</t>
        </is>
      </c>
      <c r="E2042" s="3" t="n">
        <v>0</v>
      </c>
      <c r="F2042" s="3" t="n">
        <v>0</v>
      </c>
      <c r="G2042" s="3">
        <f>F2042-E2042</f>
        <v/>
      </c>
      <c r="H2042" s="4">
        <f>IF(E2042=0,"",F2042/E2042-1)</f>
        <v/>
      </c>
      <c r="I2042" t="inlineStr"/>
    </row>
    <row r="2043">
      <c r="A2043" t="inlineStr">
        <is>
          <t>Agri &amp; plantation crops</t>
        </is>
      </c>
      <c r="B2043" t="inlineStr">
        <is>
          <t>12</t>
        </is>
      </c>
      <c r="C2043" t="inlineStr">
        <is>
          <t>12071090</t>
        </is>
      </c>
      <c r="D2043" t="inlineStr">
        <is>
          <t>PALM KERNELS</t>
        </is>
      </c>
      <c r="E2043" s="3" t="n">
        <v>0</v>
      </c>
      <c r="F2043" s="3" t="n">
        <v>0</v>
      </c>
      <c r="G2043" s="3">
        <f>F2043-E2043</f>
        <v/>
      </c>
      <c r="H2043" s="4">
        <f>IF(E2043=0,"",F2043/E2043-1)</f>
        <v/>
      </c>
      <c r="I2043" t="inlineStr"/>
    </row>
    <row r="2044">
      <c r="A2044" t="inlineStr">
        <is>
          <t>Agri &amp; plantation crops</t>
        </is>
      </c>
      <c r="B2044" t="inlineStr">
        <is>
          <t>12</t>
        </is>
      </c>
      <c r="C2044" t="inlineStr">
        <is>
          <t>12076010</t>
        </is>
      </c>
      <c r="D2044" t="inlineStr">
        <is>
          <t>OF SEED QUALITY</t>
        </is>
      </c>
      <c r="E2044" s="3" t="n">
        <v>0.14</v>
      </c>
      <c r="F2044" s="3" t="n">
        <v>0</v>
      </c>
      <c r="G2044" s="3">
        <f>F2044-E2044</f>
        <v/>
      </c>
      <c r="H2044" s="4">
        <f>IF(E2044=0,"",F2044/E2044-1)</f>
        <v/>
      </c>
      <c r="I2044" t="inlineStr"/>
    </row>
    <row r="2045">
      <c r="A2045" t="inlineStr">
        <is>
          <t>Agri &amp; plantation crops</t>
        </is>
      </c>
      <c r="B2045" t="inlineStr">
        <is>
          <t>12</t>
        </is>
      </c>
      <c r="C2045" t="inlineStr">
        <is>
          <t>12077010</t>
        </is>
      </c>
      <c r="D2045" t="inlineStr">
        <is>
          <t>OF SEED QUALITY</t>
        </is>
      </c>
      <c r="E2045" s="3" t="n">
        <v>0.05</v>
      </c>
      <c r="F2045" s="3" t="n">
        <v>0</v>
      </c>
      <c r="G2045" s="3">
        <f>F2045-E2045</f>
        <v/>
      </c>
      <c r="H2045" s="4">
        <f>IF(E2045=0,"",F2045/E2045-1)</f>
        <v/>
      </c>
      <c r="I2045" t="inlineStr"/>
    </row>
    <row r="2046">
      <c r="A2046" t="inlineStr">
        <is>
          <t>Agri &amp; plantation crops</t>
        </is>
      </c>
      <c r="B2046" t="inlineStr">
        <is>
          <t>12</t>
        </is>
      </c>
      <c r="C2046" t="inlineStr">
        <is>
          <t>12092990</t>
        </is>
      </c>
      <c r="D2046" t="inlineStr">
        <is>
          <t>OTHER SEED OF FORAGE PLANTS</t>
        </is>
      </c>
      <c r="E2046" s="3" t="n">
        <v>0</v>
      </c>
      <c r="F2046" s="3" t="n">
        <v>0</v>
      </c>
      <c r="G2046" s="3">
        <f>F2046-E2046</f>
        <v/>
      </c>
      <c r="H2046" s="4">
        <f>IF(E2046=0,"",F2046/E2046-1)</f>
        <v/>
      </c>
      <c r="I2046" t="inlineStr"/>
    </row>
    <row r="2047">
      <c r="A2047" t="inlineStr">
        <is>
          <t>Agri &amp; plantation crops</t>
        </is>
      </c>
      <c r="B2047" t="inlineStr">
        <is>
          <t>12</t>
        </is>
      </c>
      <c r="C2047" t="inlineStr">
        <is>
          <t>12099120</t>
        </is>
      </c>
      <c r="D2047" t="inlineStr">
        <is>
          <t>CAULIFLOWER SEEDS USED FOR SOWING</t>
        </is>
      </c>
      <c r="E2047" s="3" t="n">
        <v>0</v>
      </c>
      <c r="F2047" s="3" t="n">
        <v>0</v>
      </c>
      <c r="G2047" s="3">
        <f>F2047-E2047</f>
        <v/>
      </c>
      <c r="H2047" s="4">
        <f>IF(E2047=0,"",F2047/E2047-1)</f>
        <v/>
      </c>
      <c r="I2047" t="inlineStr"/>
    </row>
    <row r="2048">
      <c r="A2048" t="inlineStr">
        <is>
          <t>Agri &amp; plantation crops</t>
        </is>
      </c>
      <c r="B2048" t="inlineStr">
        <is>
          <t>12</t>
        </is>
      </c>
      <c r="C2048" t="inlineStr">
        <is>
          <t>12119049</t>
        </is>
      </c>
      <c r="D2048" t="inlineStr">
        <is>
          <t>OTHER ROOTS AND RHIZOMES FRSH/DRD W/N CUT CRSHD/PWDRD</t>
        </is>
      </c>
      <c r="E2048" s="3" t="n">
        <v>0.07000000000000001</v>
      </c>
      <c r="F2048" s="3" t="n">
        <v>0</v>
      </c>
      <c r="G2048" s="3">
        <f>F2048-E2048</f>
        <v/>
      </c>
      <c r="H2048" s="4">
        <f>IF(E2048=0,"",F2048/E2048-1)</f>
        <v/>
      </c>
      <c r="I2048" t="inlineStr"/>
    </row>
    <row r="2049">
      <c r="A2049" t="inlineStr">
        <is>
          <t>Agri &amp; plantation crops</t>
        </is>
      </c>
      <c r="B2049" t="inlineStr">
        <is>
          <t>13</t>
        </is>
      </c>
      <c r="C2049" t="inlineStr">
        <is>
          <t>13019011</t>
        </is>
      </c>
      <c r="D2049" t="inlineStr">
        <is>
          <t>ASIAN GUM</t>
        </is>
      </c>
      <c r="E2049" s="3" t="n">
        <v>0</v>
      </c>
      <c r="F2049" s="3" t="n">
        <v>0</v>
      </c>
      <c r="G2049" s="3">
        <f>F2049-E2049</f>
        <v/>
      </c>
      <c r="H2049" s="4">
        <f>IF(E2049=0,"",F2049/E2049-1)</f>
        <v/>
      </c>
      <c r="I2049" t="inlineStr"/>
    </row>
    <row r="2050">
      <c r="A2050" t="inlineStr">
        <is>
          <t>Agri &amp; plantation crops</t>
        </is>
      </c>
      <c r="B2050" t="inlineStr">
        <is>
          <t>13</t>
        </is>
      </c>
      <c r="C2050" t="inlineStr">
        <is>
          <t>13019016</t>
        </is>
      </c>
      <c r="D2050" t="inlineStr">
        <is>
          <t>KARAYA GUM(INDIAN TRAGACANTH) HASTAB</t>
        </is>
      </c>
      <c r="E2050" s="3" t="n">
        <v>0</v>
      </c>
      <c r="F2050" s="3" t="n">
        <v>0</v>
      </c>
      <c r="G2050" s="3">
        <f>F2050-E2050</f>
        <v/>
      </c>
      <c r="H2050" s="4">
        <f>IF(E2050=0,"",F2050/E2050-1)</f>
        <v/>
      </c>
      <c r="I2050" t="inlineStr"/>
    </row>
    <row r="2051">
      <c r="A2051" t="inlineStr">
        <is>
          <t>Agri &amp; plantation crops</t>
        </is>
      </c>
      <c r="B2051" t="inlineStr">
        <is>
          <t>13</t>
        </is>
      </c>
      <c r="C2051" t="inlineStr">
        <is>
          <t>13019019</t>
        </is>
      </c>
      <c r="D2051" t="inlineStr">
        <is>
          <t>OTHER NATURAL GUMS</t>
        </is>
      </c>
      <c r="E2051" s="3" t="n">
        <v>0</v>
      </c>
      <c r="F2051" s="3" t="n">
        <v>0</v>
      </c>
      <c r="G2051" s="3">
        <f>F2051-E2051</f>
        <v/>
      </c>
      <c r="H2051" s="4">
        <f>IF(E2051=0,"",F2051/E2051-1)</f>
        <v/>
      </c>
      <c r="I2051" t="inlineStr"/>
    </row>
    <row r="2052">
      <c r="A2052" t="inlineStr">
        <is>
          <t>Agri &amp; plantation crops</t>
        </is>
      </c>
      <c r="B2052" t="inlineStr">
        <is>
          <t>13</t>
        </is>
      </c>
      <c r="C2052" t="inlineStr">
        <is>
          <t>13019045</t>
        </is>
      </c>
      <c r="D2052" t="inlineStr">
        <is>
          <t>OLEORESINS OF FLOWERS</t>
        </is>
      </c>
      <c r="E2052" s="3" t="n">
        <v>0</v>
      </c>
      <c r="F2052" s="3" t="n">
        <v>0</v>
      </c>
      <c r="G2052" s="3">
        <f>F2052-E2052</f>
        <v/>
      </c>
      <c r="H2052" s="4">
        <f>IF(E2052=0,"",F2052/E2052-1)</f>
        <v/>
      </c>
      <c r="I2052" t="inlineStr"/>
    </row>
    <row r="2053">
      <c r="A2053" t="inlineStr">
        <is>
          <t>Agri &amp; plantation crops</t>
        </is>
      </c>
      <c r="B2053" t="inlineStr">
        <is>
          <t>13</t>
        </is>
      </c>
      <c r="C2053" t="inlineStr">
        <is>
          <t>13021915</t>
        </is>
      </c>
      <c r="D2053" t="inlineStr">
        <is>
          <t>AGAR0SE</t>
        </is>
      </c>
      <c r="E2053" s="3" t="n">
        <v>0</v>
      </c>
      <c r="F2053" s="3" t="n">
        <v>0</v>
      </c>
      <c r="G2053" s="3">
        <f>F2053-E2053</f>
        <v/>
      </c>
      <c r="H2053" s="4">
        <f>IF(E2053=0,"",F2053/E2053-1)</f>
        <v/>
      </c>
      <c r="I2053" t="inlineStr"/>
    </row>
    <row r="2054">
      <c r="A2054" t="inlineStr">
        <is>
          <t>Agri &amp; plantation crops</t>
        </is>
      </c>
      <c r="B2054" t="inlineStr">
        <is>
          <t>14</t>
        </is>
      </c>
      <c r="C2054" t="inlineStr">
        <is>
          <t>14011000</t>
        </is>
      </c>
      <c r="D2054" t="inlineStr">
        <is>
          <t>BAMBOOS</t>
        </is>
      </c>
      <c r="E2054" s="3" t="n">
        <v>0.02</v>
      </c>
      <c r="F2054" s="3" t="n">
        <v>0</v>
      </c>
      <c r="G2054" s="3">
        <f>F2054-E2054</f>
        <v/>
      </c>
      <c r="H2054" s="4">
        <f>IF(E2054=0,"",F2054/E2054-1)</f>
        <v/>
      </c>
      <c r="I2054" t="inlineStr"/>
    </row>
    <row r="2055">
      <c r="A2055" t="inlineStr">
        <is>
          <t>Agri &amp; plantation crops</t>
        </is>
      </c>
      <c r="B2055" t="inlineStr">
        <is>
          <t>14</t>
        </is>
      </c>
      <c r="C2055" t="inlineStr">
        <is>
          <t>14019090</t>
        </is>
      </c>
      <c r="D2055" t="inlineStr">
        <is>
          <t>OTHR VEGTBL MATRLS OTHR THN CANES EXCL BAMBOO AND RTN</t>
        </is>
      </c>
      <c r="E2055" s="3" t="n">
        <v>0</v>
      </c>
      <c r="F2055" s="3" t="n">
        <v>0</v>
      </c>
      <c r="G2055" s="3">
        <f>F2055-E2055</f>
        <v/>
      </c>
      <c r="H2055" s="4">
        <f>IF(E2055=0,"",F2055/E2055-1)</f>
        <v/>
      </c>
      <c r="I2055" t="inlineStr"/>
    </row>
    <row r="2056">
      <c r="A2056" t="inlineStr">
        <is>
          <t>Agri &amp; plantation crops</t>
        </is>
      </c>
      <c r="B2056" t="inlineStr">
        <is>
          <t>14</t>
        </is>
      </c>
      <c r="C2056" t="inlineStr">
        <is>
          <t>14049029</t>
        </is>
      </c>
      <c r="D2056" t="inlineStr">
        <is>
          <t>OTHER SOAP NUTS</t>
        </is>
      </c>
      <c r="E2056" s="3" t="n">
        <v>0.02</v>
      </c>
      <c r="F2056" s="3" t="n">
        <v>0</v>
      </c>
      <c r="G2056" s="3">
        <f>F2056-E2056</f>
        <v/>
      </c>
      <c r="H2056" s="4">
        <f>IF(E2056=0,"",F2056/E2056-1)</f>
        <v/>
      </c>
      <c r="I2056" t="inlineStr"/>
    </row>
    <row r="2057">
      <c r="A2057" s="6" t="inlineStr">
        <is>
          <t>Transport equipment  —  96 lines</t>
        </is>
      </c>
      <c r="B2057" s="6" t="inlineStr"/>
      <c r="C2057" s="6" t="inlineStr"/>
      <c r="D2057" s="6" t="inlineStr"/>
      <c r="E2057" s="7" t="n">
        <v>3762.6</v>
      </c>
      <c r="F2057" s="7" t="n">
        <v>2063.51</v>
      </c>
      <c r="G2057" s="7" t="n">
        <v>-1699.09</v>
      </c>
      <c r="H2057" s="8" t="n">
        <v>-0.4515733801094988</v>
      </c>
      <c r="I2057" s="6" t="inlineStr"/>
    </row>
    <row r="2058">
      <c r="A2058" t="inlineStr">
        <is>
          <t>Transport equipment</t>
        </is>
      </c>
      <c r="B2058" t="inlineStr">
        <is>
          <t>88</t>
        </is>
      </c>
      <c r="C2058" t="inlineStr">
        <is>
          <t>88024000</t>
        </is>
      </c>
      <c r="D2058" t="inlineStr">
        <is>
          <t>AEROPLANES AND OTHR AIRCRAFT,OF AN UNLADEN WEIGHT EXCEEDING 15000 KG</t>
        </is>
      </c>
      <c r="E2058" s="3" t="n">
        <v>892.49</v>
      </c>
      <c r="F2058" s="3" t="n">
        <v>1387.99</v>
      </c>
      <c r="G2058" s="3">
        <f>F2058-E2058</f>
        <v/>
      </c>
      <c r="H2058" s="4">
        <f>IF(E2058=0,"",F2058/E2058-1)</f>
        <v/>
      </c>
      <c r="I2058" t="inlineStr"/>
    </row>
    <row r="2059">
      <c r="A2059" t="inlineStr">
        <is>
          <t>Transport equipment</t>
        </is>
      </c>
      <c r="B2059" t="inlineStr">
        <is>
          <t>87</t>
        </is>
      </c>
      <c r="C2059" t="inlineStr">
        <is>
          <t>87032291</t>
        </is>
      </c>
      <c r="D2059" t="inlineStr">
        <is>
          <t>MOTOR CAR WTH CYLNDR CPCTY&gt;=1000CC BUT &lt; 1500CC WTH SPRK-IGNTN</t>
        </is>
      </c>
      <c r="E2059" s="3" t="n">
        <v>296.75</v>
      </c>
      <c r="F2059" s="3" t="n">
        <v>350.84</v>
      </c>
      <c r="G2059" s="3">
        <f>F2059-E2059</f>
        <v/>
      </c>
      <c r="H2059" s="4">
        <f>IF(E2059=0,"",F2059/E2059-1)</f>
        <v/>
      </c>
      <c r="I2059" t="inlineStr"/>
    </row>
    <row r="2060">
      <c r="A2060" t="inlineStr">
        <is>
          <t>Transport equipment</t>
        </is>
      </c>
      <c r="B2060" t="inlineStr">
        <is>
          <t>89</t>
        </is>
      </c>
      <c r="C2060" t="inlineStr">
        <is>
          <t>89012000</t>
        </is>
      </c>
      <c r="D2060" t="inlineStr">
        <is>
          <t>TANKERS</t>
        </is>
      </c>
      <c r="E2060" s="3" t="n">
        <v>417.98</v>
      </c>
      <c r="F2060" s="3" t="n">
        <v>78.98999999999999</v>
      </c>
      <c r="G2060" s="3">
        <f>F2060-E2060</f>
        <v/>
      </c>
      <c r="H2060" s="4">
        <f>IF(E2060=0,"",F2060/E2060-1)</f>
        <v/>
      </c>
      <c r="I2060" t="inlineStr"/>
    </row>
    <row r="2061">
      <c r="A2061" t="inlineStr">
        <is>
          <t>Transport equipment</t>
        </is>
      </c>
      <c r="B2061" t="inlineStr">
        <is>
          <t>88</t>
        </is>
      </c>
      <c r="C2061" t="inlineStr">
        <is>
          <t>88073010</t>
        </is>
      </c>
      <c r="D2061" t="inlineStr">
        <is>
          <t>OF AEROPLANES HELICOPTERS</t>
        </is>
      </c>
      <c r="E2061" s="3" t="n">
        <v>0</v>
      </c>
      <c r="F2061" s="3" t="n">
        <v>72.16</v>
      </c>
      <c r="G2061" s="3">
        <f>F2061-E2061</f>
        <v/>
      </c>
      <c r="H2061" s="4">
        <f>IF(E2061=0,"",F2061/E2061-1)</f>
        <v/>
      </c>
      <c r="I2061" t="inlineStr"/>
    </row>
    <row r="2062">
      <c r="A2062" t="inlineStr">
        <is>
          <t>Transport equipment</t>
        </is>
      </c>
      <c r="B2062" t="inlineStr">
        <is>
          <t>87</t>
        </is>
      </c>
      <c r="C2062" t="inlineStr">
        <is>
          <t>87042100</t>
        </is>
      </c>
      <c r="D2062" t="inlineStr">
        <is>
          <t>G.V.W.NOT EXCEEDING 5 TONNES</t>
        </is>
      </c>
      <c r="E2062" s="3" t="n">
        <v>34.72</v>
      </c>
      <c r="F2062" s="3" t="n">
        <v>66.78</v>
      </c>
      <c r="G2062" s="3">
        <f>F2062-E2062</f>
        <v/>
      </c>
      <c r="H2062" s="4">
        <f>IF(E2062=0,"",F2062/E2062-1)</f>
        <v/>
      </c>
      <c r="I2062" t="inlineStr"/>
    </row>
    <row r="2063">
      <c r="A2063" t="inlineStr">
        <is>
          <t>Transport equipment</t>
        </is>
      </c>
      <c r="B2063" t="inlineStr">
        <is>
          <t>87</t>
        </is>
      </c>
      <c r="C2063" t="inlineStr">
        <is>
          <t>87084000</t>
        </is>
      </c>
      <c r="D2063" t="inlineStr">
        <is>
          <t>GEAR BOXES</t>
        </is>
      </c>
      <c r="E2063" s="3" t="n">
        <v>0.07000000000000001</v>
      </c>
      <c r="F2063" s="3" t="n">
        <v>27.4</v>
      </c>
      <c r="G2063" s="3">
        <f>F2063-E2063</f>
        <v/>
      </c>
      <c r="H2063" s="4">
        <f>IF(E2063=0,"",F2063/E2063-1)</f>
        <v/>
      </c>
      <c r="I2063" t="inlineStr"/>
    </row>
    <row r="2064">
      <c r="A2064" t="inlineStr">
        <is>
          <t>Transport equipment</t>
        </is>
      </c>
      <c r="B2064" t="inlineStr">
        <is>
          <t>87</t>
        </is>
      </c>
      <c r="C2064" t="inlineStr">
        <is>
          <t>87032191</t>
        </is>
      </c>
      <c r="D2064" t="inlineStr">
        <is>
          <t>MOTOR CAR WTH CYLNDR CPCTY&lt;=1000 WTH SPRK-IGNTN</t>
        </is>
      </c>
      <c r="E2064" s="3" t="n">
        <v>2.66</v>
      </c>
      <c r="F2064" s="3" t="n">
        <v>14.66</v>
      </c>
      <c r="G2064" s="3">
        <f>F2064-E2064</f>
        <v/>
      </c>
      <c r="H2064" s="4">
        <f>IF(E2064=0,"",F2064/E2064-1)</f>
        <v/>
      </c>
      <c r="I2064" t="inlineStr"/>
    </row>
    <row r="2065">
      <c r="A2065" t="inlineStr">
        <is>
          <t>Transport equipment</t>
        </is>
      </c>
      <c r="B2065" t="inlineStr">
        <is>
          <t>87</t>
        </is>
      </c>
      <c r="C2065" t="inlineStr">
        <is>
          <t>87021028</t>
        </is>
      </c>
      <c r="D2065" t="inlineStr">
        <is>
          <t>OTHER, AIR-CONDITIONED</t>
        </is>
      </c>
      <c r="E2065" s="3" t="n">
        <v>3</v>
      </c>
      <c r="F2065" s="3" t="n">
        <v>11.01</v>
      </c>
      <c r="G2065" s="3">
        <f>F2065-E2065</f>
        <v/>
      </c>
      <c r="H2065" s="4">
        <f>IF(E2065=0,"",F2065/E2065-1)</f>
        <v/>
      </c>
      <c r="I2065" t="inlineStr"/>
    </row>
    <row r="2066">
      <c r="A2066" t="inlineStr">
        <is>
          <t>Transport equipment</t>
        </is>
      </c>
      <c r="B2066" t="inlineStr">
        <is>
          <t>87</t>
        </is>
      </c>
      <c r="C2066" t="inlineStr">
        <is>
          <t>87112029</t>
        </is>
      </c>
      <c r="D2066" t="inlineStr">
        <is>
          <t>MOTR CYCLWTH CYLNDR CPCTY &gt;75 BT&lt;=250 CC</t>
        </is>
      </c>
      <c r="E2066" s="3" t="n">
        <v>14.3</v>
      </c>
      <c r="F2066" s="3" t="n">
        <v>5.86</v>
      </c>
      <c r="G2066" s="3">
        <f>F2066-E2066</f>
        <v/>
      </c>
      <c r="H2066" s="4">
        <f>IF(E2066=0,"",F2066/E2066-1)</f>
        <v/>
      </c>
      <c r="I2066" t="inlineStr"/>
    </row>
    <row r="2067">
      <c r="A2067" t="inlineStr">
        <is>
          <t>Transport equipment</t>
        </is>
      </c>
      <c r="B2067" t="inlineStr">
        <is>
          <t>87</t>
        </is>
      </c>
      <c r="C2067" t="inlineStr">
        <is>
          <t>87043100</t>
        </is>
      </c>
      <c r="D2067" t="inlineStr">
        <is>
          <t>G.V.W NOT EXCEEDING 5 TONNES</t>
        </is>
      </c>
      <c r="E2067" s="3" t="n">
        <v>2.87</v>
      </c>
      <c r="F2067" s="3" t="n">
        <v>4.7</v>
      </c>
      <c r="G2067" s="3">
        <f>F2067-E2067</f>
        <v/>
      </c>
      <c r="H2067" s="4">
        <f>IF(E2067=0,"",F2067/E2067-1)</f>
        <v/>
      </c>
      <c r="I2067" t="inlineStr"/>
    </row>
    <row r="2068">
      <c r="A2068" t="inlineStr">
        <is>
          <t>Transport equipment</t>
        </is>
      </c>
      <c r="B2068" t="inlineStr">
        <is>
          <t>88</t>
        </is>
      </c>
      <c r="C2068" t="inlineStr">
        <is>
          <t>88062200</t>
        </is>
      </c>
      <c r="D2068" t="inlineStr">
        <is>
          <t>WITH MAX TAKE-OFF WEIGHT &gt;250G BUT &lt;= 7KG</t>
        </is>
      </c>
      <c r="E2068" s="3" t="n">
        <v>0</v>
      </c>
      <c r="F2068" s="3" t="n">
        <v>4.43</v>
      </c>
      <c r="G2068" s="3">
        <f>F2068-E2068</f>
        <v/>
      </c>
      <c r="H2068" s="4">
        <f>IF(E2068=0,"",F2068/E2068-1)</f>
        <v/>
      </c>
      <c r="I2068" t="inlineStr"/>
    </row>
    <row r="2069">
      <c r="A2069" t="inlineStr">
        <is>
          <t>Transport equipment</t>
        </is>
      </c>
      <c r="B2069" t="inlineStr">
        <is>
          <t>89</t>
        </is>
      </c>
      <c r="C2069" t="inlineStr">
        <is>
          <t>89020090</t>
        </is>
      </c>
      <c r="D2069" t="inlineStr">
        <is>
          <t>OTHERS-OF-FISHNG VSSLS;FACTRY SHIPS AND OTHR VSSLS FR PROCESSING OR PRESERVING FISHERY PRODUCTS</t>
        </is>
      </c>
      <c r="E2069" s="3" t="n">
        <v>13.33</v>
      </c>
      <c r="F2069" s="3" t="n">
        <v>3.98</v>
      </c>
      <c r="G2069" s="3">
        <f>F2069-E2069</f>
        <v/>
      </c>
      <c r="H2069" s="4">
        <f>IF(E2069=0,"",F2069/E2069-1)</f>
        <v/>
      </c>
      <c r="I2069" t="inlineStr"/>
    </row>
    <row r="2070">
      <c r="A2070" t="inlineStr">
        <is>
          <t>Transport equipment</t>
        </is>
      </c>
      <c r="B2070" t="inlineStr">
        <is>
          <t>87</t>
        </is>
      </c>
      <c r="C2070" t="inlineStr">
        <is>
          <t>87089900</t>
        </is>
      </c>
      <c r="D2070" t="inlineStr">
        <is>
          <t>OTR PRTSANDACCSSRS OF VHCLS OF HDG 8701-8705</t>
        </is>
      </c>
      <c r="E2070" s="3" t="n">
        <v>5.63</v>
      </c>
      <c r="F2070" s="3" t="n">
        <v>3.79</v>
      </c>
      <c r="G2070" s="3">
        <f>F2070-E2070</f>
        <v/>
      </c>
      <c r="H2070" s="4">
        <f>IF(E2070=0,"",F2070/E2070-1)</f>
        <v/>
      </c>
      <c r="I2070" t="inlineStr"/>
    </row>
    <row r="2071">
      <c r="A2071" t="inlineStr">
        <is>
          <t>Transport equipment</t>
        </is>
      </c>
      <c r="B2071" t="inlineStr">
        <is>
          <t>87</t>
        </is>
      </c>
      <c r="C2071" t="inlineStr">
        <is>
          <t>87041010</t>
        </is>
      </c>
      <c r="D2071" t="inlineStr">
        <is>
          <t>DUMPERS DESIGNED FR OFF-HIGHWAY USE WTH NET WT &gt;8 TONS AND MAXM PAY-LOAD &gt;=10 TONS</t>
        </is>
      </c>
      <c r="E2071" s="3" t="n">
        <v>0</v>
      </c>
      <c r="F2071" s="3" t="n">
        <v>3.7</v>
      </c>
      <c r="G2071" s="3">
        <f>F2071-E2071</f>
        <v/>
      </c>
      <c r="H2071" s="4">
        <f>IF(E2071=0,"",F2071/E2071-1)</f>
        <v/>
      </c>
      <c r="I2071" t="inlineStr"/>
    </row>
    <row r="2072">
      <c r="A2072" t="inlineStr">
        <is>
          <t>Transport equipment</t>
        </is>
      </c>
      <c r="B2072" t="inlineStr">
        <is>
          <t>89</t>
        </is>
      </c>
      <c r="C2072" t="inlineStr">
        <is>
          <t>89079000</t>
        </is>
      </c>
      <c r="D2072" t="inlineStr">
        <is>
          <t>OTHER FLOTING STRUCTURES</t>
        </is>
      </c>
      <c r="E2072" s="3" t="n">
        <v>0.59</v>
      </c>
      <c r="F2072" s="3" t="n">
        <v>3.6</v>
      </c>
      <c r="G2072" s="3">
        <f>F2072-E2072</f>
        <v/>
      </c>
      <c r="H2072" s="4">
        <f>IF(E2072=0,"",F2072/E2072-1)</f>
        <v/>
      </c>
      <c r="I2072" t="inlineStr"/>
    </row>
    <row r="2073">
      <c r="A2073" t="inlineStr">
        <is>
          <t>Transport equipment</t>
        </is>
      </c>
      <c r="B2073" t="inlineStr">
        <is>
          <t>87</t>
        </is>
      </c>
      <c r="C2073" t="inlineStr">
        <is>
          <t>87019200</t>
        </is>
      </c>
      <c r="D2073" t="inlineStr">
        <is>
          <t>OTHER TRACTORS, OF AN ENGINE POWEREXCEEDING 18 KW BUT NOT EXCEEDING 37 KW</t>
        </is>
      </c>
      <c r="E2073" s="3" t="n">
        <v>0.79</v>
      </c>
      <c r="F2073" s="3" t="n">
        <v>3.11</v>
      </c>
      <c r="G2073" s="3">
        <f>F2073-E2073</f>
        <v/>
      </c>
      <c r="H2073" s="4">
        <f>IF(E2073=0,"",F2073/E2073-1)</f>
        <v/>
      </c>
      <c r="I2073" t="inlineStr"/>
    </row>
    <row r="2074">
      <c r="A2074" t="inlineStr">
        <is>
          <t>Transport equipment</t>
        </is>
      </c>
      <c r="B2074" t="inlineStr">
        <is>
          <t>87</t>
        </is>
      </c>
      <c r="C2074" t="inlineStr">
        <is>
          <t>87019300</t>
        </is>
      </c>
      <c r="D2074" t="inlineStr">
        <is>
          <t>OTHER TRACTORS, OF AN ENGINE POWEREXCEEDING 37 KW BUT NOT EXCEEDING 75 KW</t>
        </is>
      </c>
      <c r="E2074" s="3" t="n">
        <v>7.53</v>
      </c>
      <c r="F2074" s="3" t="n">
        <v>2.4</v>
      </c>
      <c r="G2074" s="3">
        <f>F2074-E2074</f>
        <v/>
      </c>
      <c r="H2074" s="4">
        <f>IF(E2074=0,"",F2074/E2074-1)</f>
        <v/>
      </c>
      <c r="I2074" t="inlineStr"/>
    </row>
    <row r="2075">
      <c r="A2075" t="inlineStr">
        <is>
          <t>Transport equipment</t>
        </is>
      </c>
      <c r="B2075" t="inlineStr">
        <is>
          <t>87</t>
        </is>
      </c>
      <c r="C2075" t="inlineStr">
        <is>
          <t>87083000</t>
        </is>
      </c>
      <c r="D2075" t="inlineStr">
        <is>
          <t>MOUNTED BRAKE LININGS</t>
        </is>
      </c>
      <c r="E2075" s="3" t="n">
        <v>0.6</v>
      </c>
      <c r="F2075" s="3" t="n">
        <v>1.98</v>
      </c>
      <c r="G2075" s="3">
        <f>F2075-E2075</f>
        <v/>
      </c>
      <c r="H2075" s="4">
        <f>IF(E2075=0,"",F2075/E2075-1)</f>
        <v/>
      </c>
      <c r="I2075" t="inlineStr"/>
    </row>
    <row r="2076">
      <c r="A2076" t="inlineStr">
        <is>
          <t>Transport equipment</t>
        </is>
      </c>
      <c r="B2076" t="inlineStr">
        <is>
          <t>87</t>
        </is>
      </c>
      <c r="C2076" t="inlineStr">
        <is>
          <t>87059090</t>
        </is>
      </c>
      <c r="D2076" t="inlineStr">
        <is>
          <t>OTHERS-OF-OTHR SPCL PURPOSE MOTOR VEHICLES</t>
        </is>
      </c>
      <c r="E2076" s="3" t="n">
        <v>0</v>
      </c>
      <c r="F2076" s="3" t="n">
        <v>1.54</v>
      </c>
      <c r="G2076" s="3">
        <f>F2076-E2076</f>
        <v/>
      </c>
      <c r="H2076" s="4">
        <f>IF(E2076=0,"",F2076/E2076-1)</f>
        <v/>
      </c>
      <c r="I2076" t="inlineStr"/>
    </row>
    <row r="2077">
      <c r="A2077" t="inlineStr">
        <is>
          <t>Transport equipment</t>
        </is>
      </c>
      <c r="B2077" t="inlineStr">
        <is>
          <t>87</t>
        </is>
      </c>
      <c r="C2077" t="inlineStr">
        <is>
          <t>87089100</t>
        </is>
      </c>
      <c r="D2077" t="inlineStr">
        <is>
          <t>RADIATORS</t>
        </is>
      </c>
      <c r="E2077" s="3" t="n">
        <v>0.09</v>
      </c>
      <c r="F2077" s="3" t="n">
        <v>1.46</v>
      </c>
      <c r="G2077" s="3">
        <f>F2077-E2077</f>
        <v/>
      </c>
      <c r="H2077" s="4">
        <f>IF(E2077=0,"",F2077/E2077-1)</f>
        <v/>
      </c>
      <c r="I2077" t="inlineStr"/>
    </row>
    <row r="2078">
      <c r="A2078" t="inlineStr">
        <is>
          <t>Transport equipment</t>
        </is>
      </c>
      <c r="B2078" t="inlineStr">
        <is>
          <t>87</t>
        </is>
      </c>
      <c r="C2078" t="inlineStr">
        <is>
          <t>87042200</t>
        </is>
      </c>
      <c r="D2078" t="inlineStr">
        <is>
          <t>G.V.W. &gt;5 TONS BT&lt;=20 TONNES</t>
        </is>
      </c>
      <c r="E2078" s="3" t="n">
        <v>0.6</v>
      </c>
      <c r="F2078" s="3" t="n">
        <v>1.25</v>
      </c>
      <c r="G2078" s="3">
        <f>F2078-E2078</f>
        <v/>
      </c>
      <c r="H2078" s="4">
        <f>IF(E2078=0,"",F2078/E2078-1)</f>
        <v/>
      </c>
      <c r="I2078" t="inlineStr"/>
    </row>
    <row r="2079">
      <c r="A2079" t="inlineStr">
        <is>
          <t>Transport equipment</t>
        </is>
      </c>
      <c r="B2079" t="inlineStr">
        <is>
          <t>87</t>
        </is>
      </c>
      <c r="C2079" t="inlineStr">
        <is>
          <t>87052000</t>
        </is>
      </c>
      <c r="D2079" t="inlineStr">
        <is>
          <t>MOBILE DRILLING DERRICKS</t>
        </is>
      </c>
      <c r="E2079" s="3" t="n">
        <v>0.9399999999999999</v>
      </c>
      <c r="F2079" s="3" t="n">
        <v>1.2</v>
      </c>
      <c r="G2079" s="3">
        <f>F2079-E2079</f>
        <v/>
      </c>
      <c r="H2079" s="4">
        <f>IF(E2079=0,"",F2079/E2079-1)</f>
        <v/>
      </c>
      <c r="I2079" t="inlineStr"/>
    </row>
    <row r="2080">
      <c r="A2080" t="inlineStr">
        <is>
          <t>Transport equipment</t>
        </is>
      </c>
      <c r="B2080" t="inlineStr">
        <is>
          <t>87</t>
        </is>
      </c>
      <c r="C2080" t="inlineStr">
        <is>
          <t>87169010</t>
        </is>
      </c>
      <c r="D2080" t="inlineStr">
        <is>
          <t>PARTS AND ACCESSORIES OF TRAILERS</t>
        </is>
      </c>
      <c r="E2080" s="3" t="n">
        <v>0.01</v>
      </c>
      <c r="F2080" s="3" t="n">
        <v>1.09</v>
      </c>
      <c r="G2080" s="3">
        <f>F2080-E2080</f>
        <v/>
      </c>
      <c r="H2080" s="4">
        <f>IF(E2080=0,"",F2080/E2080-1)</f>
        <v/>
      </c>
      <c r="I2080" t="inlineStr"/>
    </row>
    <row r="2081">
      <c r="A2081" t="inlineStr">
        <is>
          <t>Transport equipment</t>
        </is>
      </c>
      <c r="B2081" t="inlineStr">
        <is>
          <t>87</t>
        </is>
      </c>
      <c r="C2081" t="inlineStr">
        <is>
          <t>87169090</t>
        </is>
      </c>
      <c r="D2081" t="inlineStr">
        <is>
          <t>PRTS AND ACSRS OF OTHR VHCL NT MCHNCLY PRPLD</t>
        </is>
      </c>
      <c r="E2081" s="3" t="n">
        <v>0</v>
      </c>
      <c r="F2081" s="3" t="n">
        <v>0.98</v>
      </c>
      <c r="G2081" s="3">
        <f>F2081-E2081</f>
        <v/>
      </c>
      <c r="H2081" s="4">
        <f>IF(E2081=0,"",F2081/E2081-1)</f>
        <v/>
      </c>
      <c r="I2081" t="inlineStr"/>
    </row>
    <row r="2082">
      <c r="A2082" t="inlineStr">
        <is>
          <t>Transport equipment</t>
        </is>
      </c>
      <c r="B2082" t="inlineStr">
        <is>
          <t>87</t>
        </is>
      </c>
      <c r="C2082" t="inlineStr">
        <is>
          <t>87032391</t>
        </is>
      </c>
      <c r="D2082" t="inlineStr">
        <is>
          <t>MOTOR CAR WTH CYLNDR CPCTY&gt;=1500CC BUT &lt;3000CC WTH SPRK-IGNTN</t>
        </is>
      </c>
      <c r="E2082" s="3" t="n">
        <v>38.87</v>
      </c>
      <c r="F2082" s="3" t="n">
        <v>0.78</v>
      </c>
      <c r="G2082" s="3">
        <f>F2082-E2082</f>
        <v/>
      </c>
      <c r="H2082" s="4">
        <f>IF(E2082=0,"",F2082/E2082-1)</f>
        <v/>
      </c>
      <c r="I2082" t="inlineStr"/>
    </row>
    <row r="2083">
      <c r="A2083" t="inlineStr">
        <is>
          <t>Transport equipment</t>
        </is>
      </c>
      <c r="B2083" t="inlineStr">
        <is>
          <t>87</t>
        </is>
      </c>
      <c r="C2083" t="inlineStr">
        <is>
          <t>87059010</t>
        </is>
      </c>
      <c r="D2083" t="inlineStr">
        <is>
          <t>LORRIES (TRUCKS ) FITTED WITH BRIDGING SYSTEMS</t>
        </is>
      </c>
      <c r="E2083" s="3" t="n">
        <v>0</v>
      </c>
      <c r="F2083" s="3" t="n">
        <v>0.78</v>
      </c>
      <c r="G2083" s="3">
        <f>F2083-E2083</f>
        <v/>
      </c>
      <c r="H2083" s="4">
        <f>IF(E2083=0,"",F2083/E2083-1)</f>
        <v/>
      </c>
      <c r="I2083" t="inlineStr"/>
    </row>
    <row r="2084">
      <c r="A2084" t="inlineStr">
        <is>
          <t>Transport equipment</t>
        </is>
      </c>
      <c r="B2084" t="inlineStr">
        <is>
          <t>87</t>
        </is>
      </c>
      <c r="C2084" t="inlineStr">
        <is>
          <t>87120010</t>
        </is>
      </c>
      <c r="D2084" t="inlineStr">
        <is>
          <t>BICYCLES</t>
        </is>
      </c>
      <c r="E2084" s="3" t="n">
        <v>0.72</v>
      </c>
      <c r="F2084" s="3" t="n">
        <v>0.78</v>
      </c>
      <c r="G2084" s="3">
        <f>F2084-E2084</f>
        <v/>
      </c>
      <c r="H2084" s="4">
        <f>IF(E2084=0,"",F2084/E2084-1)</f>
        <v/>
      </c>
      <c r="I2084" t="inlineStr"/>
    </row>
    <row r="2085">
      <c r="A2085" t="inlineStr">
        <is>
          <t>Transport equipment</t>
        </is>
      </c>
      <c r="B2085" t="inlineStr">
        <is>
          <t>87</t>
        </is>
      </c>
      <c r="C2085" t="inlineStr">
        <is>
          <t>87042300</t>
        </is>
      </c>
      <c r="D2085" t="inlineStr">
        <is>
          <t>G.V.W. EXCEEDING 20 TONNES</t>
        </is>
      </c>
      <c r="E2085" s="3" t="n">
        <v>0</v>
      </c>
      <c r="F2085" s="3" t="n">
        <v>0.7</v>
      </c>
      <c r="G2085" s="3">
        <f>F2085-E2085</f>
        <v/>
      </c>
      <c r="H2085" s="4">
        <f>IF(E2085=0,"",F2085/E2085-1)</f>
        <v/>
      </c>
      <c r="I2085" t="inlineStr"/>
    </row>
    <row r="2086">
      <c r="A2086" t="inlineStr">
        <is>
          <t>Transport equipment</t>
        </is>
      </c>
      <c r="B2086" t="inlineStr">
        <is>
          <t>87</t>
        </is>
      </c>
      <c r="C2086" t="inlineStr">
        <is>
          <t>87131010</t>
        </is>
      </c>
      <c r="D2086" t="inlineStr">
        <is>
          <t>WHEEL CHAIRS FR INVALID NT MCHNCLY PRPLD</t>
        </is>
      </c>
      <c r="E2086" s="3" t="n">
        <v>0.8</v>
      </c>
      <c r="F2086" s="3" t="n">
        <v>0.49</v>
      </c>
      <c r="G2086" s="3">
        <f>F2086-E2086</f>
        <v/>
      </c>
      <c r="H2086" s="4">
        <f>IF(E2086=0,"",F2086/E2086-1)</f>
        <v/>
      </c>
      <c r="I2086" t="inlineStr"/>
    </row>
    <row r="2087">
      <c r="A2087" t="inlineStr">
        <is>
          <t>Transport equipment</t>
        </is>
      </c>
      <c r="B2087" t="inlineStr">
        <is>
          <t>87</t>
        </is>
      </c>
      <c r="C2087" t="inlineStr">
        <is>
          <t>87060042</t>
        </is>
      </c>
      <c r="D2087" t="inlineStr">
        <is>
          <t>CHASSIS FR VHCLS HDNG 8704 EXCP PETRL DRVN</t>
        </is>
      </c>
      <c r="E2087" s="3" t="n">
        <v>0</v>
      </c>
      <c r="F2087" s="3" t="n">
        <v>0.47</v>
      </c>
      <c r="G2087" s="3">
        <f>F2087-E2087</f>
        <v/>
      </c>
      <c r="H2087" s="4">
        <f>IF(E2087=0,"",F2087/E2087-1)</f>
        <v/>
      </c>
      <c r="I2087" t="inlineStr"/>
    </row>
    <row r="2088">
      <c r="A2088" t="inlineStr">
        <is>
          <t>Transport equipment</t>
        </is>
      </c>
      <c r="B2088" t="inlineStr">
        <is>
          <t>89</t>
        </is>
      </c>
      <c r="C2088" t="inlineStr">
        <is>
          <t>89020010</t>
        </is>
      </c>
      <c r="D2088" t="inlineStr">
        <is>
          <t>TRAWLERS AND OTHR FSHING VESSELS</t>
        </is>
      </c>
      <c r="E2088" s="3" t="n">
        <v>3.68</v>
      </c>
      <c r="F2088" s="3" t="n">
        <v>0.46</v>
      </c>
      <c r="G2088" s="3">
        <f>F2088-E2088</f>
        <v/>
      </c>
      <c r="H2088" s="4">
        <f>IF(E2088=0,"",F2088/E2088-1)</f>
        <v/>
      </c>
      <c r="I2088" t="inlineStr"/>
    </row>
    <row r="2089">
      <c r="A2089" t="inlineStr">
        <is>
          <t>Transport equipment</t>
        </is>
      </c>
      <c r="B2089" t="inlineStr">
        <is>
          <t>87</t>
        </is>
      </c>
      <c r="C2089" t="inlineStr">
        <is>
          <t>87029019</t>
        </is>
      </c>
      <c r="D2089" t="inlineStr">
        <is>
          <t>OTHER, NON AIR-CONDITIONED</t>
        </is>
      </c>
      <c r="E2089" s="3" t="n">
        <v>0</v>
      </c>
      <c r="F2089" s="3" t="n">
        <v>0.43</v>
      </c>
      <c r="G2089" s="3">
        <f>F2089-E2089</f>
        <v/>
      </c>
      <c r="H2089" s="4">
        <f>IF(E2089=0,"",F2089/E2089-1)</f>
        <v/>
      </c>
      <c r="I2089" t="inlineStr"/>
    </row>
    <row r="2090">
      <c r="A2090" t="inlineStr">
        <is>
          <t>Transport equipment</t>
        </is>
      </c>
      <c r="B2090" t="inlineStr">
        <is>
          <t>87</t>
        </is>
      </c>
      <c r="C2090" t="inlineStr">
        <is>
          <t>87088000</t>
        </is>
      </c>
      <c r="D2090" t="inlineStr">
        <is>
          <t>SUSPENSION SHOCK ABSORBERS</t>
        </is>
      </c>
      <c r="E2090" s="3" t="n">
        <v>0.22</v>
      </c>
      <c r="F2090" s="3" t="n">
        <v>0.39</v>
      </c>
      <c r="G2090" s="3">
        <f>F2090-E2090</f>
        <v/>
      </c>
      <c r="H2090" s="4">
        <f>IF(E2090=0,"",F2090/E2090-1)</f>
        <v/>
      </c>
      <c r="I2090" t="inlineStr"/>
    </row>
    <row r="2091">
      <c r="A2091" t="inlineStr">
        <is>
          <t>Transport equipment</t>
        </is>
      </c>
      <c r="B2091" t="inlineStr">
        <is>
          <t>87</t>
        </is>
      </c>
      <c r="C2091" t="inlineStr">
        <is>
          <t>87082900</t>
        </is>
      </c>
      <c r="D2091" t="inlineStr">
        <is>
          <t>OTHR PRTS AND ACCSSRS OF BODIES(INCL CABS)</t>
        </is>
      </c>
      <c r="E2091" s="3" t="n">
        <v>0.13</v>
      </c>
      <c r="F2091" s="3" t="n">
        <v>0.34</v>
      </c>
      <c r="G2091" s="3">
        <f>F2091-E2091</f>
        <v/>
      </c>
      <c r="H2091" s="4">
        <f>IF(E2091=0,"",F2091/E2091-1)</f>
        <v/>
      </c>
      <c r="I2091" t="inlineStr"/>
    </row>
    <row r="2092">
      <c r="A2092" t="inlineStr">
        <is>
          <t>Transport equipment</t>
        </is>
      </c>
      <c r="B2092" t="inlineStr">
        <is>
          <t>87</t>
        </is>
      </c>
      <c r="C2092" t="inlineStr">
        <is>
          <t>87081090</t>
        </is>
      </c>
      <c r="D2092" t="inlineStr">
        <is>
          <t>BUMPERS ETC FOR OTHR VHCLS</t>
        </is>
      </c>
      <c r="E2092" s="3" t="n">
        <v>0.06</v>
      </c>
      <c r="F2092" s="3" t="n">
        <v>0.29</v>
      </c>
      <c r="G2092" s="3">
        <f>F2092-E2092</f>
        <v/>
      </c>
      <c r="H2092" s="4">
        <f>IF(E2092=0,"",F2092/E2092-1)</f>
        <v/>
      </c>
      <c r="I2092" t="inlineStr"/>
    </row>
    <row r="2093">
      <c r="A2093" t="inlineStr">
        <is>
          <t>Transport equipment</t>
        </is>
      </c>
      <c r="B2093" t="inlineStr">
        <is>
          <t>86</t>
        </is>
      </c>
      <c r="C2093" t="inlineStr">
        <is>
          <t>86090000</t>
        </is>
      </c>
      <c r="D2093" t="inlineStr">
        <is>
          <t>*CONTAINERS SPECIALLY DESIGNED ANDEQUIPPED FOR CARRIAGE BY ONE/MORE MODES OF TRNSPORT</t>
        </is>
      </c>
      <c r="E2093" s="3" t="n">
        <v>0.1</v>
      </c>
      <c r="F2093" s="3" t="n">
        <v>0.26</v>
      </c>
      <c r="G2093" s="3">
        <f>F2093-E2093</f>
        <v/>
      </c>
      <c r="H2093" s="4">
        <f>IF(E2093=0,"",F2093/E2093-1)</f>
        <v/>
      </c>
      <c r="I2093" t="inlineStr"/>
    </row>
    <row r="2094">
      <c r="A2094" t="inlineStr">
        <is>
          <t>Transport equipment</t>
        </is>
      </c>
      <c r="B2094" t="inlineStr">
        <is>
          <t>88</t>
        </is>
      </c>
      <c r="C2094" t="inlineStr">
        <is>
          <t>88079000</t>
        </is>
      </c>
      <c r="D2094" t="inlineStr">
        <is>
          <t>OTHERS-OF-OTHERS-OF-PARTS OF GOODS OF HEADING 8801,8802 OR 8806</t>
        </is>
      </c>
      <c r="E2094" s="3" t="n">
        <v>0.04</v>
      </c>
      <c r="F2094" s="3" t="n">
        <v>0.25</v>
      </c>
      <c r="G2094" s="3">
        <f>F2094-E2094</f>
        <v/>
      </c>
      <c r="H2094" s="4">
        <f>IF(E2094=0,"",F2094/E2094-1)</f>
        <v/>
      </c>
      <c r="I2094" t="inlineStr"/>
    </row>
    <row r="2095">
      <c r="A2095" t="inlineStr">
        <is>
          <t>Transport equipment</t>
        </is>
      </c>
      <c r="B2095" t="inlineStr">
        <is>
          <t>87</t>
        </is>
      </c>
      <c r="C2095" t="inlineStr">
        <is>
          <t>87163100</t>
        </is>
      </c>
      <c r="D2095" t="inlineStr">
        <is>
          <t>TANKER TRAILERS AND TANKER SEMI-TRAILERS</t>
        </is>
      </c>
      <c r="E2095" s="3" t="n">
        <v>0</v>
      </c>
      <c r="F2095" s="3" t="n">
        <v>0.24</v>
      </c>
      <c r="G2095" s="3">
        <f>F2095-E2095</f>
        <v/>
      </c>
      <c r="H2095" s="4">
        <f>IF(E2095=0,"",F2095/E2095-1)</f>
        <v/>
      </c>
      <c r="I2095" t="inlineStr"/>
    </row>
    <row r="2096">
      <c r="A2096" t="inlineStr">
        <is>
          <t>Transport equipment</t>
        </is>
      </c>
      <c r="B2096" t="inlineStr">
        <is>
          <t>87</t>
        </is>
      </c>
      <c r="C2096" t="inlineStr">
        <is>
          <t>87019400</t>
        </is>
      </c>
      <c r="D2096" t="inlineStr">
        <is>
          <t>OTHER TRACTORS, OF AN ENGINE POWEREXCEEDING 75 KW BUT NOT EXCEEDING 130 KW</t>
        </is>
      </c>
      <c r="E2096" s="3" t="n">
        <v>0</v>
      </c>
      <c r="F2096" s="3" t="n">
        <v>0.17</v>
      </c>
      <c r="G2096" s="3">
        <f>F2096-E2096</f>
        <v/>
      </c>
      <c r="H2096" s="4">
        <f>IF(E2096=0,"",F2096/E2096-1)</f>
        <v/>
      </c>
      <c r="I2096" t="inlineStr"/>
    </row>
    <row r="2097">
      <c r="A2097" t="inlineStr">
        <is>
          <t>Transport equipment</t>
        </is>
      </c>
      <c r="B2097" t="inlineStr">
        <is>
          <t>87</t>
        </is>
      </c>
      <c r="C2097" t="inlineStr">
        <is>
          <t>87019100</t>
        </is>
      </c>
      <c r="D2097" t="inlineStr">
        <is>
          <t>OTHER TRACTORS, OF AN ENGINE POWERNOT EXCEEDING 18 KW</t>
        </is>
      </c>
      <c r="E2097" s="3" t="n">
        <v>0.06</v>
      </c>
      <c r="F2097" s="3" t="n">
        <v>0.16</v>
      </c>
      <c r="G2097" s="3">
        <f>F2097-E2097</f>
        <v/>
      </c>
      <c r="H2097" s="4">
        <f>IF(E2097=0,"",F2097/E2097-1)</f>
        <v/>
      </c>
      <c r="I2097" t="inlineStr"/>
    </row>
    <row r="2098">
      <c r="A2098" t="inlineStr">
        <is>
          <t>Transport equipment</t>
        </is>
      </c>
      <c r="B2098" t="inlineStr">
        <is>
          <t>87</t>
        </is>
      </c>
      <c r="C2098" t="inlineStr">
        <is>
          <t>87141090</t>
        </is>
      </c>
      <c r="D2098" t="inlineStr">
        <is>
          <t>PARTS AND ACCESSORIES OF MOTORCYCLE EXCL. SADDLE</t>
        </is>
      </c>
      <c r="E2098" s="3" t="n">
        <v>0.01</v>
      </c>
      <c r="F2098" s="3" t="n">
        <v>0.15</v>
      </c>
      <c r="G2098" s="3">
        <f>F2098-E2098</f>
        <v/>
      </c>
      <c r="H2098" s="4">
        <f>IF(E2098=0,"",F2098/E2098-1)</f>
        <v/>
      </c>
      <c r="I2098" t="inlineStr"/>
    </row>
    <row r="2099">
      <c r="A2099" t="inlineStr">
        <is>
          <t>Transport equipment</t>
        </is>
      </c>
      <c r="B2099" t="inlineStr">
        <is>
          <t>87</t>
        </is>
      </c>
      <c r="C2099" t="inlineStr">
        <is>
          <t>87031010</t>
        </is>
      </c>
      <c r="D2099" t="inlineStr">
        <is>
          <t>ELECTRICALLY OPERATED VHCL FR TRVLNG ON SNOW;GOLF CAR AND THE LIKE</t>
        </is>
      </c>
      <c r="E2099" s="3" t="n">
        <v>0</v>
      </c>
      <c r="F2099" s="3" t="n">
        <v>0.14</v>
      </c>
      <c r="G2099" s="3">
        <f>F2099-E2099</f>
        <v/>
      </c>
      <c r="H2099" s="4">
        <f>IF(E2099=0,"",F2099/E2099-1)</f>
        <v/>
      </c>
      <c r="I2099" t="inlineStr"/>
    </row>
    <row r="2100">
      <c r="A2100" t="inlineStr">
        <is>
          <t>Transport equipment</t>
        </is>
      </c>
      <c r="B2100" t="inlineStr">
        <is>
          <t>87</t>
        </is>
      </c>
      <c r="C2100" t="inlineStr">
        <is>
          <t>87089300</t>
        </is>
      </c>
      <c r="D2100" t="inlineStr">
        <is>
          <t>CLUTCHES AND PRTS THEREOF</t>
        </is>
      </c>
      <c r="E2100" s="3" t="n">
        <v>0.08</v>
      </c>
      <c r="F2100" s="3" t="n">
        <v>0.12</v>
      </c>
      <c r="G2100" s="3">
        <f>F2100-E2100</f>
        <v/>
      </c>
      <c r="H2100" s="4">
        <f>IF(E2100=0,"",F2100/E2100-1)</f>
        <v/>
      </c>
      <c r="I2100" t="inlineStr"/>
    </row>
    <row r="2101">
      <c r="A2101" t="inlineStr">
        <is>
          <t>Transport equipment</t>
        </is>
      </c>
      <c r="B2101" t="inlineStr">
        <is>
          <t>87</t>
        </is>
      </c>
      <c r="C2101" t="inlineStr">
        <is>
          <t>87060029</t>
        </is>
      </c>
      <c r="D2101" t="inlineStr">
        <is>
          <t>CHASSIS FR VHCLS HDNG 8702 (&gt;13 PERSONS)</t>
        </is>
      </c>
      <c r="E2101" s="3" t="n">
        <v>0.06</v>
      </c>
      <c r="F2101" s="3" t="n">
        <v>0.11</v>
      </c>
      <c r="G2101" s="3">
        <f>F2101-E2101</f>
        <v/>
      </c>
      <c r="H2101" s="4">
        <f>IF(E2101=0,"",F2101/E2101-1)</f>
        <v/>
      </c>
      <c r="I2101" t="inlineStr"/>
    </row>
    <row r="2102">
      <c r="A2102" t="inlineStr">
        <is>
          <t>Transport equipment</t>
        </is>
      </c>
      <c r="B2102" t="inlineStr">
        <is>
          <t>87</t>
        </is>
      </c>
      <c r="C2102" t="inlineStr">
        <is>
          <t>87168090</t>
        </is>
      </c>
      <c r="D2102" t="inlineStr">
        <is>
          <t>OTHER VEHICLES OF CHAPTER 87,N.E.S.</t>
        </is>
      </c>
      <c r="E2102" s="3" t="n">
        <v>0.02</v>
      </c>
      <c r="F2102" s="3" t="n">
        <v>0.11</v>
      </c>
      <c r="G2102" s="3">
        <f>F2102-E2102</f>
        <v/>
      </c>
      <c r="H2102" s="4">
        <f>IF(E2102=0,"",F2102/E2102-1)</f>
        <v/>
      </c>
      <c r="I2102" t="inlineStr"/>
    </row>
    <row r="2103">
      <c r="A2103" t="inlineStr">
        <is>
          <t>Transport equipment</t>
        </is>
      </c>
      <c r="B2103" t="inlineStr">
        <is>
          <t>88</t>
        </is>
      </c>
      <c r="C2103" t="inlineStr">
        <is>
          <t>88072000</t>
        </is>
      </c>
      <c r="D2103" t="inlineStr">
        <is>
          <t>UNDER-CARRIAGES AND PARTS THEREOF</t>
        </is>
      </c>
      <c r="E2103" s="3" t="n">
        <v>0</v>
      </c>
      <c r="F2103" s="3" t="n">
        <v>0.11</v>
      </c>
      <c r="G2103" s="3">
        <f>F2103-E2103</f>
        <v/>
      </c>
      <c r="H2103" s="4">
        <f>IF(E2103=0,"",F2103/E2103-1)</f>
        <v/>
      </c>
      <c r="I2103" t="inlineStr"/>
    </row>
    <row r="2104">
      <c r="A2104" t="inlineStr">
        <is>
          <t>Transport equipment</t>
        </is>
      </c>
      <c r="B2104" t="inlineStr">
        <is>
          <t>87</t>
        </is>
      </c>
      <c r="C2104" t="inlineStr">
        <is>
          <t>87149990</t>
        </is>
      </c>
      <c r="D2104" t="inlineStr">
        <is>
          <t>OTHERS-OF-OTHR PRTSANDACCSSRS OF BICYCLESAND OTHR CYCLES</t>
        </is>
      </c>
      <c r="E2104" s="3" t="n">
        <v>0.15</v>
      </c>
      <c r="F2104" s="3" t="n">
        <v>0.09</v>
      </c>
      <c r="G2104" s="3">
        <f>F2104-E2104</f>
        <v/>
      </c>
      <c r="H2104" s="4">
        <f>IF(E2104=0,"",F2104/E2104-1)</f>
        <v/>
      </c>
      <c r="I2104" t="inlineStr"/>
    </row>
    <row r="2105">
      <c r="A2105" t="inlineStr">
        <is>
          <t>Transport equipment</t>
        </is>
      </c>
      <c r="B2105" t="inlineStr">
        <is>
          <t>86</t>
        </is>
      </c>
      <c r="C2105" t="inlineStr">
        <is>
          <t>86073010</t>
        </is>
      </c>
      <c r="D2105" t="inlineStr">
        <is>
          <t>BUFFRS FR ROLLNG STCK,DEVCS FR RLWAY</t>
        </is>
      </c>
      <c r="E2105" s="3" t="n">
        <v>0</v>
      </c>
      <c r="F2105" s="3" t="n">
        <v>0.07000000000000001</v>
      </c>
      <c r="G2105" s="3">
        <f>F2105-E2105</f>
        <v/>
      </c>
      <c r="H2105" s="4">
        <f>IF(E2105=0,"",F2105/E2105-1)</f>
        <v/>
      </c>
      <c r="I2105" t="inlineStr"/>
    </row>
    <row r="2106">
      <c r="A2106" t="inlineStr">
        <is>
          <t>Transport equipment</t>
        </is>
      </c>
      <c r="B2106" t="inlineStr">
        <is>
          <t>87</t>
        </is>
      </c>
      <c r="C2106" t="inlineStr">
        <is>
          <t>87089400</t>
        </is>
      </c>
      <c r="D2106" t="inlineStr">
        <is>
          <t>STERNG WHEELS,STERNG COLUMNS AND STERNG BOXS</t>
        </is>
      </c>
      <c r="E2106" s="3" t="n">
        <v>0.05</v>
      </c>
      <c r="F2106" s="3" t="n">
        <v>0.06</v>
      </c>
      <c r="G2106" s="3">
        <f>F2106-E2106</f>
        <v/>
      </c>
      <c r="H2106" s="4">
        <f>IF(E2106=0,"",F2106/E2106-1)</f>
        <v/>
      </c>
      <c r="I2106" t="inlineStr"/>
    </row>
    <row r="2107">
      <c r="A2107" t="inlineStr">
        <is>
          <t>Transport equipment</t>
        </is>
      </c>
      <c r="B2107" t="inlineStr">
        <is>
          <t>87</t>
        </is>
      </c>
      <c r="C2107" t="inlineStr">
        <is>
          <t>87139010</t>
        </is>
      </c>
      <c r="D2107" t="inlineStr">
        <is>
          <t>WHEEL CHAIRS FR INVALID MCHNCLY PRPLD</t>
        </is>
      </c>
      <c r="E2107" s="3" t="n">
        <v>0.01</v>
      </c>
      <c r="F2107" s="3" t="n">
        <v>0.06</v>
      </c>
      <c r="G2107" s="3">
        <f>F2107-E2107</f>
        <v/>
      </c>
      <c r="H2107" s="4">
        <f>IF(E2107=0,"",F2107/E2107-1)</f>
        <v/>
      </c>
      <c r="I2107" t="inlineStr"/>
    </row>
    <row r="2108">
      <c r="A2108" t="inlineStr">
        <is>
          <t>Transport equipment</t>
        </is>
      </c>
      <c r="B2108" t="inlineStr">
        <is>
          <t>89</t>
        </is>
      </c>
      <c r="C2108" t="inlineStr">
        <is>
          <t>89019000</t>
        </is>
      </c>
      <c r="D2108" t="inlineStr">
        <is>
          <t>OTHR VSSLS FOR TRNSPRT OF GOODS AND OTHR VSSLS FOR TRNSPRT OF PERSONS AND GOODS</t>
        </is>
      </c>
      <c r="E2108" s="3" t="n">
        <v>0</v>
      </c>
      <c r="F2108" s="3" t="n">
        <v>0.06</v>
      </c>
      <c r="G2108" s="3">
        <f>F2108-E2108</f>
        <v/>
      </c>
      <c r="H2108" s="4">
        <f>IF(E2108=0,"",F2108/E2108-1)</f>
        <v/>
      </c>
      <c r="I2108" t="inlineStr"/>
    </row>
    <row r="2109">
      <c r="A2109" t="inlineStr">
        <is>
          <t>Transport equipment</t>
        </is>
      </c>
      <c r="B2109" t="inlineStr">
        <is>
          <t>87</t>
        </is>
      </c>
      <c r="C2109" t="inlineStr">
        <is>
          <t>87085000</t>
        </is>
      </c>
      <c r="D2109" t="inlineStr">
        <is>
          <t>DRIVE AXLES WITH DIFFERENTIAL W/N PROVIDEDWITH OTHER TRANSMISSION COMPONENTS</t>
        </is>
      </c>
      <c r="E2109" s="3" t="n">
        <v>0.03</v>
      </c>
      <c r="F2109" s="3" t="n">
        <v>0.05</v>
      </c>
      <c r="G2109" s="3">
        <f>F2109-E2109</f>
        <v/>
      </c>
      <c r="H2109" s="4">
        <f>IF(E2109=0,"",F2109/E2109-1)</f>
        <v/>
      </c>
      <c r="I2109" t="inlineStr"/>
    </row>
    <row r="2110">
      <c r="A2110" t="inlineStr">
        <is>
          <t>Transport equipment</t>
        </is>
      </c>
      <c r="B2110" t="inlineStr">
        <is>
          <t>87</t>
        </is>
      </c>
      <c r="C2110" t="inlineStr">
        <is>
          <t>87163900</t>
        </is>
      </c>
      <c r="D2110" t="inlineStr">
        <is>
          <t>OTHR TRLRS AND SEMI-TRLR FR TRNSPRT OF GOODS</t>
        </is>
      </c>
      <c r="E2110" s="3" t="n">
        <v>0</v>
      </c>
      <c r="F2110" s="3" t="n">
        <v>0.05</v>
      </c>
      <c r="G2110" s="3">
        <f>F2110-E2110</f>
        <v/>
      </c>
      <c r="H2110" s="4">
        <f>IF(E2110=0,"",F2110/E2110-1)</f>
        <v/>
      </c>
      <c r="I2110" t="inlineStr"/>
    </row>
    <row r="2111">
      <c r="A2111" t="inlineStr">
        <is>
          <t>Transport equipment</t>
        </is>
      </c>
      <c r="B2111" t="inlineStr">
        <is>
          <t>86</t>
        </is>
      </c>
      <c r="C2111" t="inlineStr">
        <is>
          <t>86080090</t>
        </is>
      </c>
      <c r="D2111" t="inlineStr">
        <is>
          <t>OTHERS-OF-RLWAY/TRMWAY TRCK FXTRS AND FTNGS;MCHNCL ANDELCTRO-MCHNCL SGNLNG,TRFC CNTRL EQPMNT FR ROADS,INLND WTRWAYS ETC,PRTS O</t>
        </is>
      </c>
      <c r="E2111" s="3" t="n">
        <v>0</v>
      </c>
      <c r="F2111" s="3" t="n">
        <v>0.04</v>
      </c>
      <c r="G2111" s="3">
        <f>F2111-E2111</f>
        <v/>
      </c>
      <c r="H2111" s="4">
        <f>IF(E2111=0,"",F2111/E2111-1)</f>
        <v/>
      </c>
      <c r="I2111" t="inlineStr"/>
    </row>
    <row r="2112">
      <c r="A2112" t="inlineStr">
        <is>
          <t>Transport equipment</t>
        </is>
      </c>
      <c r="B2112" t="inlineStr">
        <is>
          <t>87</t>
        </is>
      </c>
      <c r="C2112" t="inlineStr">
        <is>
          <t>87120090</t>
        </is>
      </c>
      <c r="D2112" t="inlineStr">
        <is>
          <t>OTHERS(CYCLES,RICKSHAWS,DELIVERY CYLES, CYCLES,TRICYCLES,TOY BICYCLES,ETC)</t>
        </is>
      </c>
      <c r="E2112" s="3" t="n">
        <v>0</v>
      </c>
      <c r="F2112" s="3" t="n">
        <v>0.04</v>
      </c>
      <c r="G2112" s="3">
        <f>F2112-E2112</f>
        <v/>
      </c>
      <c r="H2112" s="4">
        <f>IF(E2112=0,"",F2112/E2112-1)</f>
        <v/>
      </c>
      <c r="I2112" t="inlineStr"/>
    </row>
    <row r="2113">
      <c r="A2113" t="inlineStr">
        <is>
          <t>Transport equipment</t>
        </is>
      </c>
      <c r="B2113" t="inlineStr">
        <is>
          <t>87</t>
        </is>
      </c>
      <c r="C2113" t="inlineStr">
        <is>
          <t>87149320</t>
        </is>
      </c>
      <c r="D2113" t="inlineStr">
        <is>
          <t>BICYCLE FREE-WHEELS</t>
        </is>
      </c>
      <c r="E2113" s="3" t="n">
        <v>0.02</v>
      </c>
      <c r="F2113" s="3" t="n">
        <v>0.04</v>
      </c>
      <c r="G2113" s="3">
        <f>F2113-E2113</f>
        <v/>
      </c>
      <c r="H2113" s="4">
        <f>IF(E2113=0,"",F2113/E2113-1)</f>
        <v/>
      </c>
      <c r="I2113" t="inlineStr"/>
    </row>
    <row r="2114">
      <c r="A2114" t="inlineStr">
        <is>
          <t>Transport equipment</t>
        </is>
      </c>
      <c r="B2114" t="inlineStr">
        <is>
          <t>87</t>
        </is>
      </c>
      <c r="C2114" t="inlineStr">
        <is>
          <t>87087000</t>
        </is>
      </c>
      <c r="D2114" t="inlineStr">
        <is>
          <t>ROAD WHEELS AND PRTS AND ACCSSRS THEREOF</t>
        </is>
      </c>
      <c r="E2114" s="3" t="n">
        <v>0.02</v>
      </c>
      <c r="F2114" s="3" t="n">
        <v>0.03</v>
      </c>
      <c r="G2114" s="3">
        <f>F2114-E2114</f>
        <v/>
      </c>
      <c r="H2114" s="4">
        <f>IF(E2114=0,"",F2114/E2114-1)</f>
        <v/>
      </c>
      <c r="I2114" t="inlineStr"/>
    </row>
    <row r="2115">
      <c r="A2115" t="inlineStr">
        <is>
          <t>Transport equipment</t>
        </is>
      </c>
      <c r="B2115" t="inlineStr">
        <is>
          <t>87</t>
        </is>
      </c>
      <c r="C2115" t="inlineStr">
        <is>
          <t>87089200</t>
        </is>
      </c>
      <c r="D2115" t="inlineStr">
        <is>
          <t>SILENCERS AND EXHAUST PIPES</t>
        </is>
      </c>
      <c r="E2115" s="3" t="n">
        <v>0.09</v>
      </c>
      <c r="F2115" s="3" t="n">
        <v>0.03</v>
      </c>
      <c r="G2115" s="3">
        <f>F2115-E2115</f>
        <v/>
      </c>
      <c r="H2115" s="4">
        <f>IF(E2115=0,"",F2115/E2115-1)</f>
        <v/>
      </c>
      <c r="I2115" t="inlineStr"/>
    </row>
    <row r="2116">
      <c r="A2116" t="inlineStr">
        <is>
          <t>Transport equipment</t>
        </is>
      </c>
      <c r="B2116" t="inlineStr">
        <is>
          <t>87</t>
        </is>
      </c>
      <c r="C2116" t="inlineStr">
        <is>
          <t>87149290</t>
        </is>
      </c>
      <c r="D2116" t="inlineStr">
        <is>
          <t>OTHERS-OF-WHEEL,RIMS AND SPOKES</t>
        </is>
      </c>
      <c r="E2116" s="3" t="n">
        <v>0.04</v>
      </c>
      <c r="F2116" s="3" t="n">
        <v>0.03</v>
      </c>
      <c r="G2116" s="3">
        <f>F2116-E2116</f>
        <v/>
      </c>
      <c r="H2116" s="4">
        <f>IF(E2116=0,"",F2116/E2116-1)</f>
        <v/>
      </c>
      <c r="I2116" t="inlineStr"/>
    </row>
    <row r="2117">
      <c r="A2117" t="inlineStr">
        <is>
          <t>Transport equipment</t>
        </is>
      </c>
      <c r="B2117" t="inlineStr">
        <is>
          <t>87</t>
        </is>
      </c>
      <c r="C2117" t="inlineStr">
        <is>
          <t>87149510</t>
        </is>
      </c>
      <c r="D2117" t="inlineStr">
        <is>
          <t>BICYCLE SADDLES</t>
        </is>
      </c>
      <c r="E2117" s="3" t="n">
        <v>0</v>
      </c>
      <c r="F2117" s="3" t="n">
        <v>0.03</v>
      </c>
      <c r="G2117" s="3">
        <f>F2117-E2117</f>
        <v/>
      </c>
      <c r="H2117" s="4">
        <f>IF(E2117=0,"",F2117/E2117-1)</f>
        <v/>
      </c>
      <c r="I2117" t="inlineStr"/>
    </row>
    <row r="2118">
      <c r="A2118" t="inlineStr">
        <is>
          <t>Transport equipment</t>
        </is>
      </c>
      <c r="B2118" t="inlineStr">
        <is>
          <t>88</t>
        </is>
      </c>
      <c r="C2118" t="inlineStr">
        <is>
          <t>88010020</t>
        </is>
      </c>
      <c r="D2118" t="inlineStr">
        <is>
          <t>BALLONS</t>
        </is>
      </c>
      <c r="E2118" s="3" t="n">
        <v>0.01</v>
      </c>
      <c r="F2118" s="3" t="n">
        <v>0.03</v>
      </c>
      <c r="G2118" s="3">
        <f>F2118-E2118</f>
        <v/>
      </c>
      <c r="H2118" s="4">
        <f>IF(E2118=0,"",F2118/E2118-1)</f>
        <v/>
      </c>
      <c r="I2118" t="inlineStr"/>
    </row>
    <row r="2119">
      <c r="A2119" t="inlineStr">
        <is>
          <t>Transport equipment</t>
        </is>
      </c>
      <c r="B2119" t="inlineStr">
        <is>
          <t>87</t>
        </is>
      </c>
      <c r="C2119" t="inlineStr">
        <is>
          <t>87071000</t>
        </is>
      </c>
      <c r="D2119" t="inlineStr">
        <is>
          <t>BODIES FOR VEHICLS OF HDG NO 8703</t>
        </is>
      </c>
      <c r="E2119" s="3" t="n">
        <v>0</v>
      </c>
      <c r="F2119" s="3" t="n">
        <v>0.02</v>
      </c>
      <c r="G2119" s="3">
        <f>F2119-E2119</f>
        <v/>
      </c>
      <c r="H2119" s="4">
        <f>IF(E2119=0,"",F2119/E2119-1)</f>
        <v/>
      </c>
      <c r="I2119" t="inlineStr"/>
    </row>
    <row r="2120">
      <c r="A2120" t="inlineStr">
        <is>
          <t>Transport equipment</t>
        </is>
      </c>
      <c r="B2120" t="inlineStr">
        <is>
          <t>87</t>
        </is>
      </c>
      <c r="C2120" t="inlineStr">
        <is>
          <t>87149100</t>
        </is>
      </c>
      <c r="D2120" t="inlineStr">
        <is>
          <t>FRAMES,FORKS AND PRTS THEREOF</t>
        </is>
      </c>
      <c r="E2120" s="3" t="n">
        <v>0.03</v>
      </c>
      <c r="F2120" s="3" t="n">
        <v>0.02</v>
      </c>
      <c r="G2120" s="3">
        <f>F2120-E2120</f>
        <v/>
      </c>
      <c r="H2120" s="4">
        <f>IF(E2120=0,"",F2120/E2120-1)</f>
        <v/>
      </c>
      <c r="I2120" t="inlineStr"/>
    </row>
    <row r="2121">
      <c r="A2121" t="inlineStr">
        <is>
          <t>Transport equipment</t>
        </is>
      </c>
      <c r="B2121" t="inlineStr">
        <is>
          <t>87</t>
        </is>
      </c>
      <c r="C2121" t="inlineStr">
        <is>
          <t>87079000</t>
        </is>
      </c>
      <c r="D2121" t="inlineStr">
        <is>
          <t>OTHER BODIES</t>
        </is>
      </c>
      <c r="E2121" s="3" t="n">
        <v>0</v>
      </c>
      <c r="F2121" s="3" t="n">
        <v>0.01</v>
      </c>
      <c r="G2121" s="3">
        <f>F2121-E2121</f>
        <v/>
      </c>
      <c r="H2121" s="4">
        <f>IF(E2121=0,"",F2121/E2121-1)</f>
        <v/>
      </c>
      <c r="I2121" t="inlineStr"/>
    </row>
    <row r="2122">
      <c r="A2122" t="inlineStr">
        <is>
          <t>Transport equipment</t>
        </is>
      </c>
      <c r="B2122" t="inlineStr">
        <is>
          <t>87</t>
        </is>
      </c>
      <c r="C2122" t="inlineStr">
        <is>
          <t>87081010</t>
        </is>
      </c>
      <c r="D2122" t="inlineStr">
        <is>
          <t>BUMPERS ETC FOR TRACTORS</t>
        </is>
      </c>
      <c r="E2122" s="3" t="n">
        <v>0</v>
      </c>
      <c r="F2122" s="3" t="n">
        <v>0.01</v>
      </c>
      <c r="G2122" s="3">
        <f>F2122-E2122</f>
        <v/>
      </c>
      <c r="H2122" s="4">
        <f>IF(E2122=0,"",F2122/E2122-1)</f>
        <v/>
      </c>
      <c r="I2122" t="inlineStr"/>
    </row>
    <row r="2123">
      <c r="A2123" t="inlineStr">
        <is>
          <t>Transport equipment</t>
        </is>
      </c>
      <c r="B2123" t="inlineStr">
        <is>
          <t>87</t>
        </is>
      </c>
      <c r="C2123" t="inlineStr">
        <is>
          <t>87082100</t>
        </is>
      </c>
      <c r="D2123" t="inlineStr">
        <is>
          <t>SAFETY SEAT BELTS</t>
        </is>
      </c>
      <c r="E2123" s="3" t="n">
        <v>0</v>
      </c>
      <c r="F2123" s="3" t="n">
        <v>0.01</v>
      </c>
      <c r="G2123" s="3">
        <f>F2123-E2123</f>
        <v/>
      </c>
      <c r="H2123" s="4">
        <f>IF(E2123=0,"",F2123/E2123-1)</f>
        <v/>
      </c>
      <c r="I2123" t="inlineStr"/>
    </row>
    <row r="2124">
      <c r="A2124" t="inlineStr">
        <is>
          <t>Transport equipment</t>
        </is>
      </c>
      <c r="B2124" t="inlineStr">
        <is>
          <t>87</t>
        </is>
      </c>
      <c r="C2124" t="inlineStr">
        <is>
          <t>87082200</t>
        </is>
      </c>
      <c r="D2124" t="inlineStr">
        <is>
          <t>FRONT WINDSCREENS,WINDSHIELDS,REAR WINDOWS,OTHER WINDOWS</t>
        </is>
      </c>
      <c r="E2124" s="3" t="n">
        <v>0.03</v>
      </c>
      <c r="F2124" s="3" t="n">
        <v>0.01</v>
      </c>
      <c r="G2124" s="3">
        <f>F2124-E2124</f>
        <v/>
      </c>
      <c r="H2124" s="4">
        <f>IF(E2124=0,"",F2124/E2124-1)</f>
        <v/>
      </c>
      <c r="I2124" t="inlineStr"/>
    </row>
    <row r="2125">
      <c r="A2125" t="inlineStr">
        <is>
          <t>Transport equipment</t>
        </is>
      </c>
      <c r="B2125" t="inlineStr">
        <is>
          <t>87</t>
        </is>
      </c>
      <c r="C2125" t="inlineStr">
        <is>
          <t>87089500</t>
        </is>
      </c>
      <c r="D2125" t="inlineStr">
        <is>
          <t>SAFETY AIRBAGS WITH INFLATER SYSTEM; PARTS THEREOF</t>
        </is>
      </c>
      <c r="E2125" s="3" t="n">
        <v>0.01</v>
      </c>
      <c r="F2125" s="3" t="n">
        <v>0.01</v>
      </c>
      <c r="G2125" s="3">
        <f>F2125-E2125</f>
        <v/>
      </c>
      <c r="H2125" s="4">
        <f>IF(E2125=0,"",F2125/E2125-1)</f>
        <v/>
      </c>
      <c r="I2125" t="inlineStr"/>
    </row>
    <row r="2126">
      <c r="A2126" t="inlineStr">
        <is>
          <t>Transport equipment</t>
        </is>
      </c>
      <c r="B2126" t="inlineStr">
        <is>
          <t>87</t>
        </is>
      </c>
      <c r="C2126" t="inlineStr">
        <is>
          <t>87141010</t>
        </is>
      </c>
      <c r="D2126" t="inlineStr">
        <is>
          <t>SADDLES</t>
        </is>
      </c>
      <c r="E2126" s="3" t="n">
        <v>0.01</v>
      </c>
      <c r="F2126" s="3" t="n">
        <v>0.01</v>
      </c>
      <c r="G2126" s="3">
        <f>F2126-E2126</f>
        <v/>
      </c>
      <c r="H2126" s="4">
        <f>IF(E2126=0,"",F2126/E2126-1)</f>
        <v/>
      </c>
      <c r="I2126" t="inlineStr"/>
    </row>
    <row r="2127">
      <c r="A2127" t="inlineStr">
        <is>
          <t>Transport equipment</t>
        </is>
      </c>
      <c r="B2127" t="inlineStr">
        <is>
          <t>87</t>
        </is>
      </c>
      <c r="C2127" t="inlineStr">
        <is>
          <t>87149220</t>
        </is>
      </c>
      <c r="D2127" t="inlineStr">
        <is>
          <t>BICYCLE SPOKES</t>
        </is>
      </c>
      <c r="E2127" s="3" t="n">
        <v>0.04</v>
      </c>
      <c r="F2127" s="3" t="n">
        <v>0.01</v>
      </c>
      <c r="G2127" s="3">
        <f>F2127-E2127</f>
        <v/>
      </c>
      <c r="H2127" s="4">
        <f>IF(E2127=0,"",F2127/E2127-1)</f>
        <v/>
      </c>
      <c r="I2127" t="inlineStr"/>
    </row>
    <row r="2128">
      <c r="A2128" t="inlineStr">
        <is>
          <t>Transport equipment</t>
        </is>
      </c>
      <c r="B2128" t="inlineStr">
        <is>
          <t>87</t>
        </is>
      </c>
      <c r="C2128" t="inlineStr">
        <is>
          <t>87149400</t>
        </is>
      </c>
      <c r="D2128" t="inlineStr">
        <is>
          <t>BRAKES,INCL COASTER BRAKING HUBS AND HUB BRAKES AND PRTS THEREOF</t>
        </is>
      </c>
      <c r="E2128" s="3" t="n">
        <v>0</v>
      </c>
      <c r="F2128" s="3" t="n">
        <v>0.01</v>
      </c>
      <c r="G2128" s="3">
        <f>F2128-E2128</f>
        <v/>
      </c>
      <c r="H2128" s="4">
        <f>IF(E2128=0,"",F2128/E2128-1)</f>
        <v/>
      </c>
      <c r="I2128" t="inlineStr"/>
    </row>
    <row r="2129">
      <c r="A2129" t="inlineStr">
        <is>
          <t>Transport equipment</t>
        </is>
      </c>
      <c r="B2129" t="inlineStr">
        <is>
          <t>87</t>
        </is>
      </c>
      <c r="C2129" t="inlineStr">
        <is>
          <t>87149600</t>
        </is>
      </c>
      <c r="D2129" t="inlineStr">
        <is>
          <t>PEDALS AND CRANK-GEAR AND PRTS THEREOF</t>
        </is>
      </c>
      <c r="E2129" s="3" t="n">
        <v>0.02</v>
      </c>
      <c r="F2129" s="3" t="n">
        <v>0.01</v>
      </c>
      <c r="G2129" s="3">
        <f>F2129-E2129</f>
        <v/>
      </c>
      <c r="H2129" s="4">
        <f>IF(E2129=0,"",F2129/E2129-1)</f>
        <v/>
      </c>
      <c r="I2129" t="inlineStr"/>
    </row>
    <row r="2130">
      <c r="A2130" t="inlineStr">
        <is>
          <t>Transport equipment</t>
        </is>
      </c>
      <c r="B2130" t="inlineStr">
        <is>
          <t>87</t>
        </is>
      </c>
      <c r="C2130" t="inlineStr">
        <is>
          <t>87149910</t>
        </is>
      </c>
      <c r="D2130" t="inlineStr">
        <is>
          <t>BICYCLE CHAIN</t>
        </is>
      </c>
      <c r="E2130" s="3" t="n">
        <v>0.01</v>
      </c>
      <c r="F2130" s="3" t="n">
        <v>0.01</v>
      </c>
      <c r="G2130" s="3">
        <f>F2130-E2130</f>
        <v/>
      </c>
      <c r="H2130" s="4">
        <f>IF(E2130=0,"",F2130/E2130-1)</f>
        <v/>
      </c>
      <c r="I2130" t="inlineStr"/>
    </row>
    <row r="2131">
      <c r="A2131" t="inlineStr">
        <is>
          <t>Transport equipment</t>
        </is>
      </c>
      <c r="B2131" t="inlineStr">
        <is>
          <t>87</t>
        </is>
      </c>
      <c r="C2131" t="inlineStr">
        <is>
          <t>87161000</t>
        </is>
      </c>
      <c r="D2131" t="inlineStr">
        <is>
          <t>TRLRS AND SEMI-TRLRS OF CARAVAN TYPE</t>
        </is>
      </c>
      <c r="E2131" s="3" t="n">
        <v>0</v>
      </c>
      <c r="F2131" s="3" t="n">
        <v>0.01</v>
      </c>
      <c r="G2131" s="3">
        <f>F2131-E2131</f>
        <v/>
      </c>
      <c r="H2131" s="4">
        <f>IF(E2131=0,"",F2131/E2131-1)</f>
        <v/>
      </c>
      <c r="I2131" t="inlineStr"/>
    </row>
    <row r="2132">
      <c r="A2132" t="inlineStr">
        <is>
          <t>Transport equipment</t>
        </is>
      </c>
      <c r="B2132" t="inlineStr">
        <is>
          <t>87</t>
        </is>
      </c>
      <c r="C2132" t="inlineStr">
        <is>
          <t>87162000</t>
        </is>
      </c>
      <c r="D2132" t="inlineStr">
        <is>
          <t>SELF-LOADING OR SELF-UNLOADING TRAILERS AND SEMI-TRAILERS FOR AGRICULTURL PURPOSES</t>
        </is>
      </c>
      <c r="E2132" s="3" t="n">
        <v>0.06</v>
      </c>
      <c r="F2132" s="3" t="n">
        <v>0.01</v>
      </c>
      <c r="G2132" s="3">
        <f>F2132-E2132</f>
        <v/>
      </c>
      <c r="H2132" s="4">
        <f>IF(E2132=0,"",F2132/E2132-1)</f>
        <v/>
      </c>
      <c r="I2132" t="inlineStr"/>
    </row>
    <row r="2133">
      <c r="A2133" t="inlineStr">
        <is>
          <t>Transport equipment</t>
        </is>
      </c>
      <c r="B2133" t="inlineStr">
        <is>
          <t>87</t>
        </is>
      </c>
      <c r="C2133" t="inlineStr">
        <is>
          <t>87168010</t>
        </is>
      </c>
      <c r="D2133" t="inlineStr">
        <is>
          <t>HND PRPLD VHCLS(E.G.HND-CRTS,RCKSHWS ETC)</t>
        </is>
      </c>
      <c r="E2133" s="3" t="n">
        <v>0.01</v>
      </c>
      <c r="F2133" s="3" t="n">
        <v>0.01</v>
      </c>
      <c r="G2133" s="3">
        <f>F2133-E2133</f>
        <v/>
      </c>
      <c r="H2133" s="4">
        <f>IF(E2133=0,"",F2133/E2133-1)</f>
        <v/>
      </c>
      <c r="I2133" t="inlineStr"/>
    </row>
    <row r="2134">
      <c r="A2134" t="inlineStr">
        <is>
          <t>Transport equipment</t>
        </is>
      </c>
      <c r="B2134" t="inlineStr">
        <is>
          <t>86</t>
        </is>
      </c>
      <c r="C2134" t="inlineStr">
        <is>
          <t>86072100</t>
        </is>
      </c>
      <c r="D2134" t="inlineStr">
        <is>
          <t>AIR BRAKES AND PARTS THEREOF</t>
        </is>
      </c>
      <c r="E2134" s="3" t="n">
        <v>0</v>
      </c>
      <c r="F2134" s="3" t="n">
        <v>0</v>
      </c>
      <c r="G2134" s="3">
        <f>F2134-E2134</f>
        <v/>
      </c>
      <c r="H2134" s="4">
        <f>IF(E2134=0,"",F2134/E2134-1)</f>
        <v/>
      </c>
      <c r="I2134" t="inlineStr"/>
    </row>
    <row r="2135">
      <c r="A2135" t="inlineStr">
        <is>
          <t>Transport equipment</t>
        </is>
      </c>
      <c r="B2135" t="inlineStr">
        <is>
          <t>86</t>
        </is>
      </c>
      <c r="C2135" t="inlineStr">
        <is>
          <t>86079910</t>
        </is>
      </c>
      <c r="D2135" t="inlineStr">
        <is>
          <t>PARTS OF COACH FOR RAILWAY</t>
        </is>
      </c>
      <c r="E2135" s="3" t="n">
        <v>0</v>
      </c>
      <c r="F2135" s="3" t="n">
        <v>0</v>
      </c>
      <c r="G2135" s="3">
        <f>F2135-E2135</f>
        <v/>
      </c>
      <c r="H2135" s="4">
        <f>IF(E2135=0,"",F2135/E2135-1)</f>
        <v/>
      </c>
      <c r="I2135" t="inlineStr"/>
    </row>
    <row r="2136">
      <c r="A2136" t="inlineStr">
        <is>
          <t>Transport equipment</t>
        </is>
      </c>
      <c r="B2136" t="inlineStr">
        <is>
          <t>87</t>
        </is>
      </c>
      <c r="C2136" t="inlineStr">
        <is>
          <t>87012900</t>
        </is>
      </c>
      <c r="D2136" t="inlineStr">
        <is>
          <t>Road tractors for semi-trailers: Other</t>
        </is>
      </c>
      <c r="E2136" s="3" t="n">
        <v>0.17</v>
      </c>
      <c r="F2136" s="3" t="n">
        <v>0</v>
      </c>
      <c r="G2136" s="3">
        <f>F2136-E2136</f>
        <v/>
      </c>
      <c r="H2136" s="4">
        <f>IF(E2136=0,"",F2136/E2136-1)</f>
        <v/>
      </c>
      <c r="I2136" t="inlineStr"/>
    </row>
    <row r="2137">
      <c r="A2137" t="inlineStr">
        <is>
          <t>Transport equipment</t>
        </is>
      </c>
      <c r="B2137" t="inlineStr">
        <is>
          <t>87</t>
        </is>
      </c>
      <c r="C2137" t="inlineStr">
        <is>
          <t>87021029</t>
        </is>
      </c>
      <c r="D2137" t="inlineStr">
        <is>
          <t>OTHER, NON AIR-CONDITIONED</t>
        </is>
      </c>
      <c r="E2137" s="3" t="n">
        <v>0.67</v>
      </c>
      <c r="F2137" s="3" t="n">
        <v>0</v>
      </c>
      <c r="G2137" s="3">
        <f>F2137-E2137</f>
        <v/>
      </c>
      <c r="H2137" s="4">
        <f>IF(E2137=0,"",F2137/E2137-1)</f>
        <v/>
      </c>
      <c r="I2137" t="inlineStr"/>
    </row>
    <row r="2138">
      <c r="A2138" t="inlineStr">
        <is>
          <t>Transport equipment</t>
        </is>
      </c>
      <c r="B2138" t="inlineStr">
        <is>
          <t>87</t>
        </is>
      </c>
      <c r="C2138" t="inlineStr">
        <is>
          <t>87059000</t>
        </is>
      </c>
      <c r="D2138" t="inlineStr">
        <is>
          <t>*OTHR SPCL PURPOSE MOTOR VEHICLES</t>
        </is>
      </c>
      <c r="E2138" s="3" t="n">
        <v>14.53</v>
      </c>
      <c r="F2138" s="3" t="n">
        <v>0</v>
      </c>
      <c r="G2138" s="3">
        <f>F2138-E2138</f>
        <v/>
      </c>
      <c r="H2138" s="4">
        <f>IF(E2138=0,"",F2138/E2138-1)</f>
        <v/>
      </c>
      <c r="I2138" t="inlineStr"/>
    </row>
    <row r="2139">
      <c r="A2139" t="inlineStr">
        <is>
          <t>Transport equipment</t>
        </is>
      </c>
      <c r="B2139" t="inlineStr">
        <is>
          <t>87</t>
        </is>
      </c>
      <c r="C2139" t="inlineStr">
        <is>
          <t>87099000</t>
        </is>
      </c>
      <c r="D2139" t="inlineStr">
        <is>
          <t>PARTS OF THE VEHICLES OF HDG 8709</t>
        </is>
      </c>
      <c r="E2139" s="3" t="n">
        <v>0.01</v>
      </c>
      <c r="F2139" s="3" t="n">
        <v>0</v>
      </c>
      <c r="G2139" s="3">
        <f>F2139-E2139</f>
        <v/>
      </c>
      <c r="H2139" s="4">
        <f>IF(E2139=0,"",F2139/E2139-1)</f>
        <v/>
      </c>
      <c r="I2139" t="inlineStr"/>
    </row>
    <row r="2140">
      <c r="A2140" t="inlineStr">
        <is>
          <t>Transport equipment</t>
        </is>
      </c>
      <c r="B2140" t="inlineStr">
        <is>
          <t>87</t>
        </is>
      </c>
      <c r="C2140" t="inlineStr">
        <is>
          <t>87131090</t>
        </is>
      </c>
      <c r="D2140" t="inlineStr">
        <is>
          <t>OTHR INVALID CARRIAGES NT MCHNCLY PRPLD</t>
        </is>
      </c>
      <c r="E2140" s="3" t="n">
        <v>0.03</v>
      </c>
      <c r="F2140" s="3" t="n">
        <v>0</v>
      </c>
      <c r="G2140" s="3">
        <f>F2140-E2140</f>
        <v/>
      </c>
      <c r="H2140" s="4">
        <f>IF(E2140=0,"",F2140/E2140-1)</f>
        <v/>
      </c>
      <c r="I2140" t="inlineStr"/>
    </row>
    <row r="2141">
      <c r="A2141" t="inlineStr">
        <is>
          <t>Transport equipment</t>
        </is>
      </c>
      <c r="B2141" t="inlineStr">
        <is>
          <t>87</t>
        </is>
      </c>
      <c r="C2141" t="inlineStr">
        <is>
          <t>87139090</t>
        </is>
      </c>
      <c r="D2141" t="inlineStr">
        <is>
          <t>OTHR INVALID CARRIAGES MCHNCLY PRPLD</t>
        </is>
      </c>
      <c r="E2141" s="3" t="n">
        <v>0</v>
      </c>
      <c r="F2141" s="3" t="n">
        <v>0</v>
      </c>
      <c r="G2141" s="3">
        <f>F2141-E2141</f>
        <v/>
      </c>
      <c r="H2141" s="4">
        <f>IF(E2141=0,"",F2141/E2141-1)</f>
        <v/>
      </c>
      <c r="I2141" t="inlineStr"/>
    </row>
    <row r="2142">
      <c r="A2142" t="inlineStr">
        <is>
          <t>Transport equipment</t>
        </is>
      </c>
      <c r="B2142" t="inlineStr">
        <is>
          <t>87</t>
        </is>
      </c>
      <c r="C2142" t="inlineStr">
        <is>
          <t>87142090</t>
        </is>
      </c>
      <c r="D2142" t="inlineStr">
        <is>
          <t>OTHERS-OF-PRTS AND ACCSSRS OF INVALID CARRIAGES</t>
        </is>
      </c>
      <c r="E2142" s="3" t="n">
        <v>0.01</v>
      </c>
      <c r="F2142" s="3" t="n">
        <v>0</v>
      </c>
      <c r="G2142" s="3">
        <f>F2142-E2142</f>
        <v/>
      </c>
      <c r="H2142" s="4">
        <f>IF(E2142=0,"",F2142/E2142-1)</f>
        <v/>
      </c>
      <c r="I2142" t="inlineStr"/>
    </row>
    <row r="2143">
      <c r="A2143" t="inlineStr">
        <is>
          <t>Transport equipment</t>
        </is>
      </c>
      <c r="B2143" t="inlineStr">
        <is>
          <t>87</t>
        </is>
      </c>
      <c r="C2143" t="inlineStr">
        <is>
          <t>87149210</t>
        </is>
      </c>
      <c r="D2143" t="inlineStr">
        <is>
          <t>BICYCLE RIMS</t>
        </is>
      </c>
      <c r="E2143" s="3" t="n">
        <v>0</v>
      </c>
      <c r="F2143" s="3" t="n">
        <v>0</v>
      </c>
      <c r="G2143" s="3">
        <f>F2143-E2143</f>
        <v/>
      </c>
      <c r="H2143" s="4">
        <f>IF(E2143=0,"",F2143/E2143-1)</f>
        <v/>
      </c>
      <c r="I2143" t="inlineStr"/>
    </row>
    <row r="2144">
      <c r="A2144" t="inlineStr">
        <is>
          <t>Transport equipment</t>
        </is>
      </c>
      <c r="B2144" t="inlineStr">
        <is>
          <t>87</t>
        </is>
      </c>
      <c r="C2144" t="inlineStr">
        <is>
          <t>87149310</t>
        </is>
      </c>
      <c r="D2144" t="inlineStr">
        <is>
          <t>BICYCLE HUBS</t>
        </is>
      </c>
      <c r="E2144" s="3" t="n">
        <v>0</v>
      </c>
      <c r="F2144" s="3" t="n">
        <v>0</v>
      </c>
      <c r="G2144" s="3">
        <f>F2144-E2144</f>
        <v/>
      </c>
      <c r="H2144" s="4">
        <f>IF(E2144=0,"",F2144/E2144-1)</f>
        <v/>
      </c>
      <c r="I2144" t="inlineStr"/>
    </row>
    <row r="2145">
      <c r="A2145" t="inlineStr">
        <is>
          <t>Transport equipment</t>
        </is>
      </c>
      <c r="B2145" t="inlineStr">
        <is>
          <t>87</t>
        </is>
      </c>
      <c r="C2145" t="inlineStr">
        <is>
          <t>87149390</t>
        </is>
      </c>
      <c r="D2145" t="inlineStr">
        <is>
          <t>OTHERS-OF-HUBS,EXCL COASTER BRKNG HUBS AND HUB BRAKES,AND FREE-WHEEL,SPROCKET-WHEELS</t>
        </is>
      </c>
      <c r="E2145" s="3" t="n">
        <v>0.01</v>
      </c>
      <c r="F2145" s="3" t="n">
        <v>0</v>
      </c>
      <c r="G2145" s="3">
        <f>F2145-E2145</f>
        <v/>
      </c>
      <c r="H2145" s="4">
        <f>IF(E2145=0,"",F2145/E2145-1)</f>
        <v/>
      </c>
      <c r="I2145" t="inlineStr"/>
    </row>
    <row r="2146">
      <c r="A2146" t="inlineStr">
        <is>
          <t>Transport equipment</t>
        </is>
      </c>
      <c r="B2146" t="inlineStr">
        <is>
          <t>87</t>
        </is>
      </c>
      <c r="C2146" t="inlineStr">
        <is>
          <t>87149920</t>
        </is>
      </c>
      <c r="D2146" t="inlineStr">
        <is>
          <t>BICYCLE WHEELS</t>
        </is>
      </c>
      <c r="E2146" s="3" t="n">
        <v>0.02</v>
      </c>
      <c r="F2146" s="3" t="n">
        <v>0</v>
      </c>
      <c r="G2146" s="3">
        <f>F2146-E2146</f>
        <v/>
      </c>
      <c r="H2146" s="4">
        <f>IF(E2146=0,"",F2146/E2146-1)</f>
        <v/>
      </c>
      <c r="I2146" t="inlineStr"/>
    </row>
    <row r="2147">
      <c r="A2147" t="inlineStr">
        <is>
          <t>Transport equipment</t>
        </is>
      </c>
      <c r="B2147" t="inlineStr">
        <is>
          <t>87</t>
        </is>
      </c>
      <c r="C2147" t="inlineStr">
        <is>
          <t>87150010</t>
        </is>
      </c>
      <c r="D2147" t="inlineStr">
        <is>
          <t>BABY AND INVALID CARRIAGES</t>
        </is>
      </c>
      <c r="E2147" s="3" t="n">
        <v>0.02</v>
      </c>
      <c r="F2147" s="3" t="n">
        <v>0</v>
      </c>
      <c r="G2147" s="3">
        <f>F2147-E2147</f>
        <v/>
      </c>
      <c r="H2147" s="4">
        <f>IF(E2147=0,"",F2147/E2147-1)</f>
        <v/>
      </c>
      <c r="I2147" t="inlineStr"/>
    </row>
    <row r="2148">
      <c r="A2148" t="inlineStr">
        <is>
          <t>Transport equipment</t>
        </is>
      </c>
      <c r="B2148" t="inlineStr">
        <is>
          <t>87</t>
        </is>
      </c>
      <c r="C2148" t="inlineStr">
        <is>
          <t>87164000</t>
        </is>
      </c>
      <c r="D2148" t="inlineStr">
        <is>
          <t>OTHR TRAILERS AND SEMI-TRAILERS</t>
        </is>
      </c>
      <c r="E2148" s="3" t="n">
        <v>0.03</v>
      </c>
      <c r="F2148" s="3" t="n">
        <v>0</v>
      </c>
      <c r="G2148" s="3">
        <f>F2148-E2148</f>
        <v/>
      </c>
      <c r="H2148" s="4">
        <f>IF(E2148=0,"",F2148/E2148-1)</f>
        <v/>
      </c>
      <c r="I2148" t="inlineStr"/>
    </row>
    <row r="2149">
      <c r="A2149" t="inlineStr">
        <is>
          <t>Transport equipment</t>
        </is>
      </c>
      <c r="B2149" t="inlineStr">
        <is>
          <t>88</t>
        </is>
      </c>
      <c r="C2149" t="inlineStr">
        <is>
          <t>88010010</t>
        </is>
      </c>
      <c r="D2149" t="inlineStr">
        <is>
          <t>GLIDERS AND HANG GLIDERS</t>
        </is>
      </c>
      <c r="E2149" s="3" t="n">
        <v>0</v>
      </c>
      <c r="F2149" s="3" t="n">
        <v>0</v>
      </c>
      <c r="G2149" s="3">
        <f>F2149-E2149</f>
        <v/>
      </c>
      <c r="H2149" s="4">
        <f>IF(E2149=0,"",F2149/E2149-1)</f>
        <v/>
      </c>
      <c r="I2149" t="inlineStr"/>
    </row>
    <row r="2150">
      <c r="A2150" t="inlineStr">
        <is>
          <t>Transport equipment</t>
        </is>
      </c>
      <c r="B2150" t="inlineStr">
        <is>
          <t>88</t>
        </is>
      </c>
      <c r="C2150" t="inlineStr">
        <is>
          <t>88073000</t>
        </is>
      </c>
      <c r="D2150" t="inlineStr">
        <is>
          <t>*OTHER PARTS OF AIRPLANES, HELICOPTERS OR UNMANNED AIRCRAFT</t>
        </is>
      </c>
      <c r="E2150" s="3" t="n">
        <v>0.8</v>
      </c>
      <c r="F2150" s="3" t="n">
        <v>0</v>
      </c>
      <c r="G2150" s="3">
        <f>F2150-E2150</f>
        <v/>
      </c>
      <c r="H2150" s="4">
        <f>IF(E2150=0,"",F2150/E2150-1)</f>
        <v/>
      </c>
      <c r="I2150" t="inlineStr"/>
    </row>
    <row r="2151">
      <c r="A2151" t="inlineStr">
        <is>
          <t>Transport equipment</t>
        </is>
      </c>
      <c r="B2151" t="inlineStr">
        <is>
          <t>89</t>
        </is>
      </c>
      <c r="C2151" t="inlineStr">
        <is>
          <t>89051000</t>
        </is>
      </c>
      <c r="D2151" t="inlineStr">
        <is>
          <t>DREDGERS</t>
        </is>
      </c>
      <c r="E2151" s="3" t="n">
        <v>156.77</v>
      </c>
      <c r="F2151" s="3" t="n">
        <v>0</v>
      </c>
      <c r="G2151" s="3">
        <f>F2151-E2151</f>
        <v/>
      </c>
      <c r="H2151" s="4">
        <f>IF(E2151=0,"",F2151/E2151-1)</f>
        <v/>
      </c>
      <c r="I2151" t="inlineStr"/>
    </row>
    <row r="2152">
      <c r="A2152" t="inlineStr">
        <is>
          <t>Transport equipment</t>
        </is>
      </c>
      <c r="B2152" t="inlineStr">
        <is>
          <t>89</t>
        </is>
      </c>
      <c r="C2152" t="inlineStr">
        <is>
          <t>89059090</t>
        </is>
      </c>
      <c r="D2152" t="inlineStr">
        <is>
          <t>OTHER UNDER HDNG 8905</t>
        </is>
      </c>
      <c r="E2152" s="3" t="n">
        <v>37.29</v>
      </c>
      <c r="F2152" s="3" t="n">
        <v>0</v>
      </c>
      <c r="G2152" s="3">
        <f>F2152-E2152</f>
        <v/>
      </c>
      <c r="H2152" s="4">
        <f>IF(E2152=0,"",F2152/E2152-1)</f>
        <v/>
      </c>
      <c r="I2152" t="inlineStr"/>
    </row>
    <row r="2153">
      <c r="A2153" t="inlineStr">
        <is>
          <t>Transport equipment</t>
        </is>
      </c>
      <c r="B2153" t="inlineStr">
        <is>
          <t>89</t>
        </is>
      </c>
      <c r="C2153" t="inlineStr">
        <is>
          <t>89069000</t>
        </is>
      </c>
      <c r="D2153" t="inlineStr">
        <is>
          <t>*OTHER UNDER HDNG 8906</t>
        </is>
      </c>
      <c r="E2153" s="3" t="n">
        <v>1811.8</v>
      </c>
      <c r="F2153" s="3" t="n">
        <v>0</v>
      </c>
      <c r="G2153" s="3">
        <f>F2153-E2153</f>
        <v/>
      </c>
      <c r="H2153" s="4">
        <f>IF(E2153=0,"",F2153/E2153-1)</f>
        <v/>
      </c>
      <c r="I2153" t="inlineStr"/>
    </row>
    <row r="2154">
      <c r="A2154" s="6" t="inlineStr">
        <is>
          <t>Base metals &amp; articles  —  747 lines</t>
        </is>
      </c>
      <c r="B2154" s="6" t="inlineStr"/>
      <c r="C2154" s="6" t="inlineStr"/>
      <c r="D2154" s="6" t="inlineStr"/>
      <c r="E2154" s="7" t="n">
        <v>2205.64</v>
      </c>
      <c r="F2154" s="7" t="n">
        <v>2024.14</v>
      </c>
      <c r="G2154" s="7" t="n">
        <v>-181.5</v>
      </c>
      <c r="H2154" s="8" t="n">
        <v>-0.08228904082262345</v>
      </c>
      <c r="I2154" s="6" t="inlineStr"/>
    </row>
    <row r="2155">
      <c r="A2155" t="inlineStr">
        <is>
          <t>Base metals &amp; articles</t>
        </is>
      </c>
      <c r="B2155" t="inlineStr">
        <is>
          <t>73</t>
        </is>
      </c>
      <c r="C2155" t="inlineStr">
        <is>
          <t>73082011</t>
        </is>
      </c>
      <c r="D2155" t="inlineStr">
        <is>
          <t>T0WERS FOR TRANSMISSI0N LINE W/N ASSEMBLED</t>
        </is>
      </c>
      <c r="E2155" s="3" t="n">
        <v>39.67</v>
      </c>
      <c r="F2155" s="3" t="n">
        <v>352.51</v>
      </c>
      <c r="G2155" s="3">
        <f>F2155-E2155</f>
        <v/>
      </c>
      <c r="H2155" s="4">
        <f>IF(E2155=0,"",F2155/E2155-1)</f>
        <v/>
      </c>
      <c r="I2155" t="inlineStr"/>
    </row>
    <row r="2156">
      <c r="A2156" t="inlineStr">
        <is>
          <t>Base metals &amp; articles</t>
        </is>
      </c>
      <c r="B2156" t="inlineStr">
        <is>
          <t>72</t>
        </is>
      </c>
      <c r="C2156" t="inlineStr">
        <is>
          <t>72027000</t>
        </is>
      </c>
      <c r="D2156" t="inlineStr">
        <is>
          <t>FERRO-MOLYBDENUM</t>
        </is>
      </c>
      <c r="E2156" s="3" t="n">
        <v>48.24</v>
      </c>
      <c r="F2156" s="3" t="n">
        <v>153.07</v>
      </c>
      <c r="G2156" s="3">
        <f>F2156-E2156</f>
        <v/>
      </c>
      <c r="H2156" s="4">
        <f>IF(E2156=0,"",F2156/E2156-1)</f>
        <v/>
      </c>
      <c r="I2156" t="inlineStr"/>
    </row>
    <row r="2157">
      <c r="A2157" t="inlineStr">
        <is>
          <t>Base metals &amp; articles</t>
        </is>
      </c>
      <c r="B2157" t="inlineStr">
        <is>
          <t>72</t>
        </is>
      </c>
      <c r="C2157" t="inlineStr">
        <is>
          <t>72023000</t>
        </is>
      </c>
      <c r="D2157" t="inlineStr">
        <is>
          <t>FERRO-SILICO-MANGANESE</t>
        </is>
      </c>
      <c r="E2157" s="3" t="n">
        <v>244.7</v>
      </c>
      <c r="F2157" s="3" t="n">
        <v>147.11</v>
      </c>
      <c r="G2157" s="3">
        <f>F2157-E2157</f>
        <v/>
      </c>
      <c r="H2157" s="4">
        <f>IF(E2157=0,"",F2157/E2157-1)</f>
        <v/>
      </c>
      <c r="I2157" t="inlineStr"/>
    </row>
    <row r="2158">
      <c r="A2158" t="inlineStr">
        <is>
          <t>Base metals &amp; articles</t>
        </is>
      </c>
      <c r="B2158" t="inlineStr">
        <is>
          <t>79</t>
        </is>
      </c>
      <c r="C2158" t="inlineStr">
        <is>
          <t>79011100</t>
        </is>
      </c>
      <c r="D2158" t="inlineStr">
        <is>
          <t>ZINC,NOT ALLOYD,CONTNG BY WT&gt;=99.99% ZINC</t>
        </is>
      </c>
      <c r="E2158" s="3" t="n">
        <v>104.57</v>
      </c>
      <c r="F2158" s="3" t="n">
        <v>66.8</v>
      </c>
      <c r="G2158" s="3">
        <f>F2158-E2158</f>
        <v/>
      </c>
      <c r="H2158" s="4">
        <f>IF(E2158=0,"",F2158/E2158-1)</f>
        <v/>
      </c>
      <c r="I2158" t="inlineStr"/>
    </row>
    <row r="2159">
      <c r="A2159" t="inlineStr">
        <is>
          <t>Base metals &amp; articles</t>
        </is>
      </c>
      <c r="B2159" t="inlineStr">
        <is>
          <t>72</t>
        </is>
      </c>
      <c r="C2159" t="inlineStr">
        <is>
          <t>72101290</t>
        </is>
      </c>
      <c r="D2159" t="inlineStr">
        <is>
          <t>OTHER PLATES,SHEETS,STRIPS</t>
        </is>
      </c>
      <c r="E2159" s="3" t="n">
        <v>76.09999999999999</v>
      </c>
      <c r="F2159" s="3" t="n">
        <v>63.46</v>
      </c>
      <c r="G2159" s="3">
        <f>F2159-E2159</f>
        <v/>
      </c>
      <c r="H2159" s="4">
        <f>IF(E2159=0,"",F2159/E2159-1)</f>
        <v/>
      </c>
      <c r="I2159" t="inlineStr"/>
    </row>
    <row r="2160">
      <c r="A2160" t="inlineStr">
        <is>
          <t>Base metals &amp; articles</t>
        </is>
      </c>
      <c r="B2160" t="inlineStr">
        <is>
          <t>73</t>
        </is>
      </c>
      <c r="C2160" t="inlineStr">
        <is>
          <t>73051121</t>
        </is>
      </c>
      <c r="D2160" t="inlineStr">
        <is>
          <t>*NON-GALVAN PIPE OF IRON FOR OIL OR GAS LONGITUDINALLY SUBMERGED ARC WELDED</t>
        </is>
      </c>
      <c r="E2160" s="3" t="n">
        <v>0</v>
      </c>
      <c r="F2160" s="3" t="n">
        <v>58.69</v>
      </c>
      <c r="G2160" s="3">
        <f>F2160-E2160</f>
        <v/>
      </c>
      <c r="H2160" s="4">
        <f>IF(E2160=0,"",F2160/E2160-1)</f>
        <v/>
      </c>
      <c r="I2160" t="inlineStr"/>
    </row>
    <row r="2161">
      <c r="A2161" t="inlineStr">
        <is>
          <t>Base metals &amp; articles</t>
        </is>
      </c>
      <c r="B2161" t="inlineStr">
        <is>
          <t>73</t>
        </is>
      </c>
      <c r="C2161" t="inlineStr">
        <is>
          <t>73089090</t>
        </is>
      </c>
      <c r="D2161" t="inlineStr">
        <is>
          <t>OTHER STRUCTURE AND PARTS OF STRUCTURES OF IRON AND STEEL(EXCL FLOATING STRUCTURES)</t>
        </is>
      </c>
      <c r="E2161" s="3" t="n">
        <v>40.97</v>
      </c>
      <c r="F2161" s="3" t="n">
        <v>47.62</v>
      </c>
      <c r="G2161" s="3">
        <f>F2161-E2161</f>
        <v/>
      </c>
      <c r="H2161" s="4">
        <f>IF(E2161=0,"",F2161/E2161-1)</f>
        <v/>
      </c>
      <c r="I2161" t="inlineStr"/>
    </row>
    <row r="2162">
      <c r="A2162" t="inlineStr">
        <is>
          <t>Base metals &amp; articles</t>
        </is>
      </c>
      <c r="B2162" t="inlineStr">
        <is>
          <t>73</t>
        </is>
      </c>
      <c r="C2162" t="inlineStr">
        <is>
          <t>73259100</t>
        </is>
      </c>
      <c r="D2162" t="inlineStr">
        <is>
          <t>GRINDNG BALLS AND SMLR ARTCLS FOR MILLS OF MALLEABLE CAST IRON</t>
        </is>
      </c>
      <c r="E2162" s="3" t="n">
        <v>45.77</v>
      </c>
      <c r="F2162" s="3" t="n">
        <v>46.15</v>
      </c>
      <c r="G2162" s="3">
        <f>F2162-E2162</f>
        <v/>
      </c>
      <c r="H2162" s="4">
        <f>IF(E2162=0,"",F2162/E2162-1)</f>
        <v/>
      </c>
      <c r="I2162" t="inlineStr"/>
    </row>
    <row r="2163">
      <c r="A2163" t="inlineStr">
        <is>
          <t>Base metals &amp; articles</t>
        </is>
      </c>
      <c r="B2163" t="inlineStr">
        <is>
          <t>73</t>
        </is>
      </c>
      <c r="C2163" t="inlineStr">
        <is>
          <t>73061929</t>
        </is>
      </c>
      <c r="D2163" t="inlineStr">
        <is>
          <t>*NON-GALVAN PIPE OF OTHER FOR OIL OR GAS</t>
        </is>
      </c>
      <c r="E2163" s="3" t="n">
        <v>43.8</v>
      </c>
      <c r="F2163" s="3" t="n">
        <v>44.55</v>
      </c>
      <c r="G2163" s="3">
        <f>F2163-E2163</f>
        <v/>
      </c>
      <c r="H2163" s="4">
        <f>IF(E2163=0,"",F2163/E2163-1)</f>
        <v/>
      </c>
      <c r="I2163" t="inlineStr"/>
    </row>
    <row r="2164">
      <c r="A2164" t="inlineStr">
        <is>
          <t>Base metals &amp; articles</t>
        </is>
      </c>
      <c r="B2164" t="inlineStr">
        <is>
          <t>76</t>
        </is>
      </c>
      <c r="C2164" t="inlineStr">
        <is>
          <t>76051100</t>
        </is>
      </c>
      <c r="D2164" t="inlineStr">
        <is>
          <t>ALUMINIUM WIRE-NOT ALLOYED-OF WHICH THE MAXIMUM CROSS-SCTNL DIMENSION EXCEEDS 7 MM</t>
        </is>
      </c>
      <c r="E2164" s="3" t="n">
        <v>119.39</v>
      </c>
      <c r="F2164" s="3" t="n">
        <v>44.29</v>
      </c>
      <c r="G2164" s="3">
        <f>F2164-E2164</f>
        <v/>
      </c>
      <c r="H2164" s="4">
        <f>IF(E2164=0,"",F2164/E2164-1)</f>
        <v/>
      </c>
      <c r="I2164" t="inlineStr"/>
    </row>
    <row r="2165">
      <c r="A2165" t="inlineStr">
        <is>
          <t>Base metals &amp; articles</t>
        </is>
      </c>
      <c r="B2165" t="inlineStr">
        <is>
          <t>73</t>
        </is>
      </c>
      <c r="C2165" t="inlineStr">
        <is>
          <t>73082019</t>
        </is>
      </c>
      <c r="D2165" t="inlineStr">
        <is>
          <t>T0WERS F0R 0THER PURP0SES W/N ASSEMBLED</t>
        </is>
      </c>
      <c r="E2165" s="3" t="n">
        <v>12.07</v>
      </c>
      <c r="F2165" s="3" t="n">
        <v>43.62</v>
      </c>
      <c r="G2165" s="3">
        <f>F2165-E2165</f>
        <v/>
      </c>
      <c r="H2165" s="4">
        <f>IF(E2165=0,"",F2165/E2165-1)</f>
        <v/>
      </c>
      <c r="I2165" t="inlineStr"/>
    </row>
    <row r="2166">
      <c r="A2166" t="inlineStr">
        <is>
          <t>Base metals &amp; articles</t>
        </is>
      </c>
      <c r="B2166" t="inlineStr">
        <is>
          <t>73</t>
        </is>
      </c>
      <c r="C2166" t="inlineStr">
        <is>
          <t>73079190</t>
        </is>
      </c>
      <c r="D2166" t="inlineStr">
        <is>
          <t>NON-GALVANISED</t>
        </is>
      </c>
      <c r="E2166" s="3" t="n">
        <v>34.66</v>
      </c>
      <c r="F2166" s="3" t="n">
        <v>38.31</v>
      </c>
      <c r="G2166" s="3">
        <f>F2166-E2166</f>
        <v/>
      </c>
      <c r="H2166" s="4">
        <f>IF(E2166=0,"",F2166/E2166-1)</f>
        <v/>
      </c>
      <c r="I2166" t="inlineStr"/>
    </row>
    <row r="2167">
      <c r="A2167" t="inlineStr">
        <is>
          <t>Base metals &amp; articles</t>
        </is>
      </c>
      <c r="B2167" t="inlineStr">
        <is>
          <t>72</t>
        </is>
      </c>
      <c r="C2167" t="inlineStr">
        <is>
          <t>72022100</t>
        </is>
      </c>
      <c r="D2167" t="inlineStr">
        <is>
          <t>FERRO-SILICON CONTNG&gt;55% OF SILICON</t>
        </is>
      </c>
      <c r="E2167" s="3" t="n">
        <v>12.62</v>
      </c>
      <c r="F2167" s="3" t="n">
        <v>28.24</v>
      </c>
      <c r="G2167" s="3">
        <f>F2167-E2167</f>
        <v/>
      </c>
      <c r="H2167" s="4">
        <f>IF(E2167=0,"",F2167/E2167-1)</f>
        <v/>
      </c>
      <c r="I2167" t="inlineStr"/>
    </row>
    <row r="2168">
      <c r="A2168" t="inlineStr">
        <is>
          <t>Base metals &amp; articles</t>
        </is>
      </c>
      <c r="B2168" t="inlineStr">
        <is>
          <t>73</t>
        </is>
      </c>
      <c r="C2168" t="inlineStr">
        <is>
          <t>73090090</t>
        </is>
      </c>
      <c r="D2168" t="inlineStr">
        <is>
          <t>RESERVRS,TANKS,VATS ETC.OF IRN/STL N.E.S.</t>
        </is>
      </c>
      <c r="E2168" s="3" t="n">
        <v>9.26</v>
      </c>
      <c r="F2168" s="3" t="n">
        <v>27.59</v>
      </c>
      <c r="G2168" s="3">
        <f>F2168-E2168</f>
        <v/>
      </c>
      <c r="H2168" s="4">
        <f>IF(E2168=0,"",F2168/E2168-1)</f>
        <v/>
      </c>
      <c r="I2168" t="inlineStr"/>
    </row>
    <row r="2169">
      <c r="A2169" t="inlineStr">
        <is>
          <t>Base metals &amp; articles</t>
        </is>
      </c>
      <c r="B2169" t="inlineStr">
        <is>
          <t>72</t>
        </is>
      </c>
      <c r="C2169" t="inlineStr">
        <is>
          <t>72083840</t>
        </is>
      </c>
      <c r="D2169" t="inlineStr">
        <is>
          <t>STRIPS OF FLAT-ROLD PRDCTS IN COILS OF A THCKNS&gt;=3 BUT&lt; 4.75MM HOT-RLD,EXCL.PICKL</t>
        </is>
      </c>
      <c r="E2169" s="3" t="n">
        <v>59.21</v>
      </c>
      <c r="F2169" s="3" t="n">
        <v>27.19</v>
      </c>
      <c r="G2169" s="3">
        <f>F2169-E2169</f>
        <v/>
      </c>
      <c r="H2169" s="4">
        <f>IF(E2169=0,"",F2169/E2169-1)</f>
        <v/>
      </c>
      <c r="I2169" t="inlineStr"/>
    </row>
    <row r="2170">
      <c r="A2170" t="inlineStr">
        <is>
          <t>Base metals &amp; articles</t>
        </is>
      </c>
      <c r="B2170" t="inlineStr">
        <is>
          <t>73</t>
        </is>
      </c>
      <c r="C2170" t="inlineStr">
        <is>
          <t>73071120</t>
        </is>
      </c>
      <c r="D2170" t="inlineStr">
        <is>
          <t>SG IRON CAST FITTINGS</t>
        </is>
      </c>
      <c r="E2170" s="3" t="n">
        <v>12.56</v>
      </c>
      <c r="F2170" s="3" t="n">
        <v>23.6</v>
      </c>
      <c r="G2170" s="3">
        <f>F2170-E2170</f>
        <v/>
      </c>
      <c r="H2170" s="4">
        <f>IF(E2170=0,"",F2170/E2170-1)</f>
        <v/>
      </c>
      <c r="I2170" t="inlineStr"/>
    </row>
    <row r="2171">
      <c r="A2171" t="inlineStr">
        <is>
          <t>Base metals &amp; articles</t>
        </is>
      </c>
      <c r="B2171" t="inlineStr">
        <is>
          <t>74</t>
        </is>
      </c>
      <c r="C2171" t="inlineStr">
        <is>
          <t>74101100</t>
        </is>
      </c>
      <c r="D2171" t="inlineStr">
        <is>
          <t>FOIL OF REFINED COPPER,NOT BACKED</t>
        </is>
      </c>
      <c r="E2171" s="3" t="n">
        <v>24.52</v>
      </c>
      <c r="F2171" s="3" t="n">
        <v>22.04</v>
      </c>
      <c r="G2171" s="3">
        <f>F2171-E2171</f>
        <v/>
      </c>
      <c r="H2171" s="4">
        <f>IF(E2171=0,"",F2171/E2171-1)</f>
        <v/>
      </c>
      <c r="I2171" t="inlineStr"/>
    </row>
    <row r="2172">
      <c r="A2172" t="inlineStr">
        <is>
          <t>Base metals &amp; articles</t>
        </is>
      </c>
      <c r="B2172" t="inlineStr">
        <is>
          <t>72</t>
        </is>
      </c>
      <c r="C2172" t="inlineStr">
        <is>
          <t>72021100</t>
        </is>
      </c>
      <c r="D2172" t="inlineStr">
        <is>
          <t>FERO-MANGANESE,CARBON CONTNG&gt;2% BY WEIGHT</t>
        </is>
      </c>
      <c r="E2172" s="3" t="n">
        <v>101.34</v>
      </c>
      <c r="F2172" s="3" t="n">
        <v>21.86</v>
      </c>
      <c r="G2172" s="3">
        <f>F2172-E2172</f>
        <v/>
      </c>
      <c r="H2172" s="4">
        <f>IF(E2172=0,"",F2172/E2172-1)</f>
        <v/>
      </c>
      <c r="I2172" t="inlineStr"/>
    </row>
    <row r="2173">
      <c r="A2173" t="inlineStr">
        <is>
          <t>Base metals &amp; articles</t>
        </is>
      </c>
      <c r="B2173" t="inlineStr">
        <is>
          <t>73</t>
        </is>
      </c>
      <c r="C2173" t="inlineStr">
        <is>
          <t>73084000</t>
        </is>
      </c>
      <c r="D2173" t="inlineStr">
        <is>
          <t>PROPS AND SMLR EQUIPMENT FOR SCAFFOLDING, SHUTTERING OR PIT-PROPPING</t>
        </is>
      </c>
      <c r="E2173" s="3" t="n">
        <v>11.1</v>
      </c>
      <c r="F2173" s="3" t="n">
        <v>21.83</v>
      </c>
      <c r="G2173" s="3">
        <f>F2173-E2173</f>
        <v/>
      </c>
      <c r="H2173" s="4">
        <f>IF(E2173=0,"",F2173/E2173-1)</f>
        <v/>
      </c>
      <c r="I2173" t="inlineStr"/>
    </row>
    <row r="2174">
      <c r="A2174" t="inlineStr">
        <is>
          <t>Base metals &amp; articles</t>
        </is>
      </c>
      <c r="B2174" t="inlineStr">
        <is>
          <t>73</t>
        </is>
      </c>
      <c r="C2174" t="inlineStr">
        <is>
          <t>73030030</t>
        </is>
      </c>
      <c r="D2174" t="inlineStr">
        <is>
          <t>SPUN PIPE</t>
        </is>
      </c>
      <c r="E2174" s="3" t="n">
        <v>1.71</v>
      </c>
      <c r="F2174" s="3" t="n">
        <v>21.23</v>
      </c>
      <c r="G2174" s="3">
        <f>F2174-E2174</f>
        <v/>
      </c>
      <c r="H2174" s="4">
        <f>IF(E2174=0,"",F2174/E2174-1)</f>
        <v/>
      </c>
      <c r="I2174" t="inlineStr"/>
    </row>
    <row r="2175">
      <c r="A2175" t="inlineStr">
        <is>
          <t>Base metals &amp; articles</t>
        </is>
      </c>
      <c r="B2175" t="inlineStr">
        <is>
          <t>73</t>
        </is>
      </c>
      <c r="C2175" t="inlineStr">
        <is>
          <t>73181500</t>
        </is>
      </c>
      <c r="D2175" t="inlineStr">
        <is>
          <t>OTHR SCREWS AND BOLTS W/N WTH NUTS OR WASHERS THREADED</t>
        </is>
      </c>
      <c r="E2175" s="3" t="n">
        <v>16.99</v>
      </c>
      <c r="F2175" s="3" t="n">
        <v>20.39</v>
      </c>
      <c r="G2175" s="3">
        <f>F2175-E2175</f>
        <v/>
      </c>
      <c r="H2175" s="4">
        <f>IF(E2175=0,"",F2175/E2175-1)</f>
        <v/>
      </c>
      <c r="I2175" t="inlineStr"/>
    </row>
    <row r="2176">
      <c r="A2176" t="inlineStr">
        <is>
          <t>Base metals &amp; articles</t>
        </is>
      </c>
      <c r="B2176" t="inlineStr">
        <is>
          <t>74</t>
        </is>
      </c>
      <c r="C2176" t="inlineStr">
        <is>
          <t>74071030</t>
        </is>
      </c>
      <c r="D2176" t="inlineStr">
        <is>
          <t>COPPER BARS(SOLID),WROUGHT</t>
        </is>
      </c>
      <c r="E2176" s="3" t="n">
        <v>4.29</v>
      </c>
      <c r="F2176" s="3" t="n">
        <v>19.06</v>
      </c>
      <c r="G2176" s="3">
        <f>F2176-E2176</f>
        <v/>
      </c>
      <c r="H2176" s="4">
        <f>IF(E2176=0,"",F2176/E2176-1)</f>
        <v/>
      </c>
      <c r="I2176" t="inlineStr"/>
    </row>
    <row r="2177">
      <c r="A2177" t="inlineStr">
        <is>
          <t>Base metals &amp; articles</t>
        </is>
      </c>
      <c r="B2177" t="inlineStr">
        <is>
          <t>73</t>
        </is>
      </c>
      <c r="C2177" t="inlineStr">
        <is>
          <t>73044100</t>
        </is>
      </c>
      <c r="D2177" t="inlineStr">
        <is>
          <t>OTHR TUBS,PIPE AND HOLO PROFILE OF CIRCULR CROSS-SECTION OF STAINLES STEEL,COLD DRAWNOR COLD ROLLED</t>
        </is>
      </c>
      <c r="E2177" s="3" t="n">
        <v>11.4</v>
      </c>
      <c r="F2177" s="3" t="n">
        <v>18.6</v>
      </c>
      <c r="G2177" s="3">
        <f>F2177-E2177</f>
        <v/>
      </c>
      <c r="H2177" s="4">
        <f>IF(E2177=0,"",F2177/E2177-1)</f>
        <v/>
      </c>
      <c r="I2177" t="inlineStr"/>
    </row>
    <row r="2178">
      <c r="A2178" t="inlineStr">
        <is>
          <t>Base metals &amp; articles</t>
        </is>
      </c>
      <c r="B2178" t="inlineStr">
        <is>
          <t>72</t>
        </is>
      </c>
      <c r="C2178" t="inlineStr">
        <is>
          <t>72159090</t>
        </is>
      </c>
      <c r="D2178" t="inlineStr">
        <is>
          <t>OTHERS-OF-OTHR BARS AND RODS OF IRON/NON-ALLOY STL</t>
        </is>
      </c>
      <c r="E2178" s="3" t="n">
        <v>40.39</v>
      </c>
      <c r="F2178" s="3" t="n">
        <v>15.9</v>
      </c>
      <c r="G2178" s="3">
        <f>F2178-E2178</f>
        <v/>
      </c>
      <c r="H2178" s="4">
        <f>IF(E2178=0,"",F2178/E2178-1)</f>
        <v/>
      </c>
      <c r="I2178" t="inlineStr"/>
    </row>
    <row r="2179">
      <c r="A2179" t="inlineStr">
        <is>
          <t>Base metals &amp; articles</t>
        </is>
      </c>
      <c r="B2179" t="inlineStr">
        <is>
          <t>72</t>
        </is>
      </c>
      <c r="C2179" t="inlineStr">
        <is>
          <t>72083940</t>
        </is>
      </c>
      <c r="D2179" t="inlineStr">
        <is>
          <t>STRIPS OF FLAT-ROLD PRDCTS IN COILS OF A THCKNS&lt; 3 MM HOT-RLD,EXCL.PICKL</t>
        </is>
      </c>
      <c r="E2179" s="3" t="n">
        <v>24.75</v>
      </c>
      <c r="F2179" s="3" t="n">
        <v>15.02</v>
      </c>
      <c r="G2179" s="3">
        <f>F2179-E2179</f>
        <v/>
      </c>
      <c r="H2179" s="4">
        <f>IF(E2179=0,"",F2179/E2179-1)</f>
        <v/>
      </c>
      <c r="I2179" t="inlineStr"/>
    </row>
    <row r="2180">
      <c r="A2180" t="inlineStr">
        <is>
          <t>Base metals &amp; articles</t>
        </is>
      </c>
      <c r="B2180" t="inlineStr">
        <is>
          <t>73</t>
        </is>
      </c>
      <c r="C2180" t="inlineStr">
        <is>
          <t>73079990</t>
        </is>
      </c>
      <c r="D2180" t="inlineStr">
        <is>
          <t>NON-GALVANISED</t>
        </is>
      </c>
      <c r="E2180" s="3" t="n">
        <v>8.75</v>
      </c>
      <c r="F2180" s="3" t="n">
        <v>14.66</v>
      </c>
      <c r="G2180" s="3">
        <f>F2180-E2180</f>
        <v/>
      </c>
      <c r="H2180" s="4">
        <f>IF(E2180=0,"",F2180/E2180-1)</f>
        <v/>
      </c>
      <c r="I2180" t="inlineStr"/>
    </row>
    <row r="2181">
      <c r="A2181" t="inlineStr">
        <is>
          <t>Base metals &amp; articles</t>
        </is>
      </c>
      <c r="B2181" t="inlineStr">
        <is>
          <t>83</t>
        </is>
      </c>
      <c r="C2181" t="inlineStr">
        <is>
          <t>83099090</t>
        </is>
      </c>
      <c r="D2181" t="inlineStr">
        <is>
          <t>OTHER PACKING ACCESSORIES N.E.S.</t>
        </is>
      </c>
      <c r="E2181" s="3" t="n">
        <v>11.91</v>
      </c>
      <c r="F2181" s="3" t="n">
        <v>14.06</v>
      </c>
      <c r="G2181" s="3">
        <f>F2181-E2181</f>
        <v/>
      </c>
      <c r="H2181" s="4">
        <f>IF(E2181=0,"",F2181/E2181-1)</f>
        <v/>
      </c>
      <c r="I2181" t="inlineStr"/>
    </row>
    <row r="2182">
      <c r="A2182" t="inlineStr">
        <is>
          <t>Base metals &amp; articles</t>
        </is>
      </c>
      <c r="B2182" t="inlineStr">
        <is>
          <t>73</t>
        </is>
      </c>
      <c r="C2182" t="inlineStr">
        <is>
          <t>73079290</t>
        </is>
      </c>
      <c r="D2182" t="inlineStr">
        <is>
          <t>NON-GALVANISED</t>
        </is>
      </c>
      <c r="E2182" s="3" t="n">
        <v>2.18</v>
      </c>
      <c r="F2182" s="3" t="n">
        <v>13.37</v>
      </c>
      <c r="G2182" s="3">
        <f>F2182-E2182</f>
        <v/>
      </c>
      <c r="H2182" s="4">
        <f>IF(E2182=0,"",F2182/E2182-1)</f>
        <v/>
      </c>
      <c r="I2182" t="inlineStr"/>
    </row>
    <row r="2183">
      <c r="A2183" t="inlineStr">
        <is>
          <t>Base metals &amp; articles</t>
        </is>
      </c>
      <c r="B2183" t="inlineStr">
        <is>
          <t>74</t>
        </is>
      </c>
      <c r="C2183" t="inlineStr">
        <is>
          <t>74182020</t>
        </is>
      </c>
      <c r="D2183" t="inlineStr">
        <is>
          <t>PARTS OF SANITARY WARE</t>
        </is>
      </c>
      <c r="E2183" s="3" t="n">
        <v>14.97</v>
      </c>
      <c r="F2183" s="3" t="n">
        <v>13.28</v>
      </c>
      <c r="G2183" s="3">
        <f>F2183-E2183</f>
        <v/>
      </c>
      <c r="H2183" s="4">
        <f>IF(E2183=0,"",F2183/E2183-1)</f>
        <v/>
      </c>
      <c r="I2183" t="inlineStr"/>
    </row>
    <row r="2184">
      <c r="A2184" t="inlineStr">
        <is>
          <t>Base metals &amp; articles</t>
        </is>
      </c>
      <c r="B2184" t="inlineStr">
        <is>
          <t>72</t>
        </is>
      </c>
      <c r="C2184" t="inlineStr">
        <is>
          <t>72083740</t>
        </is>
      </c>
      <c r="D2184" t="inlineStr">
        <is>
          <t>STRIPS OF FLAT-ROLD PRDCTS IN COILS OF A THCKNS&gt;=4.75 BUT&lt; 10MM HOT-RLD,EXCL.PICKL</t>
        </is>
      </c>
      <c r="E2184" s="3" t="n">
        <v>34.86</v>
      </c>
      <c r="F2184" s="3" t="n">
        <v>13.26</v>
      </c>
      <c r="G2184" s="3">
        <f>F2184-E2184</f>
        <v/>
      </c>
      <c r="H2184" s="4">
        <f>IF(E2184=0,"",F2184/E2184-1)</f>
        <v/>
      </c>
      <c r="I2184" t="inlineStr"/>
    </row>
    <row r="2185">
      <c r="A2185" t="inlineStr">
        <is>
          <t>Base metals &amp; articles</t>
        </is>
      </c>
      <c r="B2185" t="inlineStr">
        <is>
          <t>73</t>
        </is>
      </c>
      <c r="C2185" t="inlineStr">
        <is>
          <t>73259999</t>
        </is>
      </c>
      <c r="D2185" t="inlineStr">
        <is>
          <t>OTHER CAST ARTICLES OF IRON OR STEEL N.E.S</t>
        </is>
      </c>
      <c r="E2185" s="3" t="n">
        <v>9.380000000000001</v>
      </c>
      <c r="F2185" s="3" t="n">
        <v>12.77</v>
      </c>
      <c r="G2185" s="3">
        <f>F2185-E2185</f>
        <v/>
      </c>
      <c r="H2185" s="4">
        <f>IF(E2185=0,"",F2185/E2185-1)</f>
        <v/>
      </c>
      <c r="I2185" t="inlineStr"/>
    </row>
    <row r="2186">
      <c r="A2186" t="inlineStr">
        <is>
          <t>Base metals &amp; articles</t>
        </is>
      </c>
      <c r="B2186" t="inlineStr">
        <is>
          <t>73</t>
        </is>
      </c>
      <c r="C2186" t="inlineStr">
        <is>
          <t>73051129</t>
        </is>
      </c>
      <c r="D2186" t="inlineStr">
        <is>
          <t>*NON-GALVAN PIPE OF OTHER FOR OIL OR GAS LONGITUDINALLY SUBMERGED ARC WELDED</t>
        </is>
      </c>
      <c r="E2186" s="3" t="n">
        <v>117.76</v>
      </c>
      <c r="F2186" s="3" t="n">
        <v>11.99</v>
      </c>
      <c r="G2186" s="3">
        <f>F2186-E2186</f>
        <v/>
      </c>
      <c r="H2186" s="4">
        <f>IF(E2186=0,"",F2186/E2186-1)</f>
        <v/>
      </c>
      <c r="I2186" t="inlineStr"/>
    </row>
    <row r="2187">
      <c r="A2187" t="inlineStr">
        <is>
          <t>Base metals &amp; articles</t>
        </is>
      </c>
      <c r="B2187" t="inlineStr">
        <is>
          <t>83</t>
        </is>
      </c>
      <c r="C2187" t="inlineStr">
        <is>
          <t>83111000</t>
        </is>
      </c>
      <c r="D2187" t="inlineStr">
        <is>
          <t>COAT ELCTRD OF BS MTL FR ELCTRC ARC WLDNG</t>
        </is>
      </c>
      <c r="E2187" s="3" t="n">
        <v>7.86</v>
      </c>
      <c r="F2187" s="3" t="n">
        <v>11.87</v>
      </c>
      <c r="G2187" s="3">
        <f>F2187-E2187</f>
        <v/>
      </c>
      <c r="H2187" s="4">
        <f>IF(E2187=0,"",F2187/E2187-1)</f>
        <v/>
      </c>
      <c r="I2187" t="inlineStr"/>
    </row>
    <row r="2188">
      <c r="A2188" t="inlineStr">
        <is>
          <t>Base metals &amp; articles</t>
        </is>
      </c>
      <c r="B2188" t="inlineStr">
        <is>
          <t>73</t>
        </is>
      </c>
      <c r="C2188" t="inlineStr">
        <is>
          <t>73269099</t>
        </is>
      </c>
      <c r="D2188" t="inlineStr">
        <is>
          <t>ALL OTHER ARTICLES OF IRON/STEEL NES OTHER STEERING OR RUDDER EQUIPMENT FOR SHIPS AND BOATS, N.E.S.</t>
        </is>
      </c>
      <c r="E2188" s="3" t="n">
        <v>13.95</v>
      </c>
      <c r="F2188" s="3" t="n">
        <v>11.84</v>
      </c>
      <c r="G2188" s="3">
        <f>F2188-E2188</f>
        <v/>
      </c>
      <c r="H2188" s="4">
        <f>IF(E2188=0,"",F2188/E2188-1)</f>
        <v/>
      </c>
      <c r="I2188" t="inlineStr"/>
    </row>
    <row r="2189">
      <c r="A2189" t="inlineStr">
        <is>
          <t>Base metals &amp; articles</t>
        </is>
      </c>
      <c r="B2189" t="inlineStr">
        <is>
          <t>73</t>
        </is>
      </c>
      <c r="C2189" t="inlineStr">
        <is>
          <t>73259910</t>
        </is>
      </c>
      <c r="D2189" t="inlineStr">
        <is>
          <t>OTHER CAST ARTCLES OF IRON MALLEABLE</t>
        </is>
      </c>
      <c r="E2189" s="3" t="n">
        <v>11.61</v>
      </c>
      <c r="F2189" s="3" t="n">
        <v>11.59</v>
      </c>
      <c r="G2189" s="3">
        <f>F2189-E2189</f>
        <v/>
      </c>
      <c r="H2189" s="4">
        <f>IF(E2189=0,"",F2189/E2189-1)</f>
        <v/>
      </c>
      <c r="I2189" t="inlineStr"/>
    </row>
    <row r="2190">
      <c r="A2190" t="inlineStr">
        <is>
          <t>Base metals &amp; articles</t>
        </is>
      </c>
      <c r="B2190" t="inlineStr">
        <is>
          <t>73</t>
        </is>
      </c>
      <c r="C2190" t="inlineStr">
        <is>
          <t>73072100</t>
        </is>
      </c>
      <c r="D2190" t="inlineStr">
        <is>
          <t>FLANGES OF STAINLESS STEEL</t>
        </is>
      </c>
      <c r="E2190" s="3" t="n">
        <v>19.91</v>
      </c>
      <c r="F2190" s="3" t="n">
        <v>10.61</v>
      </c>
      <c r="G2190" s="3">
        <f>F2190-E2190</f>
        <v/>
      </c>
      <c r="H2190" s="4">
        <f>IF(E2190=0,"",F2190/E2190-1)</f>
        <v/>
      </c>
      <c r="I2190" t="inlineStr"/>
    </row>
    <row r="2191">
      <c r="A2191" t="inlineStr">
        <is>
          <t>Base metals &amp; articles</t>
        </is>
      </c>
      <c r="B2191" t="inlineStr">
        <is>
          <t>83</t>
        </is>
      </c>
      <c r="C2191" t="inlineStr">
        <is>
          <t>83071000</t>
        </is>
      </c>
      <c r="D2191" t="inlineStr">
        <is>
          <t>FLXBL TUBNG OF IRON/STL WTH/WTHUT FTTNGS</t>
        </is>
      </c>
      <c r="E2191" s="3" t="n">
        <v>3.4</v>
      </c>
      <c r="F2191" s="3" t="n">
        <v>10.58</v>
      </c>
      <c r="G2191" s="3">
        <f>F2191-E2191</f>
        <v/>
      </c>
      <c r="H2191" s="4">
        <f>IF(E2191=0,"",F2191/E2191-1)</f>
        <v/>
      </c>
      <c r="I2191" t="inlineStr"/>
    </row>
    <row r="2192">
      <c r="A2192" t="inlineStr">
        <is>
          <t>Base metals &amp; articles</t>
        </is>
      </c>
      <c r="B2192" t="inlineStr">
        <is>
          <t>74</t>
        </is>
      </c>
      <c r="C2192" t="inlineStr">
        <is>
          <t>74071010</t>
        </is>
      </c>
      <c r="D2192" t="inlineStr">
        <is>
          <t>ELECTROLYTIC COPPER RODS OR BLACK COPPER RODS(INCLUDING COILS),WROUGHT</t>
        </is>
      </c>
      <c r="E2192" s="3" t="n">
        <v>11.54</v>
      </c>
      <c r="F2192" s="3" t="n">
        <v>10.38</v>
      </c>
      <c r="G2192" s="3">
        <f>F2192-E2192</f>
        <v/>
      </c>
      <c r="H2192" s="4">
        <f>IF(E2192=0,"",F2192/E2192-1)</f>
        <v/>
      </c>
      <c r="I2192" t="inlineStr"/>
    </row>
    <row r="2193">
      <c r="A2193" t="inlineStr">
        <is>
          <t>Base metals &amp; articles</t>
        </is>
      </c>
      <c r="B2193" t="inlineStr">
        <is>
          <t>76</t>
        </is>
      </c>
      <c r="C2193" t="inlineStr">
        <is>
          <t>76169990</t>
        </is>
      </c>
      <c r="D2193" t="inlineStr">
        <is>
          <t>OTHERS ARTICLES OF ALUMINIUM N.E.S.</t>
        </is>
      </c>
      <c r="E2193" s="3" t="n">
        <v>5.1</v>
      </c>
      <c r="F2193" s="3" t="n">
        <v>10.36</v>
      </c>
      <c r="G2193" s="3">
        <f>F2193-E2193</f>
        <v/>
      </c>
      <c r="H2193" s="4">
        <f>IF(E2193=0,"",F2193/E2193-1)</f>
        <v/>
      </c>
      <c r="I2193" t="inlineStr"/>
    </row>
    <row r="2194">
      <c r="A2194" t="inlineStr">
        <is>
          <t>Base metals &amp; articles</t>
        </is>
      </c>
      <c r="B2194" t="inlineStr">
        <is>
          <t>73</t>
        </is>
      </c>
      <c r="C2194" t="inlineStr">
        <is>
          <t>73261990</t>
        </is>
      </c>
      <c r="D2194" t="inlineStr">
        <is>
          <t>OTHERS OF OTHER ARTICLES OF FORGED OR STAMPED BUT NOT FURTHER WORKED</t>
        </is>
      </c>
      <c r="E2194" s="3" t="n">
        <v>7.13</v>
      </c>
      <c r="F2194" s="3" t="n">
        <v>10.06</v>
      </c>
      <c r="G2194" s="3">
        <f>F2194-E2194</f>
        <v/>
      </c>
      <c r="H2194" s="4">
        <f>IF(E2194=0,"",F2194/E2194-1)</f>
        <v/>
      </c>
      <c r="I2194" t="inlineStr"/>
    </row>
    <row r="2195">
      <c r="A2195" t="inlineStr">
        <is>
          <t>Base metals &amp; articles</t>
        </is>
      </c>
      <c r="B2195" t="inlineStr">
        <is>
          <t>74</t>
        </is>
      </c>
      <c r="C2195" t="inlineStr">
        <is>
          <t>74112200</t>
        </is>
      </c>
      <c r="D2195" t="inlineStr">
        <is>
          <t>TUBES ANDPIPS OF COPR-NCKL BAS ALOYS(CUPRO- NCKL)/COPR-NCKL-ZNC BASE ALOY(NCKL-SILVR)</t>
        </is>
      </c>
      <c r="E2195" s="3" t="n">
        <v>13.25</v>
      </c>
      <c r="F2195" s="3" t="n">
        <v>9.949999999999999</v>
      </c>
      <c r="G2195" s="3">
        <f>F2195-E2195</f>
        <v/>
      </c>
      <c r="H2195" s="4">
        <f>IF(E2195=0,"",F2195/E2195-1)</f>
        <v/>
      </c>
      <c r="I2195" t="inlineStr"/>
    </row>
    <row r="2196">
      <c r="A2196" t="inlineStr">
        <is>
          <t>Base metals &amp; articles</t>
        </is>
      </c>
      <c r="B2196" t="inlineStr">
        <is>
          <t>73</t>
        </is>
      </c>
      <c r="C2196" t="inlineStr">
        <is>
          <t>73239390</t>
        </is>
      </c>
      <c r="D2196" t="inlineStr">
        <is>
          <t>OTHR HOUSHOLD ARTICL OF STAINLESS STL NES</t>
        </is>
      </c>
      <c r="E2196" s="3" t="n">
        <v>10.03</v>
      </c>
      <c r="F2196" s="3" t="n">
        <v>9.92</v>
      </c>
      <c r="G2196" s="3">
        <f>F2196-E2196</f>
        <v/>
      </c>
      <c r="H2196" s="4">
        <f>IF(E2196=0,"",F2196/E2196-1)</f>
        <v/>
      </c>
      <c r="I2196" t="inlineStr"/>
    </row>
    <row r="2197">
      <c r="A2197" t="inlineStr">
        <is>
          <t>Base metals &amp; articles</t>
        </is>
      </c>
      <c r="B2197" t="inlineStr">
        <is>
          <t>78</t>
        </is>
      </c>
      <c r="C2197" t="inlineStr">
        <is>
          <t>78019990</t>
        </is>
      </c>
      <c r="D2197" t="inlineStr">
        <is>
          <t>OTHER UNREFINED LEAD AND LEAD ALLOYS N.E.S</t>
        </is>
      </c>
      <c r="E2197" s="3" t="n">
        <v>15.15</v>
      </c>
      <c r="F2197" s="3" t="n">
        <v>9.82</v>
      </c>
      <c r="G2197" s="3">
        <f>F2197-E2197</f>
        <v/>
      </c>
      <c r="H2197" s="4">
        <f>IF(E2197=0,"",F2197/E2197-1)</f>
        <v/>
      </c>
      <c r="I2197" t="inlineStr"/>
    </row>
    <row r="2198">
      <c r="A2198" t="inlineStr">
        <is>
          <t>Base metals &amp; articles</t>
        </is>
      </c>
      <c r="B2198" t="inlineStr">
        <is>
          <t>72</t>
        </is>
      </c>
      <c r="C2198" t="inlineStr">
        <is>
          <t>72029200</t>
        </is>
      </c>
      <c r="D2198" t="inlineStr">
        <is>
          <t>FERRO-VANADIUM</t>
        </is>
      </c>
      <c r="E2198" s="3" t="n">
        <v>0</v>
      </c>
      <c r="F2198" s="3" t="n">
        <v>9.68</v>
      </c>
      <c r="G2198" s="3">
        <f>F2198-E2198</f>
        <v/>
      </c>
      <c r="H2198" s="4">
        <f>IF(E2198=0,"",F2198/E2198-1)</f>
        <v/>
      </c>
      <c r="I2198" t="inlineStr"/>
    </row>
    <row r="2199">
      <c r="A2199" t="inlineStr">
        <is>
          <t>Base metals &amp; articles</t>
        </is>
      </c>
      <c r="B2199" t="inlineStr">
        <is>
          <t>73</t>
        </is>
      </c>
      <c r="C2199" t="inlineStr">
        <is>
          <t>73072900</t>
        </is>
      </c>
      <c r="D2199" t="inlineStr">
        <is>
          <t>OTHER FITTINGS OF STAINLESS STEEL</t>
        </is>
      </c>
      <c r="E2199" s="3" t="n">
        <v>5.97</v>
      </c>
      <c r="F2199" s="3" t="n">
        <v>9.44</v>
      </c>
      <c r="G2199" s="3">
        <f>F2199-E2199</f>
        <v/>
      </c>
      <c r="H2199" s="4">
        <f>IF(E2199=0,"",F2199/E2199-1)</f>
        <v/>
      </c>
      <c r="I2199" t="inlineStr"/>
    </row>
    <row r="2200">
      <c r="A2200" t="inlineStr">
        <is>
          <t>Base metals &amp; articles</t>
        </is>
      </c>
      <c r="B2200" t="inlineStr">
        <is>
          <t>76</t>
        </is>
      </c>
      <c r="C2200" t="inlineStr">
        <is>
          <t>76151030</t>
        </is>
      </c>
      <c r="D2200" t="inlineStr">
        <is>
          <t>OTHER TABLE, KITCHEN OR OTHER HOUSEHOLD ARTICLES</t>
        </is>
      </c>
      <c r="E2200" s="3" t="n">
        <v>7.08</v>
      </c>
      <c r="F2200" s="3" t="n">
        <v>9.43</v>
      </c>
      <c r="G2200" s="3">
        <f>F2200-E2200</f>
        <v/>
      </c>
      <c r="H2200" s="4">
        <f>IF(E2200=0,"",F2200/E2200-1)</f>
        <v/>
      </c>
      <c r="I2200" t="inlineStr"/>
    </row>
    <row r="2201">
      <c r="A2201" t="inlineStr">
        <is>
          <t>Base metals &amp; articles</t>
        </is>
      </c>
      <c r="B2201" t="inlineStr">
        <is>
          <t>78</t>
        </is>
      </c>
      <c r="C2201" t="inlineStr">
        <is>
          <t>78019930</t>
        </is>
      </c>
      <c r="D2201" t="inlineStr">
        <is>
          <t>UNREFINED LEAD ALLOYS,N.E.S.</t>
        </is>
      </c>
      <c r="E2201" s="3" t="n">
        <v>12.4</v>
      </c>
      <c r="F2201" s="3" t="n">
        <v>8.94</v>
      </c>
      <c r="G2201" s="3">
        <f>F2201-E2201</f>
        <v/>
      </c>
      <c r="H2201" s="4">
        <f>IF(E2201=0,"",F2201/E2201-1)</f>
        <v/>
      </c>
      <c r="I2201" t="inlineStr"/>
    </row>
    <row r="2202">
      <c r="A2202" t="inlineStr">
        <is>
          <t>Base metals &amp; articles</t>
        </is>
      </c>
      <c r="B2202" t="inlineStr">
        <is>
          <t>76</t>
        </is>
      </c>
      <c r="C2202" t="inlineStr">
        <is>
          <t>76061200</t>
        </is>
      </c>
      <c r="D2202" t="inlineStr">
        <is>
          <t>RCTNGLR(INCL SQR)PLTS ETC.OF ALMNM ALLYS</t>
        </is>
      </c>
      <c r="E2202" s="3" t="n">
        <v>4.81</v>
      </c>
      <c r="F2202" s="3" t="n">
        <v>8.49</v>
      </c>
      <c r="G2202" s="3">
        <f>F2202-E2202</f>
        <v/>
      </c>
      <c r="H2202" s="4">
        <f>IF(E2202=0,"",F2202/E2202-1)</f>
        <v/>
      </c>
      <c r="I2202" t="inlineStr"/>
    </row>
    <row r="2203">
      <c r="A2203" t="inlineStr">
        <is>
          <t>Base metals &amp; articles</t>
        </is>
      </c>
      <c r="B2203" t="inlineStr">
        <is>
          <t>74</t>
        </is>
      </c>
      <c r="C2203" t="inlineStr">
        <is>
          <t>74071020</t>
        </is>
      </c>
      <c r="D2203" t="inlineStr">
        <is>
          <t>COPPER RODS OTHR THAN ELECTROLYTIC,WROUGHT</t>
        </is>
      </c>
      <c r="E2203" s="3" t="n">
        <v>6.74</v>
      </c>
      <c r="F2203" s="3" t="n">
        <v>8.16</v>
      </c>
      <c r="G2203" s="3">
        <f>F2203-E2203</f>
        <v/>
      </c>
      <c r="H2203" s="4">
        <f>IF(E2203=0,"",F2203/E2203-1)</f>
        <v/>
      </c>
      <c r="I2203" t="inlineStr"/>
    </row>
    <row r="2204">
      <c r="A2204" t="inlineStr">
        <is>
          <t>Base metals &amp; articles</t>
        </is>
      </c>
      <c r="B2204" t="inlineStr">
        <is>
          <t>73</t>
        </is>
      </c>
      <c r="C2204" t="inlineStr">
        <is>
          <t>73041910</t>
        </is>
      </c>
      <c r="D2204" t="inlineStr">
        <is>
          <t>IRON PIPES FOR OIL/GAS PIPELINES</t>
        </is>
      </c>
      <c r="E2204" s="3" t="n">
        <v>9.01</v>
      </c>
      <c r="F2204" s="3" t="n">
        <v>8.109999999999999</v>
      </c>
      <c r="G2204" s="3">
        <f>F2204-E2204</f>
        <v/>
      </c>
      <c r="H2204" s="4">
        <f>IF(E2204=0,"",F2204/E2204-1)</f>
        <v/>
      </c>
      <c r="I2204" t="inlineStr"/>
    </row>
    <row r="2205">
      <c r="A2205" t="inlineStr">
        <is>
          <t>Base metals &amp; articles</t>
        </is>
      </c>
      <c r="B2205" t="inlineStr">
        <is>
          <t>73</t>
        </is>
      </c>
      <c r="C2205" t="inlineStr">
        <is>
          <t>73072200</t>
        </is>
      </c>
      <c r="D2205" t="inlineStr">
        <is>
          <t>THREADED ELBOWS,BNDS AND SLEVS OF STNLES STL</t>
        </is>
      </c>
      <c r="E2205" s="3" t="n">
        <v>1.06</v>
      </c>
      <c r="F2205" s="3" t="n">
        <v>7</v>
      </c>
      <c r="G2205" s="3">
        <f>F2205-E2205</f>
        <v/>
      </c>
      <c r="H2205" s="4">
        <f>IF(E2205=0,"",F2205/E2205-1)</f>
        <v/>
      </c>
      <c r="I2205" t="inlineStr"/>
    </row>
    <row r="2206">
      <c r="A2206" t="inlineStr">
        <is>
          <t>Base metals &amp; articles</t>
        </is>
      </c>
      <c r="B2206" t="inlineStr">
        <is>
          <t>73</t>
        </is>
      </c>
      <c r="C2206" t="inlineStr">
        <is>
          <t>73102190</t>
        </is>
      </c>
      <c r="D2206" t="inlineStr">
        <is>
          <t>OTHERS-OF-CANS TO BE CLOSED BY SOLDERING OR CRIMPINGOF CAPACITY LESS THAN 50L</t>
        </is>
      </c>
      <c r="E2206" s="3" t="n">
        <v>10.35</v>
      </c>
      <c r="F2206" s="3" t="n">
        <v>6.92</v>
      </c>
      <c r="G2206" s="3">
        <f>F2206-E2206</f>
        <v/>
      </c>
      <c r="H2206" s="4">
        <f>IF(E2206=0,"",F2206/E2206-1)</f>
        <v/>
      </c>
      <c r="I2206" t="inlineStr"/>
    </row>
    <row r="2207">
      <c r="A2207" t="inlineStr">
        <is>
          <t>Base metals &amp; articles</t>
        </is>
      </c>
      <c r="B2207" t="inlineStr">
        <is>
          <t>73</t>
        </is>
      </c>
      <c r="C2207" t="inlineStr">
        <is>
          <t>73063090</t>
        </is>
      </c>
      <c r="D2207" t="inlineStr">
        <is>
          <t>OTHER,WELDED,OF CIRCULAR CROSS-SECTION, MADE UP OF OF NON-ALLY STEEL TUBE/PIPES</t>
        </is>
      </c>
      <c r="E2207" s="3" t="n">
        <v>6.55</v>
      </c>
      <c r="F2207" s="3" t="n">
        <v>6.74</v>
      </c>
      <c r="G2207" s="3">
        <f>F2207-E2207</f>
        <v/>
      </c>
      <c r="H2207" s="4">
        <f>IF(E2207=0,"",F2207/E2207-1)</f>
        <v/>
      </c>
      <c r="I2207" t="inlineStr"/>
    </row>
    <row r="2208">
      <c r="A2208" t="inlineStr">
        <is>
          <t>Base metals &amp; articles</t>
        </is>
      </c>
      <c r="B2208" t="inlineStr">
        <is>
          <t>73</t>
        </is>
      </c>
      <c r="C2208" t="inlineStr">
        <is>
          <t>73259920</t>
        </is>
      </c>
      <c r="D2208" t="inlineStr">
        <is>
          <t>OTHR CAST ARTCLS OF ALLOY STEEL MALLEABLE</t>
        </is>
      </c>
      <c r="E2208" s="3" t="n">
        <v>1.84</v>
      </c>
      <c r="F2208" s="3" t="n">
        <v>6.72</v>
      </c>
      <c r="G2208" s="3">
        <f>F2208-E2208</f>
        <v/>
      </c>
      <c r="H2208" s="4">
        <f>IF(E2208=0,"",F2208/E2208-1)</f>
        <v/>
      </c>
      <c r="I2208" t="inlineStr"/>
    </row>
    <row r="2209">
      <c r="A2209" t="inlineStr">
        <is>
          <t>Base metals &amp; articles</t>
        </is>
      </c>
      <c r="B2209" t="inlineStr">
        <is>
          <t>74</t>
        </is>
      </c>
      <c r="C2209" t="inlineStr">
        <is>
          <t>74091900</t>
        </is>
      </c>
      <c r="D2209" t="inlineStr">
        <is>
          <t>OTHER PLATES,SHEETS ETC OF REFINED COPPER</t>
        </is>
      </c>
      <c r="E2209" s="3" t="n">
        <v>5.8</v>
      </c>
      <c r="F2209" s="3" t="n">
        <v>6.64</v>
      </c>
      <c r="G2209" s="3">
        <f>F2209-E2209</f>
        <v/>
      </c>
      <c r="H2209" s="4">
        <f>IF(E2209=0,"",F2209/E2209-1)</f>
        <v/>
      </c>
      <c r="I2209" t="inlineStr"/>
    </row>
    <row r="2210">
      <c r="A2210" t="inlineStr">
        <is>
          <t>Base metals &amp; articles</t>
        </is>
      </c>
      <c r="B2210" t="inlineStr">
        <is>
          <t>79</t>
        </is>
      </c>
      <c r="C2210" t="inlineStr">
        <is>
          <t>79031000</t>
        </is>
      </c>
      <c r="D2210" t="inlineStr">
        <is>
          <t>ZINC DUST</t>
        </is>
      </c>
      <c r="E2210" s="3" t="n">
        <v>5.56</v>
      </c>
      <c r="F2210" s="3" t="n">
        <v>6.63</v>
      </c>
      <c r="G2210" s="3">
        <f>F2210-E2210</f>
        <v/>
      </c>
      <c r="H2210" s="4">
        <f>IF(E2210=0,"",F2210/E2210-1)</f>
        <v/>
      </c>
      <c r="I2210" t="inlineStr"/>
    </row>
    <row r="2211">
      <c r="A2211" t="inlineStr">
        <is>
          <t>Base metals &amp; articles</t>
        </is>
      </c>
      <c r="B2211" t="inlineStr">
        <is>
          <t>72</t>
        </is>
      </c>
      <c r="C2211" t="inlineStr">
        <is>
          <t>72192122</t>
        </is>
      </c>
      <c r="D2211" t="inlineStr">
        <is>
          <t>UNIVRSL PLTS OF STNLS STL/HEAT RSTNG STL, NICKL CHROMIUM AUSTENITIC TYPE,&gt;=14 MM</t>
        </is>
      </c>
      <c r="E2211" s="3" t="n">
        <v>1.07</v>
      </c>
      <c r="F2211" s="3" t="n">
        <v>6.46</v>
      </c>
      <c r="G2211" s="3">
        <f>F2211-E2211</f>
        <v/>
      </c>
      <c r="H2211" s="4">
        <f>IF(E2211=0,"",F2211/E2211-1)</f>
        <v/>
      </c>
      <c r="I2211" t="inlineStr"/>
    </row>
    <row r="2212">
      <c r="A2212" t="inlineStr">
        <is>
          <t>Base metals &amp; articles</t>
        </is>
      </c>
      <c r="B2212" t="inlineStr">
        <is>
          <t>83</t>
        </is>
      </c>
      <c r="C2212" t="inlineStr">
        <is>
          <t>83100090</t>
        </is>
      </c>
      <c r="D2212" t="inlineStr">
        <is>
          <t>OTHER SYMBOLS OF BASE METAL</t>
        </is>
      </c>
      <c r="E2212" s="3" t="n">
        <v>14.13</v>
      </c>
      <c r="F2212" s="3" t="n">
        <v>6.12</v>
      </c>
      <c r="G2212" s="3">
        <f>F2212-E2212</f>
        <v/>
      </c>
      <c r="H2212" s="4">
        <f>IF(E2212=0,"",F2212/E2212-1)</f>
        <v/>
      </c>
      <c r="I2212" t="inlineStr"/>
    </row>
    <row r="2213">
      <c r="A2213" t="inlineStr">
        <is>
          <t>Base metals &amp; articles</t>
        </is>
      </c>
      <c r="B2213" t="inlineStr">
        <is>
          <t>73</t>
        </is>
      </c>
      <c r="C2213" t="inlineStr">
        <is>
          <t>73042990</t>
        </is>
      </c>
      <c r="D2213" t="inlineStr">
        <is>
          <t>OTHERS-OF-CASING, TUBING OF IRON/STEEL</t>
        </is>
      </c>
      <c r="E2213" s="3" t="n">
        <v>7.26</v>
      </c>
      <c r="F2213" s="3" t="n">
        <v>5.71</v>
      </c>
      <c r="G2213" s="3">
        <f>F2213-E2213</f>
        <v/>
      </c>
      <c r="H2213" s="4">
        <f>IF(E2213=0,"",F2213/E2213-1)</f>
        <v/>
      </c>
      <c r="I2213" t="inlineStr"/>
    </row>
    <row r="2214">
      <c r="A2214" t="inlineStr">
        <is>
          <t>Base metals &amp; articles</t>
        </is>
      </c>
      <c r="B2214" t="inlineStr">
        <is>
          <t>73</t>
        </is>
      </c>
      <c r="C2214" t="inlineStr">
        <is>
          <t>73064000</t>
        </is>
      </c>
      <c r="D2214" t="inlineStr">
        <is>
          <t>OTHER,WELDED,OF CIRCULAR CROSS-SECTION, OF STAINLESS STEEL TUBES/PIPES</t>
        </is>
      </c>
      <c r="E2214" s="3" t="n">
        <v>6.5</v>
      </c>
      <c r="F2214" s="3" t="n">
        <v>5.58</v>
      </c>
      <c r="G2214" s="3">
        <f>F2214-E2214</f>
        <v/>
      </c>
      <c r="H2214" s="4">
        <f>IF(E2214=0,"",F2214/E2214-1)</f>
        <v/>
      </c>
      <c r="I2214" t="inlineStr"/>
    </row>
    <row r="2215">
      <c r="A2215" t="inlineStr">
        <is>
          <t>Base metals &amp; articles</t>
        </is>
      </c>
      <c r="B2215" t="inlineStr">
        <is>
          <t>72</t>
        </is>
      </c>
      <c r="C2215" t="inlineStr">
        <is>
          <t>72104990</t>
        </is>
      </c>
      <c r="D2215" t="inlineStr">
        <is>
          <t>OTHR PRDCTS OF IRON/NON-ALLOY STEEL OTHERWISE PLTD/COTD WTH ZINC</t>
        </is>
      </c>
      <c r="E2215" s="3" t="n">
        <v>1.46</v>
      </c>
      <c r="F2215" s="3" t="n">
        <v>5.5</v>
      </c>
      <c r="G2215" s="3">
        <f>F2215-E2215</f>
        <v/>
      </c>
      <c r="H2215" s="4">
        <f>IF(E2215=0,"",F2215/E2215-1)</f>
        <v/>
      </c>
      <c r="I2215" t="inlineStr"/>
    </row>
    <row r="2216">
      <c r="A2216" t="inlineStr">
        <is>
          <t>Base metals &amp; articles</t>
        </is>
      </c>
      <c r="B2216" t="inlineStr">
        <is>
          <t>73</t>
        </is>
      </c>
      <c r="C2216" t="inlineStr">
        <is>
          <t>73079390</t>
        </is>
      </c>
      <c r="D2216" t="inlineStr">
        <is>
          <t>NON GALVANISED</t>
        </is>
      </c>
      <c r="E2216" s="3" t="n">
        <v>8.34</v>
      </c>
      <c r="F2216" s="3" t="n">
        <v>5.46</v>
      </c>
      <c r="G2216" s="3">
        <f>F2216-E2216</f>
        <v/>
      </c>
      <c r="H2216" s="4">
        <f>IF(E2216=0,"",F2216/E2216-1)</f>
        <v/>
      </c>
      <c r="I2216" t="inlineStr"/>
    </row>
    <row r="2217">
      <c r="A2217" t="inlineStr">
        <is>
          <t>Base metals &amp; articles</t>
        </is>
      </c>
      <c r="B2217" t="inlineStr">
        <is>
          <t>82</t>
        </is>
      </c>
      <c r="C2217" t="inlineStr">
        <is>
          <t>82071900</t>
        </is>
      </c>
      <c r="D2217" t="inlineStr">
        <is>
          <t>OTHER ROCK DRILNG OR EARTH BORNG TOLS , INCLUDING PARTS</t>
        </is>
      </c>
      <c r="E2217" s="3" t="n">
        <v>8.41</v>
      </c>
      <c r="F2217" s="3" t="n">
        <v>5.24</v>
      </c>
      <c r="G2217" s="3">
        <f>F2217-E2217</f>
        <v/>
      </c>
      <c r="H2217" s="4">
        <f>IF(E2217=0,"",F2217/E2217-1)</f>
        <v/>
      </c>
      <c r="I2217" t="inlineStr"/>
    </row>
    <row r="2218">
      <c r="A2218" t="inlineStr">
        <is>
          <t>Base metals &amp; articles</t>
        </is>
      </c>
      <c r="B2218" t="inlineStr">
        <is>
          <t>72</t>
        </is>
      </c>
      <c r="C2218" t="inlineStr">
        <is>
          <t>72029922</t>
        </is>
      </c>
      <c r="D2218" t="inlineStr">
        <is>
          <t>FERRO-SILICO-MAGNESIUM</t>
        </is>
      </c>
      <c r="E2218" s="3" t="n">
        <v>8.52</v>
      </c>
      <c r="F2218" s="3" t="n">
        <v>5.06</v>
      </c>
      <c r="G2218" s="3">
        <f>F2218-E2218</f>
        <v/>
      </c>
      <c r="H2218" s="4">
        <f>IF(E2218=0,"",F2218/E2218-1)</f>
        <v/>
      </c>
      <c r="I2218" t="inlineStr"/>
    </row>
    <row r="2219">
      <c r="A2219" t="inlineStr">
        <is>
          <t>Base metals &amp; articles</t>
        </is>
      </c>
      <c r="B2219" t="inlineStr">
        <is>
          <t>74</t>
        </is>
      </c>
      <c r="C2219" t="inlineStr">
        <is>
          <t>74122019</t>
        </is>
      </c>
      <c r="D2219" t="inlineStr">
        <is>
          <t>0THR TUBE OR PIPE FTNGS OF BRASS</t>
        </is>
      </c>
      <c r="E2219" s="3" t="n">
        <v>1.57</v>
      </c>
      <c r="F2219" s="3" t="n">
        <v>4.9</v>
      </c>
      <c r="G2219" s="3">
        <f>F2219-E2219</f>
        <v/>
      </c>
      <c r="H2219" s="4">
        <f>IF(E2219=0,"",F2219/E2219-1)</f>
        <v/>
      </c>
      <c r="I2219" t="inlineStr"/>
    </row>
    <row r="2220">
      <c r="A2220" t="inlineStr">
        <is>
          <t>Base metals &amp; articles</t>
        </is>
      </c>
      <c r="B2220" t="inlineStr">
        <is>
          <t>76</t>
        </is>
      </c>
      <c r="C2220" t="inlineStr">
        <is>
          <t>76071995</t>
        </is>
      </c>
      <c r="D2220" t="inlineStr">
        <is>
          <t>PRINTED ALUMNM FOIL NOT ROLLED AND NOT BCKD</t>
        </is>
      </c>
      <c r="E2220" s="3" t="n">
        <v>4.35</v>
      </c>
      <c r="F2220" s="3" t="n">
        <v>4.9</v>
      </c>
      <c r="G2220" s="3">
        <f>F2220-E2220</f>
        <v/>
      </c>
      <c r="H2220" s="4">
        <f>IF(E2220=0,"",F2220/E2220-1)</f>
        <v/>
      </c>
      <c r="I2220" t="inlineStr"/>
    </row>
    <row r="2221">
      <c r="A2221" t="inlineStr">
        <is>
          <t>Base metals &amp; articles</t>
        </is>
      </c>
      <c r="B2221" t="inlineStr">
        <is>
          <t>72</t>
        </is>
      </c>
      <c r="C2221" t="inlineStr">
        <is>
          <t>72029100</t>
        </is>
      </c>
      <c r="D2221" t="inlineStr">
        <is>
          <t>FERROTITANIUM AND FERRO-SILICO-TITAMIUM</t>
        </is>
      </c>
      <c r="E2221" s="3" t="n">
        <v>3.51</v>
      </c>
      <c r="F2221" s="3" t="n">
        <v>4.79</v>
      </c>
      <c r="G2221" s="3">
        <f>F2221-E2221</f>
        <v/>
      </c>
      <c r="H2221" s="4">
        <f>IF(E2221=0,"",F2221/E2221-1)</f>
        <v/>
      </c>
      <c r="I2221" t="inlineStr"/>
    </row>
    <row r="2222">
      <c r="A2222" t="inlineStr">
        <is>
          <t>Base metals &amp; articles</t>
        </is>
      </c>
      <c r="B2222" t="inlineStr">
        <is>
          <t>73</t>
        </is>
      </c>
      <c r="C2222" t="inlineStr">
        <is>
          <t>73044900</t>
        </is>
      </c>
      <c r="D2222" t="inlineStr">
        <is>
          <t>OTHR TUBE,PIPE AND HOLO PROFILE OF CIRCULR CROSS-SECTION OF OTHER STAINLESS STEEL</t>
        </is>
      </c>
      <c r="E2222" s="3" t="n">
        <v>2.16</v>
      </c>
      <c r="F2222" s="3" t="n">
        <v>4.69</v>
      </c>
      <c r="G2222" s="3">
        <f>F2222-E2222</f>
        <v/>
      </c>
      <c r="H2222" s="4">
        <f>IF(E2222=0,"",F2222/E2222-1)</f>
        <v/>
      </c>
      <c r="I2222" t="inlineStr"/>
    </row>
    <row r="2223">
      <c r="A2223" t="inlineStr">
        <is>
          <t>Base metals &amp; articles</t>
        </is>
      </c>
      <c r="B2223" t="inlineStr">
        <is>
          <t>72</t>
        </is>
      </c>
      <c r="C2223" t="inlineStr">
        <is>
          <t>72024100</t>
        </is>
      </c>
      <c r="D2223" t="inlineStr">
        <is>
          <t>FERRO-CHROMIUM CARBON CONTNG&gt;4% BY WT</t>
        </is>
      </c>
      <c r="E2223" s="3" t="n">
        <v>1.21</v>
      </c>
      <c r="F2223" s="3" t="n">
        <v>4.57</v>
      </c>
      <c r="G2223" s="3">
        <f>F2223-E2223</f>
        <v/>
      </c>
      <c r="H2223" s="4">
        <f>IF(E2223=0,"",F2223/E2223-1)</f>
        <v/>
      </c>
      <c r="I2223" t="inlineStr"/>
    </row>
    <row r="2224">
      <c r="A2224" t="inlineStr">
        <is>
          <t>Base metals &amp; articles</t>
        </is>
      </c>
      <c r="B2224" t="inlineStr">
        <is>
          <t>73</t>
        </is>
      </c>
      <c r="C2224" t="inlineStr">
        <is>
          <t>73160010</t>
        </is>
      </c>
      <c r="D2224" t="inlineStr">
        <is>
          <t>ANCHORS AND GRAPNELS</t>
        </is>
      </c>
      <c r="E2224" s="3" t="n">
        <v>6.34</v>
      </c>
      <c r="F2224" s="3" t="n">
        <v>4.32</v>
      </c>
      <c r="G2224" s="3">
        <f>F2224-E2224</f>
        <v/>
      </c>
      <c r="H2224" s="4">
        <f>IF(E2224=0,"",F2224/E2224-1)</f>
        <v/>
      </c>
      <c r="I2224" t="inlineStr"/>
    </row>
    <row r="2225">
      <c r="A2225" t="inlineStr">
        <is>
          <t>Base metals &amp; articles</t>
        </is>
      </c>
      <c r="B2225" t="inlineStr">
        <is>
          <t>72</t>
        </is>
      </c>
      <c r="C2225" t="inlineStr">
        <is>
          <t>72083930</t>
        </is>
      </c>
      <c r="D2225" t="inlineStr">
        <is>
          <t>SHEETS OF FLAT-ROLD PRDCTS IN COILS OF A THCKNS&lt; 3 MM HOT-RLD,EXCL.PICKL</t>
        </is>
      </c>
      <c r="E2225" s="3" t="n">
        <v>0.06</v>
      </c>
      <c r="F2225" s="3" t="n">
        <v>4.2</v>
      </c>
      <c r="G2225" s="3">
        <f>F2225-E2225</f>
        <v/>
      </c>
      <c r="H2225" s="4">
        <f>IF(E2225=0,"",F2225/E2225-1)</f>
        <v/>
      </c>
      <c r="I2225" t="inlineStr"/>
    </row>
    <row r="2226">
      <c r="A2226" t="inlineStr">
        <is>
          <t>Base metals &amp; articles</t>
        </is>
      </c>
      <c r="B2226" t="inlineStr">
        <is>
          <t>73</t>
        </is>
      </c>
      <c r="C2226" t="inlineStr">
        <is>
          <t>73071900</t>
        </is>
      </c>
      <c r="D2226" t="inlineStr">
        <is>
          <t>OTHER CAST FITTINGS</t>
        </is>
      </c>
      <c r="E2226" s="3" t="n">
        <v>4.79</v>
      </c>
      <c r="F2226" s="3" t="n">
        <v>4.16</v>
      </c>
      <c r="G2226" s="3">
        <f>F2226-E2226</f>
        <v/>
      </c>
      <c r="H2226" s="4">
        <f>IF(E2226=0,"",F2226/E2226-1)</f>
        <v/>
      </c>
      <c r="I2226" t="inlineStr"/>
    </row>
    <row r="2227">
      <c r="A2227" t="inlineStr">
        <is>
          <t>Base metals &amp; articles</t>
        </is>
      </c>
      <c r="B2227" t="inlineStr">
        <is>
          <t>78</t>
        </is>
      </c>
      <c r="C2227" t="inlineStr">
        <is>
          <t>78019100</t>
        </is>
      </c>
      <c r="D2227" t="inlineStr">
        <is>
          <t>OTHR UNWROUGHT LEAD CONTNG BY WT ANTIMONY AS THE PRINCIPAL OTHER ELEMENT</t>
        </is>
      </c>
      <c r="E2227" s="3" t="n">
        <v>2.04</v>
      </c>
      <c r="F2227" s="3" t="n">
        <v>4.15</v>
      </c>
      <c r="G2227" s="3">
        <f>F2227-E2227</f>
        <v/>
      </c>
      <c r="H2227" s="4">
        <f>IF(E2227=0,"",F2227/E2227-1)</f>
        <v/>
      </c>
      <c r="I2227" t="inlineStr"/>
    </row>
    <row r="2228">
      <c r="A2228" t="inlineStr">
        <is>
          <t>Base metals &amp; articles</t>
        </is>
      </c>
      <c r="B2228" t="inlineStr">
        <is>
          <t>75</t>
        </is>
      </c>
      <c r="C2228" t="inlineStr">
        <is>
          <t>75072000</t>
        </is>
      </c>
      <c r="D2228" t="inlineStr">
        <is>
          <t>TUBES OR PIPE FITTINGS</t>
        </is>
      </c>
      <c r="E2228" s="3" t="n">
        <v>1.54</v>
      </c>
      <c r="F2228" s="3" t="n">
        <v>4.11</v>
      </c>
      <c r="G2228" s="3">
        <f>F2228-E2228</f>
        <v/>
      </c>
      <c r="H2228" s="4">
        <f>IF(E2228=0,"",F2228/E2228-1)</f>
        <v/>
      </c>
      <c r="I2228" t="inlineStr"/>
    </row>
    <row r="2229">
      <c r="A2229" t="inlineStr">
        <is>
          <t>Base metals &amp; articles</t>
        </is>
      </c>
      <c r="B2229" t="inlineStr">
        <is>
          <t>76</t>
        </is>
      </c>
      <c r="C2229" t="inlineStr">
        <is>
          <t>76151021</t>
        </is>
      </c>
      <c r="D2229" t="inlineStr">
        <is>
          <t>NON-STICK</t>
        </is>
      </c>
      <c r="E2229" s="3" t="n">
        <v>4.25</v>
      </c>
      <c r="F2229" s="3" t="n">
        <v>4.07</v>
      </c>
      <c r="G2229" s="3">
        <f>F2229-E2229</f>
        <v/>
      </c>
      <c r="H2229" s="4">
        <f>IF(E2229=0,"",F2229/E2229-1)</f>
        <v/>
      </c>
      <c r="I2229" t="inlineStr"/>
    </row>
    <row r="2230">
      <c r="A2230" t="inlineStr">
        <is>
          <t>Base metals &amp; articles</t>
        </is>
      </c>
      <c r="B2230" t="inlineStr">
        <is>
          <t>75</t>
        </is>
      </c>
      <c r="C2230" t="inlineStr">
        <is>
          <t>75071200</t>
        </is>
      </c>
      <c r="D2230" t="inlineStr">
        <is>
          <t>TUBES AND PIPES OF NICKEL ALLOYS</t>
        </is>
      </c>
      <c r="E2230" s="3" t="n">
        <v>5.44</v>
      </c>
      <c r="F2230" s="3" t="n">
        <v>3.99</v>
      </c>
      <c r="G2230" s="3">
        <f>F2230-E2230</f>
        <v/>
      </c>
      <c r="H2230" s="4">
        <f>IF(E2230=0,"",F2230/E2230-1)</f>
        <v/>
      </c>
      <c r="I2230" t="inlineStr"/>
    </row>
    <row r="2231">
      <c r="A2231" t="inlineStr">
        <is>
          <t>Base metals &amp; articles</t>
        </is>
      </c>
      <c r="B2231" t="inlineStr">
        <is>
          <t>73</t>
        </is>
      </c>
      <c r="C2231" t="inlineStr">
        <is>
          <t>73041110</t>
        </is>
      </c>
      <c r="D2231" t="inlineStr">
        <is>
          <t>TUBES AND PIPES</t>
        </is>
      </c>
      <c r="E2231" s="3" t="n">
        <v>3.14</v>
      </c>
      <c r="F2231" s="3" t="n">
        <v>3.82</v>
      </c>
      <c r="G2231" s="3">
        <f>F2231-E2231</f>
        <v/>
      </c>
      <c r="H2231" s="4">
        <f>IF(E2231=0,"",F2231/E2231-1)</f>
        <v/>
      </c>
      <c r="I2231" t="inlineStr"/>
    </row>
    <row r="2232">
      <c r="A2232" t="inlineStr">
        <is>
          <t>Base metals &amp; articles</t>
        </is>
      </c>
      <c r="B2232" t="inlineStr">
        <is>
          <t>72</t>
        </is>
      </c>
      <c r="C2232" t="inlineStr">
        <is>
          <t>72021900</t>
        </is>
      </c>
      <c r="D2232" t="inlineStr">
        <is>
          <t>OTHER FERRO-MANGANESE</t>
        </is>
      </c>
      <c r="E2232" s="3" t="n">
        <v>44.99</v>
      </c>
      <c r="F2232" s="3" t="n">
        <v>3.79</v>
      </c>
      <c r="G2232" s="3">
        <f>F2232-E2232</f>
        <v/>
      </c>
      <c r="H2232" s="4">
        <f>IF(E2232=0,"",F2232/E2232-1)</f>
        <v/>
      </c>
      <c r="I2232" t="inlineStr"/>
    </row>
    <row r="2233">
      <c r="A2233" t="inlineStr">
        <is>
          <t>Base metals &amp; articles</t>
        </is>
      </c>
      <c r="B2233" t="inlineStr">
        <is>
          <t>82</t>
        </is>
      </c>
      <c r="C2233" t="inlineStr">
        <is>
          <t>82121090</t>
        </is>
      </c>
      <c r="D2233" t="inlineStr">
        <is>
          <t>OTHER RAZORS</t>
        </is>
      </c>
      <c r="E2233" s="3" t="n">
        <v>3</v>
      </c>
      <c r="F2233" s="3" t="n">
        <v>3.59</v>
      </c>
      <c r="G2233" s="3">
        <f>F2233-E2233</f>
        <v/>
      </c>
      <c r="H2233" s="4">
        <f>IF(E2233=0,"",F2233/E2233-1)</f>
        <v/>
      </c>
      <c r="I2233" t="inlineStr"/>
    </row>
    <row r="2234">
      <c r="A2234" t="inlineStr">
        <is>
          <t>Base metals &amp; articles</t>
        </is>
      </c>
      <c r="B2234" t="inlineStr">
        <is>
          <t>73</t>
        </is>
      </c>
      <c r="C2234" t="inlineStr">
        <is>
          <t>73181900</t>
        </is>
      </c>
      <c r="D2234" t="inlineStr">
        <is>
          <t>OTHER THREADED ARTICLES</t>
        </is>
      </c>
      <c r="E2234" s="3" t="n">
        <v>1.73</v>
      </c>
      <c r="F2234" s="3" t="n">
        <v>3.53</v>
      </c>
      <c r="G2234" s="3">
        <f>F2234-E2234</f>
        <v/>
      </c>
      <c r="H2234" s="4">
        <f>IF(E2234=0,"",F2234/E2234-1)</f>
        <v/>
      </c>
      <c r="I2234" t="inlineStr"/>
    </row>
    <row r="2235">
      <c r="A2235" t="inlineStr">
        <is>
          <t>Base metals &amp; articles</t>
        </is>
      </c>
      <c r="B2235" t="inlineStr">
        <is>
          <t>73</t>
        </is>
      </c>
      <c r="C2235" t="inlineStr">
        <is>
          <t>73110090</t>
        </is>
      </c>
      <c r="D2235" t="inlineStr">
        <is>
          <t>OTHER PRESSURE CONTAINERS FOR TRANSPORT OR STORAGE OF COMPRESSED GASES</t>
        </is>
      </c>
      <c r="E2235" s="3" t="n">
        <v>6.65</v>
      </c>
      <c r="F2235" s="3" t="n">
        <v>3.43</v>
      </c>
      <c r="G2235" s="3">
        <f>F2235-E2235</f>
        <v/>
      </c>
      <c r="H2235" s="4">
        <f>IF(E2235=0,"",F2235/E2235-1)</f>
        <v/>
      </c>
      <c r="I2235" t="inlineStr"/>
    </row>
    <row r="2236">
      <c r="A2236" t="inlineStr">
        <is>
          <t>Base metals &amp; articles</t>
        </is>
      </c>
      <c r="B2236" t="inlineStr">
        <is>
          <t>73</t>
        </is>
      </c>
      <c r="C2236" t="inlineStr">
        <is>
          <t>73083000</t>
        </is>
      </c>
      <c r="D2236" t="inlineStr">
        <is>
          <t>DORS,WNDWS AND THR FRAMS AND THRSHOLDS FR DORS</t>
        </is>
      </c>
      <c r="E2236" s="3" t="n">
        <v>7.22</v>
      </c>
      <c r="F2236" s="3" t="n">
        <v>3.38</v>
      </c>
      <c r="G2236" s="3">
        <f>F2236-E2236</f>
        <v/>
      </c>
      <c r="H2236" s="4">
        <f>IF(E2236=0,"",F2236/E2236-1)</f>
        <v/>
      </c>
      <c r="I2236" t="inlineStr"/>
    </row>
    <row r="2237">
      <c r="A2237" t="inlineStr">
        <is>
          <t>Base metals &amp; articles</t>
        </is>
      </c>
      <c r="B2237" t="inlineStr">
        <is>
          <t>76</t>
        </is>
      </c>
      <c r="C2237" t="inlineStr">
        <is>
          <t>76071994</t>
        </is>
      </c>
      <c r="D2237" t="inlineStr">
        <is>
          <t>COATED ALUMNM FOIL NOT ROLLED AND NOT BCKD</t>
        </is>
      </c>
      <c r="E2237" s="3" t="n">
        <v>1.46</v>
      </c>
      <c r="F2237" s="3" t="n">
        <v>3.28</v>
      </c>
      <c r="G2237" s="3">
        <f>F2237-E2237</f>
        <v/>
      </c>
      <c r="H2237" s="4">
        <f>IF(E2237=0,"",F2237/E2237-1)</f>
        <v/>
      </c>
      <c r="I2237" t="inlineStr"/>
    </row>
    <row r="2238">
      <c r="A2238" t="inlineStr">
        <is>
          <t>Base metals &amp; articles</t>
        </is>
      </c>
      <c r="B2238" t="inlineStr">
        <is>
          <t>72</t>
        </is>
      </c>
      <c r="C2238" t="inlineStr">
        <is>
          <t>72091730</t>
        </is>
      </c>
      <c r="D2238" t="inlineStr">
        <is>
          <t>STRIPS OF FLT RLD PRDCTS IN COILS NT FRTHRWRKD THN COLD RLD OF THCKNS&gt;=0.5MM BUT&lt;1MM</t>
        </is>
      </c>
      <c r="E2238" s="3" t="n">
        <v>3.71</v>
      </c>
      <c r="F2238" s="3" t="n">
        <v>3.26</v>
      </c>
      <c r="G2238" s="3">
        <f>F2238-E2238</f>
        <v/>
      </c>
      <c r="H2238" s="4">
        <f>IF(E2238=0,"",F2238/E2238-1)</f>
        <v/>
      </c>
      <c r="I2238" t="inlineStr"/>
    </row>
    <row r="2239">
      <c r="A2239" t="inlineStr">
        <is>
          <t>Base metals &amp; articles</t>
        </is>
      </c>
      <c r="B2239" t="inlineStr">
        <is>
          <t>72</t>
        </is>
      </c>
      <c r="C2239" t="inlineStr">
        <is>
          <t>72162200</t>
        </is>
      </c>
      <c r="D2239" t="inlineStr">
        <is>
          <t>T-SCTNS,HT-RLLD,HT-DRWN OF HEIGHT&lt;80 MM</t>
        </is>
      </c>
      <c r="E2239" s="3" t="n">
        <v>2.49</v>
      </c>
      <c r="F2239" s="3" t="n">
        <v>3.13</v>
      </c>
      <c r="G2239" s="3">
        <f>F2239-E2239</f>
        <v/>
      </c>
      <c r="H2239" s="4">
        <f>IF(E2239=0,"",F2239/E2239-1)</f>
        <v/>
      </c>
      <c r="I2239" t="inlineStr"/>
    </row>
    <row r="2240">
      <c r="A2240" t="inlineStr">
        <is>
          <t>Base metals &amp; articles</t>
        </is>
      </c>
      <c r="B2240" t="inlineStr">
        <is>
          <t>72</t>
        </is>
      </c>
      <c r="C2240" t="inlineStr">
        <is>
          <t>72192212</t>
        </is>
      </c>
      <c r="D2240" t="inlineStr">
        <is>
          <t>NCKL CHRM AUSTENTIC(UNIVERSAL PLATES</t>
        </is>
      </c>
      <c r="E2240" s="3" t="n">
        <v>2.22</v>
      </c>
      <c r="F2240" s="3" t="n">
        <v>2.9</v>
      </c>
      <c r="G2240" s="3">
        <f>F2240-E2240</f>
        <v/>
      </c>
      <c r="H2240" s="4">
        <f>IF(E2240=0,"",F2240/E2240-1)</f>
        <v/>
      </c>
      <c r="I2240" t="inlineStr"/>
    </row>
    <row r="2241">
      <c r="A2241" t="inlineStr">
        <is>
          <t>Base metals &amp; articles</t>
        </is>
      </c>
      <c r="B2241" t="inlineStr">
        <is>
          <t>72</t>
        </is>
      </c>
      <c r="C2241" t="inlineStr">
        <is>
          <t>72191200</t>
        </is>
      </c>
      <c r="D2241" t="inlineStr">
        <is>
          <t>HT-RLLD PRDCTS IN COILS OF THCKNS &gt;=4.75 MM BT&lt;10 MM</t>
        </is>
      </c>
      <c r="E2241" s="3" t="n">
        <v>0.89</v>
      </c>
      <c r="F2241" s="3" t="n">
        <v>2.87</v>
      </c>
      <c r="G2241" s="3">
        <f>F2241-E2241</f>
        <v/>
      </c>
      <c r="H2241" s="4">
        <f>IF(E2241=0,"",F2241/E2241-1)</f>
        <v/>
      </c>
      <c r="I2241" t="inlineStr"/>
    </row>
    <row r="2242">
      <c r="A2242" t="inlineStr">
        <is>
          <t>Base metals &amp; articles</t>
        </is>
      </c>
      <c r="B2242" t="inlineStr">
        <is>
          <t>83</t>
        </is>
      </c>
      <c r="C2242" t="inlineStr">
        <is>
          <t>83030000</t>
        </is>
      </c>
      <c r="D2242" t="inlineStr">
        <is>
          <t>ARMORD/REINFRCD SAFES STRONG BOXS AND DOORS AND SAFE DPOST LCKRS FR STRNG ROOMS CSH/ DEEDBOXS ETC OF BASE METAL</t>
        </is>
      </c>
      <c r="E2242" s="3" t="n">
        <v>2.49</v>
      </c>
      <c r="F2242" s="3" t="n">
        <v>2.84</v>
      </c>
      <c r="G2242" s="3">
        <f>F2242-E2242</f>
        <v/>
      </c>
      <c r="H2242" s="4">
        <f>IF(E2242=0,"",F2242/E2242-1)</f>
        <v/>
      </c>
      <c r="I2242" t="inlineStr"/>
    </row>
    <row r="2243">
      <c r="A2243" t="inlineStr">
        <is>
          <t>Base metals &amp; articles</t>
        </is>
      </c>
      <c r="B2243" t="inlineStr">
        <is>
          <t>76</t>
        </is>
      </c>
      <c r="C2243" t="inlineStr">
        <is>
          <t>76072090</t>
        </is>
      </c>
      <c r="D2243" t="inlineStr">
        <is>
          <t>OTHER BACKED ALLUMNM FOIL</t>
        </is>
      </c>
      <c r="E2243" s="3" t="n">
        <v>2.7</v>
      </c>
      <c r="F2243" s="3" t="n">
        <v>2.76</v>
      </c>
      <c r="G2243" s="3">
        <f>F2243-E2243</f>
        <v/>
      </c>
      <c r="H2243" s="4">
        <f>IF(E2243=0,"",F2243/E2243-1)</f>
        <v/>
      </c>
      <c r="I2243" t="inlineStr"/>
    </row>
    <row r="2244">
      <c r="A2244" t="inlineStr">
        <is>
          <t>Base metals &amp; articles</t>
        </is>
      </c>
      <c r="B2244" t="inlineStr">
        <is>
          <t>76</t>
        </is>
      </c>
      <c r="C2244" t="inlineStr">
        <is>
          <t>76071999</t>
        </is>
      </c>
      <c r="D2244" t="inlineStr">
        <is>
          <t>ALUMNM FOIL NOT ROLLED AND NOT BCKD N.E.S.</t>
        </is>
      </c>
      <c r="E2244" s="3" t="n">
        <v>4.03</v>
      </c>
      <c r="F2244" s="3" t="n">
        <v>2.73</v>
      </c>
      <c r="G2244" s="3">
        <f>F2244-E2244</f>
        <v/>
      </c>
      <c r="H2244" s="4">
        <f>IF(E2244=0,"",F2244/E2244-1)</f>
        <v/>
      </c>
      <c r="I2244" t="inlineStr"/>
    </row>
    <row r="2245">
      <c r="A2245" t="inlineStr">
        <is>
          <t>Base metals &amp; articles</t>
        </is>
      </c>
      <c r="B2245" t="inlineStr">
        <is>
          <t>72</t>
        </is>
      </c>
      <c r="C2245" t="inlineStr">
        <is>
          <t>72124000</t>
        </is>
      </c>
      <c r="D2245" t="inlineStr">
        <is>
          <t>PRDCTS PAINTD,VARNSHD/COATD WTH PLASTIC</t>
        </is>
      </c>
      <c r="E2245" s="3" t="n">
        <v>2.05</v>
      </c>
      <c r="F2245" s="3" t="n">
        <v>2.63</v>
      </c>
      <c r="G2245" s="3">
        <f>F2245-E2245</f>
        <v/>
      </c>
      <c r="H2245" s="4">
        <f>IF(E2245=0,"",F2245/E2245-1)</f>
        <v/>
      </c>
      <c r="I2245" t="inlineStr"/>
    </row>
    <row r="2246">
      <c r="A2246" t="inlineStr">
        <is>
          <t>Base metals &amp; articles</t>
        </is>
      </c>
      <c r="B2246" t="inlineStr">
        <is>
          <t>73</t>
        </is>
      </c>
      <c r="C2246" t="inlineStr">
        <is>
          <t>73049000</t>
        </is>
      </c>
      <c r="D2246" t="inlineStr">
        <is>
          <t>OTHR SEAMLESS TUBES/PIPES AND HOLOW PORFILES</t>
        </is>
      </c>
      <c r="E2246" s="3" t="n">
        <v>3.29</v>
      </c>
      <c r="F2246" s="3" t="n">
        <v>2.56</v>
      </c>
      <c r="G2246" s="3">
        <f>F2246-E2246</f>
        <v/>
      </c>
      <c r="H2246" s="4">
        <f>IF(E2246=0,"",F2246/E2246-1)</f>
        <v/>
      </c>
      <c r="I2246" t="inlineStr"/>
    </row>
    <row r="2247">
      <c r="A2247" t="inlineStr">
        <is>
          <t>Base metals &amp; articles</t>
        </is>
      </c>
      <c r="B2247" t="inlineStr">
        <is>
          <t>76</t>
        </is>
      </c>
      <c r="C2247" t="inlineStr">
        <is>
          <t>76121030</t>
        </is>
      </c>
      <c r="D2247" t="inlineStr">
        <is>
          <t>COLLAPSIBLE TUBULAR CONTAINERS :PRINTED</t>
        </is>
      </c>
      <c r="E2247" s="3" t="n">
        <v>1.4</v>
      </c>
      <c r="F2247" s="3" t="n">
        <v>2.54</v>
      </c>
      <c r="G2247" s="3">
        <f>F2247-E2247</f>
        <v/>
      </c>
      <c r="H2247" s="4">
        <f>IF(E2247=0,"",F2247/E2247-1)</f>
        <v/>
      </c>
      <c r="I2247" t="inlineStr"/>
    </row>
    <row r="2248">
      <c r="A2248" t="inlineStr">
        <is>
          <t>Base metals &amp; articles</t>
        </is>
      </c>
      <c r="B2248" t="inlineStr">
        <is>
          <t>74</t>
        </is>
      </c>
      <c r="C2248" t="inlineStr">
        <is>
          <t>74111000</t>
        </is>
      </c>
      <c r="D2248" t="inlineStr">
        <is>
          <t>TUBES AND PIPES OF REFINED COPPER</t>
        </is>
      </c>
      <c r="E2248" s="3" t="n">
        <v>2.73</v>
      </c>
      <c r="F2248" s="3" t="n">
        <v>2.51</v>
      </c>
      <c r="G2248" s="3">
        <f>F2248-E2248</f>
        <v/>
      </c>
      <c r="H2248" s="4">
        <f>IF(E2248=0,"",F2248/E2248-1)</f>
        <v/>
      </c>
      <c r="I2248" t="inlineStr"/>
    </row>
    <row r="2249">
      <c r="A2249" t="inlineStr">
        <is>
          <t>Base metals &amp; articles</t>
        </is>
      </c>
      <c r="B2249" t="inlineStr">
        <is>
          <t>72</t>
        </is>
      </c>
      <c r="C2249" t="inlineStr">
        <is>
          <t>72085110</t>
        </is>
      </c>
      <c r="D2249" t="inlineStr">
        <is>
          <t>PLATES OF FLAT-ROLD PRDCTS NOT IN COILS OFTHCKNS EXCD 10 MM HOT-RLD PICKLD</t>
        </is>
      </c>
      <c r="E2249" s="3" t="n">
        <v>2.81</v>
      </c>
      <c r="F2249" s="3" t="n">
        <v>2.45</v>
      </c>
      <c r="G2249" s="3">
        <f>F2249-E2249</f>
        <v/>
      </c>
      <c r="H2249" s="4">
        <f>IF(E2249=0,"",F2249/E2249-1)</f>
        <v/>
      </c>
      <c r="I2249" t="inlineStr"/>
    </row>
    <row r="2250">
      <c r="A2250" t="inlineStr">
        <is>
          <t>Base metals &amp; articles</t>
        </is>
      </c>
      <c r="B2250" t="inlineStr">
        <is>
          <t>73</t>
        </is>
      </c>
      <c r="C2250" t="inlineStr">
        <is>
          <t>73181600</t>
        </is>
      </c>
      <c r="D2250" t="inlineStr">
        <is>
          <t>THREADED NUTS</t>
        </is>
      </c>
      <c r="E2250" s="3" t="n">
        <v>2.79</v>
      </c>
      <c r="F2250" s="3" t="n">
        <v>2.35</v>
      </c>
      <c r="G2250" s="3">
        <f>F2250-E2250</f>
        <v/>
      </c>
      <c r="H2250" s="4">
        <f>IF(E2250=0,"",F2250/E2250-1)</f>
        <v/>
      </c>
      <c r="I2250" t="inlineStr"/>
    </row>
    <row r="2251">
      <c r="A2251" t="inlineStr">
        <is>
          <t>Base metals &amp; articles</t>
        </is>
      </c>
      <c r="B2251" t="inlineStr">
        <is>
          <t>73</t>
        </is>
      </c>
      <c r="C2251" t="inlineStr">
        <is>
          <t>73182990</t>
        </is>
      </c>
      <c r="D2251" t="inlineStr">
        <is>
          <t>OTHER NON-THREADED ARTICLES N.E.S.</t>
        </is>
      </c>
      <c r="E2251" s="3" t="n">
        <v>2.69</v>
      </c>
      <c r="F2251" s="3" t="n">
        <v>2.23</v>
      </c>
      <c r="G2251" s="3">
        <f>F2251-E2251</f>
        <v/>
      </c>
      <c r="H2251" s="4">
        <f>IF(E2251=0,"",F2251/E2251-1)</f>
        <v/>
      </c>
      <c r="I2251" t="inlineStr"/>
    </row>
    <row r="2252">
      <c r="A2252" t="inlineStr">
        <is>
          <t>Base metals &amp; articles</t>
        </is>
      </c>
      <c r="B2252" t="inlineStr">
        <is>
          <t>76</t>
        </is>
      </c>
      <c r="C2252" t="inlineStr">
        <is>
          <t>76061190</t>
        </is>
      </c>
      <c r="D2252" t="inlineStr">
        <is>
          <t>OTHERS-OF-RECTANGULAR(INCLUDING SQUARE) PLATESSHEETS,STRIP OF ALUMINIUM-NOT ALLOYED</t>
        </is>
      </c>
      <c r="E2252" s="3" t="n">
        <v>1.43</v>
      </c>
      <c r="F2252" s="3" t="n">
        <v>2.15</v>
      </c>
      <c r="G2252" s="3">
        <f>F2252-E2252</f>
        <v/>
      </c>
      <c r="H2252" s="4">
        <f>IF(E2252=0,"",F2252/E2252-1)</f>
        <v/>
      </c>
      <c r="I2252" t="inlineStr"/>
    </row>
    <row r="2253">
      <c r="A2253" t="inlineStr">
        <is>
          <t>Base metals &amp; articles</t>
        </is>
      </c>
      <c r="B2253" t="inlineStr">
        <is>
          <t>76</t>
        </is>
      </c>
      <c r="C2253" t="inlineStr">
        <is>
          <t>76012020</t>
        </is>
      </c>
      <c r="D2253" t="inlineStr">
        <is>
          <t>ALUMINIUM BILLETS - ALLOYED</t>
        </is>
      </c>
      <c r="E2253" s="3" t="n">
        <v>32.8</v>
      </c>
      <c r="F2253" s="3" t="n">
        <v>2.09</v>
      </c>
      <c r="G2253" s="3">
        <f>F2253-E2253</f>
        <v/>
      </c>
      <c r="H2253" s="4">
        <f>IF(E2253=0,"",F2253/E2253-1)</f>
        <v/>
      </c>
      <c r="I2253" t="inlineStr"/>
    </row>
    <row r="2254">
      <c r="A2254" t="inlineStr">
        <is>
          <t>Base metals &amp; articles</t>
        </is>
      </c>
      <c r="B2254" t="inlineStr">
        <is>
          <t>73</t>
        </is>
      </c>
      <c r="C2254" t="inlineStr">
        <is>
          <t>73069090</t>
        </is>
      </c>
      <c r="D2254" t="inlineStr">
        <is>
          <t>OTHER TUBES,PIPES ETC.OF IRON/STEEL N.E.S.</t>
        </is>
      </c>
      <c r="E2254" s="3" t="n">
        <v>1.36</v>
      </c>
      <c r="F2254" s="3" t="n">
        <v>2.08</v>
      </c>
      <c r="G2254" s="3">
        <f>F2254-E2254</f>
        <v/>
      </c>
      <c r="H2254" s="4">
        <f>IF(E2254=0,"",F2254/E2254-1)</f>
        <v/>
      </c>
      <c r="I2254" t="inlineStr"/>
    </row>
    <row r="2255">
      <c r="A2255" t="inlineStr">
        <is>
          <t>Base metals &amp; articles</t>
        </is>
      </c>
      <c r="B2255" t="inlineStr">
        <is>
          <t>72</t>
        </is>
      </c>
      <c r="C2255" t="inlineStr">
        <is>
          <t>72230091</t>
        </is>
      </c>
      <c r="D2255" t="inlineStr">
        <is>
          <t>WIRE OF STAINLS STL THICKER THAN 1.5 MM</t>
        </is>
      </c>
      <c r="E2255" s="3" t="n">
        <v>6.46</v>
      </c>
      <c r="F2255" s="3" t="n">
        <v>1.99</v>
      </c>
      <c r="G2255" s="3">
        <f>F2255-E2255</f>
        <v/>
      </c>
      <c r="H2255" s="4">
        <f>IF(E2255=0,"",F2255/E2255-1)</f>
        <v/>
      </c>
      <c r="I2255" t="inlineStr"/>
    </row>
    <row r="2256">
      <c r="A2256" t="inlineStr">
        <is>
          <t>Base metals &amp; articles</t>
        </is>
      </c>
      <c r="B2256" t="inlineStr">
        <is>
          <t>73</t>
        </is>
      </c>
      <c r="C2256" t="inlineStr">
        <is>
          <t>73072300</t>
        </is>
      </c>
      <c r="D2256" t="inlineStr">
        <is>
          <t>BUTT WELDING FITTINGS OF STAINLESS STEEL</t>
        </is>
      </c>
      <c r="E2256" s="3" t="n">
        <v>1.56</v>
      </c>
      <c r="F2256" s="3" t="n">
        <v>1.96</v>
      </c>
      <c r="G2256" s="3">
        <f>F2256-E2256</f>
        <v/>
      </c>
      <c r="H2256" s="4">
        <f>IF(E2256=0,"",F2256/E2256-1)</f>
        <v/>
      </c>
      <c r="I2256" t="inlineStr"/>
    </row>
    <row r="2257">
      <c r="A2257" t="inlineStr">
        <is>
          <t>Base metals &amp; articles</t>
        </is>
      </c>
      <c r="B2257" t="inlineStr">
        <is>
          <t>74</t>
        </is>
      </c>
      <c r="C2257" t="inlineStr">
        <is>
          <t>74198090</t>
        </is>
      </c>
      <c r="D2257" t="inlineStr">
        <is>
          <t>OTHER ARTICLES OF COPPER</t>
        </is>
      </c>
      <c r="E2257" s="3" t="n">
        <v>1.86</v>
      </c>
      <c r="F2257" s="3" t="n">
        <v>1.84</v>
      </c>
      <c r="G2257" s="3">
        <f>F2257-E2257</f>
        <v/>
      </c>
      <c r="H2257" s="4">
        <f>IF(E2257=0,"",F2257/E2257-1)</f>
        <v/>
      </c>
      <c r="I2257" t="inlineStr"/>
    </row>
    <row r="2258">
      <c r="A2258" t="inlineStr">
        <is>
          <t>Base metals &amp; articles</t>
        </is>
      </c>
      <c r="B2258" t="inlineStr">
        <is>
          <t>72</t>
        </is>
      </c>
      <c r="C2258" t="inlineStr">
        <is>
          <t>72155010</t>
        </is>
      </c>
      <c r="D2258" t="inlineStr">
        <is>
          <t>MILD STEEL BRIGHT BAR</t>
        </is>
      </c>
      <c r="E2258" s="3" t="n">
        <v>2.11</v>
      </c>
      <c r="F2258" s="3" t="n">
        <v>1.81</v>
      </c>
      <c r="G2258" s="3">
        <f>F2258-E2258</f>
        <v/>
      </c>
      <c r="H2258" s="4">
        <f>IF(E2258=0,"",F2258/E2258-1)</f>
        <v/>
      </c>
      <c r="I2258" t="inlineStr"/>
    </row>
    <row r="2259">
      <c r="A2259" t="inlineStr">
        <is>
          <t>Base metals &amp; articles</t>
        </is>
      </c>
      <c r="B2259" t="inlineStr">
        <is>
          <t>83</t>
        </is>
      </c>
      <c r="C2259" t="inlineStr">
        <is>
          <t>83024200</t>
        </is>
      </c>
      <c r="D2259" t="inlineStr">
        <is>
          <t>OTHER FTTNGS ETC SUITABLE FOR FURNITURE</t>
        </is>
      </c>
      <c r="E2259" s="3" t="n">
        <v>1.47</v>
      </c>
      <c r="F2259" s="3" t="n">
        <v>1.8</v>
      </c>
      <c r="G2259" s="3">
        <f>F2259-E2259</f>
        <v/>
      </c>
      <c r="H2259" s="4">
        <f>IF(E2259=0,"",F2259/E2259-1)</f>
        <v/>
      </c>
      <c r="I2259" t="inlineStr"/>
    </row>
    <row r="2260">
      <c r="A2260" t="inlineStr">
        <is>
          <t>Base metals &amp; articles</t>
        </is>
      </c>
      <c r="B2260" t="inlineStr">
        <is>
          <t>72</t>
        </is>
      </c>
      <c r="C2260" t="inlineStr">
        <is>
          <t>72083710</t>
        </is>
      </c>
      <c r="D2260" t="inlineStr">
        <is>
          <t>PLATES OF FLAT-ROLD PRDCTS IN COILS OF A THCKNS&gt;=4.75 BUT&lt; 10MM HOT-RLD,EXCL.PICKL</t>
        </is>
      </c>
      <c r="E2260" s="3" t="n">
        <v>4.37</v>
      </c>
      <c r="F2260" s="3" t="n">
        <v>1.79</v>
      </c>
      <c r="G2260" s="3">
        <f>F2260-E2260</f>
        <v/>
      </c>
      <c r="H2260" s="4">
        <f>IF(E2260=0,"",F2260/E2260-1)</f>
        <v/>
      </c>
      <c r="I2260" t="inlineStr"/>
    </row>
    <row r="2261">
      <c r="A2261" t="inlineStr">
        <is>
          <t>Base metals &amp; articles</t>
        </is>
      </c>
      <c r="B2261" t="inlineStr">
        <is>
          <t>82</t>
        </is>
      </c>
      <c r="C2261" t="inlineStr">
        <is>
          <t>82159900</t>
        </is>
      </c>
      <c r="D2261" t="inlineStr">
        <is>
          <t>OTHR ARTICLES NOT IN SETS</t>
        </is>
      </c>
      <c r="E2261" s="3" t="n">
        <v>1.84</v>
      </c>
      <c r="F2261" s="3" t="n">
        <v>1.79</v>
      </c>
      <c r="G2261" s="3">
        <f>F2261-E2261</f>
        <v/>
      </c>
      <c r="H2261" s="4">
        <f>IF(E2261=0,"",F2261/E2261-1)</f>
        <v/>
      </c>
      <c r="I2261" t="inlineStr"/>
    </row>
    <row r="2262">
      <c r="A2262" t="inlineStr">
        <is>
          <t>Base metals &amp; articles</t>
        </is>
      </c>
      <c r="B2262" t="inlineStr">
        <is>
          <t>73</t>
        </is>
      </c>
      <c r="C2262" t="inlineStr">
        <is>
          <t>73141990</t>
        </is>
      </c>
      <c r="D2262" t="inlineStr">
        <is>
          <t>OTHERS-OF-OTHER WOVEN CLOTH</t>
        </is>
      </c>
      <c r="E2262" s="3" t="n">
        <v>0.03</v>
      </c>
      <c r="F2262" s="3" t="n">
        <v>1.76</v>
      </c>
      <c r="G2262" s="3">
        <f>F2262-E2262</f>
        <v/>
      </c>
      <c r="H2262" s="4">
        <f>IF(E2262=0,"",F2262/E2262-1)</f>
        <v/>
      </c>
      <c r="I2262" t="inlineStr"/>
    </row>
    <row r="2263">
      <c r="A2263" t="inlineStr">
        <is>
          <t>Base metals &amp; articles</t>
        </is>
      </c>
      <c r="B2263" t="inlineStr">
        <is>
          <t>76</t>
        </is>
      </c>
      <c r="C2263" t="inlineStr">
        <is>
          <t>76151011</t>
        </is>
      </c>
      <c r="D2263" t="inlineStr">
        <is>
          <t>PRESSURE COOKERS</t>
        </is>
      </c>
      <c r="E2263" s="3" t="n">
        <v>2.73</v>
      </c>
      <c r="F2263" s="3" t="n">
        <v>1.73</v>
      </c>
      <c r="G2263" s="3">
        <f>F2263-E2263</f>
        <v/>
      </c>
      <c r="H2263" s="4">
        <f>IF(E2263=0,"",F2263/E2263-1)</f>
        <v/>
      </c>
      <c r="I2263" t="inlineStr"/>
    </row>
    <row r="2264">
      <c r="A2264" t="inlineStr">
        <is>
          <t>Base metals &amp; articles</t>
        </is>
      </c>
      <c r="B2264" t="inlineStr">
        <is>
          <t>73</t>
        </is>
      </c>
      <c r="C2264" t="inlineStr">
        <is>
          <t>73089050</t>
        </is>
      </c>
      <c r="D2264" t="inlineStr">
        <is>
          <t>STRUCTURES AND SUPER STRUCTURES FOR MINING</t>
        </is>
      </c>
      <c r="E2264" s="3" t="n">
        <v>0</v>
      </c>
      <c r="F2264" s="3" t="n">
        <v>1.67</v>
      </c>
      <c r="G2264" s="3">
        <f>F2264-E2264</f>
        <v/>
      </c>
      <c r="H2264" s="4">
        <f>IF(E2264=0,"",F2264/E2264-1)</f>
        <v/>
      </c>
      <c r="I2264" t="inlineStr"/>
    </row>
    <row r="2265">
      <c r="A2265" t="inlineStr">
        <is>
          <t>Base metals &amp; articles</t>
        </is>
      </c>
      <c r="B2265" t="inlineStr">
        <is>
          <t>76</t>
        </is>
      </c>
      <c r="C2265" t="inlineStr">
        <is>
          <t>76041010</t>
        </is>
      </c>
      <c r="D2265" t="inlineStr">
        <is>
          <t>WIRE RODS OF ALUMINIUM-NOT ALLOYED</t>
        </is>
      </c>
      <c r="E2265" s="3" t="n">
        <v>4.54</v>
      </c>
      <c r="F2265" s="3" t="n">
        <v>1.62</v>
      </c>
      <c r="G2265" s="3">
        <f>F2265-E2265</f>
        <v/>
      </c>
      <c r="H2265" s="4">
        <f>IF(E2265=0,"",F2265/E2265-1)</f>
        <v/>
      </c>
      <c r="I2265" t="inlineStr"/>
    </row>
    <row r="2266">
      <c r="A2266" t="inlineStr">
        <is>
          <t>Base metals &amp; articles</t>
        </is>
      </c>
      <c r="B2266" t="inlineStr">
        <is>
          <t>82</t>
        </is>
      </c>
      <c r="C2266" t="inlineStr">
        <is>
          <t>82073000</t>
        </is>
      </c>
      <c r="D2266" t="inlineStr">
        <is>
          <t>TOOLS FOR PRESING STAMPING OR PUNCHING</t>
        </is>
      </c>
      <c r="E2266" s="3" t="n">
        <v>1.36</v>
      </c>
      <c r="F2266" s="3" t="n">
        <v>1.61</v>
      </c>
      <c r="G2266" s="3">
        <f>F2266-E2266</f>
        <v/>
      </c>
      <c r="H2266" s="4">
        <f>IF(E2266=0,"",F2266/E2266-1)</f>
        <v/>
      </c>
      <c r="I2266" t="inlineStr"/>
    </row>
    <row r="2267">
      <c r="A2267" t="inlineStr">
        <is>
          <t>Base metals &amp; articles</t>
        </is>
      </c>
      <c r="B2267" t="inlineStr">
        <is>
          <t>72</t>
        </is>
      </c>
      <c r="C2267" t="inlineStr">
        <is>
          <t>72192121</t>
        </is>
      </c>
      <c r="D2267" t="inlineStr">
        <is>
          <t>UNIVRSL PLTS OF STNLS STL/HEAT RSTNG STL NCKL CHRM ASTNTC TYPE,&lt;14 MM BUT&gt;10 MM</t>
        </is>
      </c>
      <c r="E2267" s="3" t="n">
        <v>1.38</v>
      </c>
      <c r="F2267" s="3" t="n">
        <v>1.59</v>
      </c>
      <c r="G2267" s="3">
        <f>F2267-E2267</f>
        <v/>
      </c>
      <c r="H2267" s="4">
        <f>IF(E2267=0,"",F2267/E2267-1)</f>
        <v/>
      </c>
      <c r="I2267" t="inlineStr"/>
    </row>
    <row r="2268">
      <c r="A2268" t="inlineStr">
        <is>
          <t>Base metals &amp; articles</t>
        </is>
      </c>
      <c r="B2268" t="inlineStr">
        <is>
          <t>83</t>
        </is>
      </c>
      <c r="C2268" t="inlineStr">
        <is>
          <t>83113090</t>
        </is>
      </c>
      <c r="D2268" t="inlineStr">
        <is>
          <t>OTHER COATED RODS AND CORED WIRE OF BASE METAL FOR SOLDERNG BRAZING/WELDNG BY FLAME</t>
        </is>
      </c>
      <c r="E2268" s="3" t="n">
        <v>0.32</v>
      </c>
      <c r="F2268" s="3" t="n">
        <v>1.55</v>
      </c>
      <c r="G2268" s="3">
        <f>F2268-E2268</f>
        <v/>
      </c>
      <c r="H2268" s="4">
        <f>IF(E2268=0,"",F2268/E2268-1)</f>
        <v/>
      </c>
      <c r="I2268" t="inlineStr"/>
    </row>
    <row r="2269">
      <c r="A2269" t="inlineStr">
        <is>
          <t>Base metals &amp; articles</t>
        </is>
      </c>
      <c r="B2269" t="inlineStr">
        <is>
          <t>73</t>
        </is>
      </c>
      <c r="C2269" t="inlineStr">
        <is>
          <t>73143900</t>
        </is>
      </c>
      <c r="D2269" t="inlineStr">
        <is>
          <t>OTHR GRIL,NETNG ETC OF IRON/STL WIRE WELDDAT THE INTRSCTN PLTD/COTD WTH OTHR METAL</t>
        </is>
      </c>
      <c r="E2269" s="3" t="n">
        <v>0.27</v>
      </c>
      <c r="F2269" s="3" t="n">
        <v>1.54</v>
      </c>
      <c r="G2269" s="3">
        <f>F2269-E2269</f>
        <v/>
      </c>
      <c r="H2269" s="4">
        <f>IF(E2269=0,"",F2269/E2269-1)</f>
        <v/>
      </c>
      <c r="I2269" t="inlineStr"/>
    </row>
    <row r="2270">
      <c r="A2270" t="inlineStr">
        <is>
          <t>Base metals &amp; articles</t>
        </is>
      </c>
      <c r="B2270" t="inlineStr">
        <is>
          <t>73</t>
        </is>
      </c>
      <c r="C2270" t="inlineStr">
        <is>
          <t>73071190</t>
        </is>
      </c>
      <c r="D2270" t="inlineStr">
        <is>
          <t>OTHERS NON-MALLEABLE CAST IRON</t>
        </is>
      </c>
      <c r="E2270" s="3" t="n">
        <v>0.09</v>
      </c>
      <c r="F2270" s="3" t="n">
        <v>1.5</v>
      </c>
      <c r="G2270" s="3">
        <f>F2270-E2270</f>
        <v/>
      </c>
      <c r="H2270" s="4">
        <f>IF(E2270=0,"",F2270/E2270-1)</f>
        <v/>
      </c>
      <c r="I2270" t="inlineStr"/>
    </row>
    <row r="2271">
      <c r="A2271" t="inlineStr">
        <is>
          <t>Base metals &amp; articles</t>
        </is>
      </c>
      <c r="B2271" t="inlineStr">
        <is>
          <t>72</t>
        </is>
      </c>
      <c r="C2271" t="inlineStr">
        <is>
          <t>72083830</t>
        </is>
      </c>
      <c r="D2271" t="inlineStr">
        <is>
          <t>SHEETS OF FLAT-ROLD PRDCTS IN COILS OF A THCKNS&gt;=3 BUT&lt; 4.75MM HOT-RLD,EXCL.PICKL</t>
        </is>
      </c>
      <c r="E2271" s="3" t="n">
        <v>0.15</v>
      </c>
      <c r="F2271" s="3" t="n">
        <v>1.46</v>
      </c>
      <c r="G2271" s="3">
        <f>F2271-E2271</f>
        <v/>
      </c>
      <c r="H2271" s="4">
        <f>IF(E2271=0,"",F2271/E2271-1)</f>
        <v/>
      </c>
      <c r="I2271" t="inlineStr"/>
    </row>
    <row r="2272">
      <c r="A2272" t="inlineStr">
        <is>
          <t>Base metals &amp; articles</t>
        </is>
      </c>
      <c r="B2272" t="inlineStr">
        <is>
          <t>82</t>
        </is>
      </c>
      <c r="C2272" t="inlineStr">
        <is>
          <t>82122011</t>
        </is>
      </c>
      <c r="D2272" t="inlineStr">
        <is>
          <t>DISPOSABLE CARTRIDGE BLADE</t>
        </is>
      </c>
      <c r="E2272" s="3" t="n">
        <v>0.62</v>
      </c>
      <c r="F2272" s="3" t="n">
        <v>1.43</v>
      </c>
      <c r="G2272" s="3">
        <f>F2272-E2272</f>
        <v/>
      </c>
      <c r="H2272" s="4">
        <f>IF(E2272=0,"",F2272/E2272-1)</f>
        <v/>
      </c>
      <c r="I2272" t="inlineStr"/>
    </row>
    <row r="2273">
      <c r="A2273" t="inlineStr">
        <is>
          <t>Base metals &amp; articles</t>
        </is>
      </c>
      <c r="B2273" t="inlineStr">
        <is>
          <t>72</t>
        </is>
      </c>
      <c r="C2273" t="inlineStr">
        <is>
          <t>72085190</t>
        </is>
      </c>
      <c r="D2273" t="inlineStr">
        <is>
          <t>OTHR FLAT-ROLD PRDCTS NOT IN COILS OF THCKNS EXCD 10 MM HOT-RLD PICKLD</t>
        </is>
      </c>
      <c r="E2273" s="3" t="n">
        <v>6.31</v>
      </c>
      <c r="F2273" s="3" t="n">
        <v>1.42</v>
      </c>
      <c r="G2273" s="3">
        <f>F2273-E2273</f>
        <v/>
      </c>
      <c r="H2273" s="4">
        <f>IF(E2273=0,"",F2273/E2273-1)</f>
        <v/>
      </c>
      <c r="I2273" t="inlineStr"/>
    </row>
    <row r="2274">
      <c r="A2274" t="inlineStr">
        <is>
          <t>Base metals &amp; articles</t>
        </is>
      </c>
      <c r="B2274" t="inlineStr">
        <is>
          <t>73</t>
        </is>
      </c>
      <c r="C2274" t="inlineStr">
        <is>
          <t>73101090</t>
        </is>
      </c>
      <c r="D2274" t="inlineStr">
        <is>
          <t>OTHERS-OF-TANKS,CASKS,DRUMS ETC OF CAPCTY OF &gt;=50L</t>
        </is>
      </c>
      <c r="E2274" s="3" t="n">
        <v>0.17</v>
      </c>
      <c r="F2274" s="3" t="n">
        <v>1.38</v>
      </c>
      <c r="G2274" s="3">
        <f>F2274-E2274</f>
        <v/>
      </c>
      <c r="H2274" s="4">
        <f>IF(E2274=0,"",F2274/E2274-1)</f>
        <v/>
      </c>
      <c r="I2274" t="inlineStr"/>
    </row>
    <row r="2275">
      <c r="A2275" t="inlineStr">
        <is>
          <t>Base metals &amp; articles</t>
        </is>
      </c>
      <c r="B2275" t="inlineStr">
        <is>
          <t>76</t>
        </is>
      </c>
      <c r="C2275" t="inlineStr">
        <is>
          <t>76051999</t>
        </is>
      </c>
      <c r="D2275" t="inlineStr">
        <is>
          <t>OTHER ALUMINIUM WIRE-NOT ALLOYED N.E.S.</t>
        </is>
      </c>
      <c r="E2275" s="3" t="n">
        <v>1.19</v>
      </c>
      <c r="F2275" s="3" t="n">
        <v>1.38</v>
      </c>
      <c r="G2275" s="3">
        <f>F2275-E2275</f>
        <v/>
      </c>
      <c r="H2275" s="4">
        <f>IF(E2275=0,"",F2275/E2275-1)</f>
        <v/>
      </c>
      <c r="I2275" t="inlineStr"/>
    </row>
    <row r="2276">
      <c r="A2276" t="inlineStr">
        <is>
          <t>Base metals &amp; articles</t>
        </is>
      </c>
      <c r="B2276" t="inlineStr">
        <is>
          <t>73</t>
        </is>
      </c>
      <c r="C2276" t="inlineStr">
        <is>
          <t>73021019</t>
        </is>
      </c>
      <c r="D2276" t="inlineStr">
        <is>
          <t>OTHERS-OF-RAILS</t>
        </is>
      </c>
      <c r="E2276" s="3" t="n">
        <v>0</v>
      </c>
      <c r="F2276" s="3" t="n">
        <v>1.35</v>
      </c>
      <c r="G2276" s="3">
        <f>F2276-E2276</f>
        <v/>
      </c>
      <c r="H2276" s="4">
        <f>IF(E2276=0,"",F2276/E2276-1)</f>
        <v/>
      </c>
      <c r="I2276" t="inlineStr"/>
    </row>
    <row r="2277">
      <c r="A2277" t="inlineStr">
        <is>
          <t>Base metals &amp; articles</t>
        </is>
      </c>
      <c r="B2277" t="inlineStr">
        <is>
          <t>80</t>
        </is>
      </c>
      <c r="C2277" t="inlineStr">
        <is>
          <t>80011090</t>
        </is>
      </c>
      <c r="D2277" t="inlineStr">
        <is>
          <t>ANODES CATHODES INGOTS PIGS SLABS AND OTHER PRIMARY FORMS OF TIN</t>
        </is>
      </c>
      <c r="E2277" s="3" t="n">
        <v>0.92</v>
      </c>
      <c r="F2277" s="3" t="n">
        <v>1.35</v>
      </c>
      <c r="G2277" s="3">
        <f>F2277-E2277</f>
        <v/>
      </c>
      <c r="H2277" s="4">
        <f>IF(E2277=0,"",F2277/E2277-1)</f>
        <v/>
      </c>
      <c r="I2277" t="inlineStr"/>
    </row>
    <row r="2278">
      <c r="A2278" t="inlineStr">
        <is>
          <t>Base metals &amp; articles</t>
        </is>
      </c>
      <c r="B2278" t="inlineStr">
        <is>
          <t>76</t>
        </is>
      </c>
      <c r="C2278" t="inlineStr">
        <is>
          <t>76101000</t>
        </is>
      </c>
      <c r="D2278" t="inlineStr">
        <is>
          <t>DORS,WINDOWS,THER FRAME AND THRSHLDS FR DORS</t>
        </is>
      </c>
      <c r="E2278" s="3" t="n">
        <v>0.1</v>
      </c>
      <c r="F2278" s="3" t="n">
        <v>1.33</v>
      </c>
      <c r="G2278" s="3">
        <f>F2278-E2278</f>
        <v/>
      </c>
      <c r="H2278" s="4">
        <f>IF(E2278=0,"",F2278/E2278-1)</f>
        <v/>
      </c>
      <c r="I2278" t="inlineStr"/>
    </row>
    <row r="2279">
      <c r="A2279" t="inlineStr">
        <is>
          <t>Base metals &amp; articles</t>
        </is>
      </c>
      <c r="B2279" t="inlineStr">
        <is>
          <t>73</t>
        </is>
      </c>
      <c r="C2279" t="inlineStr">
        <is>
          <t>73041190</t>
        </is>
      </c>
      <c r="D2279" t="inlineStr">
        <is>
          <t>OTHERS-OF-OF STAINLESS STEEL:</t>
        </is>
      </c>
      <c r="E2279" s="3" t="n">
        <v>0.51</v>
      </c>
      <c r="F2279" s="3" t="n">
        <v>1.3</v>
      </c>
      <c r="G2279" s="3">
        <f>F2279-E2279</f>
        <v/>
      </c>
      <c r="H2279" s="4">
        <f>IF(E2279=0,"",F2279/E2279-1)</f>
        <v/>
      </c>
      <c r="I2279" t="inlineStr"/>
    </row>
    <row r="2280">
      <c r="A2280" t="inlineStr">
        <is>
          <t>Base metals &amp; articles</t>
        </is>
      </c>
      <c r="B2280" t="inlineStr">
        <is>
          <t>73</t>
        </is>
      </c>
      <c r="C2280" t="inlineStr">
        <is>
          <t>73151100</t>
        </is>
      </c>
      <c r="D2280" t="inlineStr">
        <is>
          <t>ROLLER CHAIN</t>
        </is>
      </c>
      <c r="E2280" s="3" t="n">
        <v>1.05</v>
      </c>
      <c r="F2280" s="3" t="n">
        <v>1.29</v>
      </c>
      <c r="G2280" s="3">
        <f>F2280-E2280</f>
        <v/>
      </c>
      <c r="H2280" s="4">
        <f>IF(E2280=0,"",F2280/E2280-1)</f>
        <v/>
      </c>
      <c r="I2280" t="inlineStr"/>
    </row>
    <row r="2281">
      <c r="A2281" t="inlineStr">
        <is>
          <t>Base metals &amp; articles</t>
        </is>
      </c>
      <c r="B2281" t="inlineStr">
        <is>
          <t>74</t>
        </is>
      </c>
      <c r="C2281" t="inlineStr">
        <is>
          <t>74198030</t>
        </is>
      </c>
      <c r="D2281" t="inlineStr">
        <is>
          <t>ARTICLES OF BRASS</t>
        </is>
      </c>
      <c r="E2281" s="3" t="n">
        <v>2.95</v>
      </c>
      <c r="F2281" s="3" t="n">
        <v>1.28</v>
      </c>
      <c r="G2281" s="3">
        <f>F2281-E2281</f>
        <v/>
      </c>
      <c r="H2281" s="4">
        <f>IF(E2281=0,"",F2281/E2281-1)</f>
        <v/>
      </c>
      <c r="I2281" t="inlineStr"/>
    </row>
    <row r="2282">
      <c r="A2282" t="inlineStr">
        <is>
          <t>Base metals &amp; articles</t>
        </is>
      </c>
      <c r="B2282" t="inlineStr">
        <is>
          <t>72</t>
        </is>
      </c>
      <c r="C2282" t="inlineStr">
        <is>
          <t>72192320</t>
        </is>
      </c>
      <c r="D2282" t="inlineStr">
        <is>
          <t>HOT-ROLLED,NICKEL CHROMIUM AUSTENITIC TYPE</t>
        </is>
      </c>
      <c r="E2282" s="3" t="n">
        <v>0.43</v>
      </c>
      <c r="F2282" s="3" t="n">
        <v>1.26</v>
      </c>
      <c r="G2282" s="3">
        <f>F2282-E2282</f>
        <v/>
      </c>
      <c r="H2282" s="4">
        <f>IF(E2282=0,"",F2282/E2282-1)</f>
        <v/>
      </c>
      <c r="I2282" t="inlineStr"/>
    </row>
    <row r="2283">
      <c r="A2283" t="inlineStr">
        <is>
          <t>Base metals &amp; articles</t>
        </is>
      </c>
      <c r="B2283" t="inlineStr">
        <is>
          <t>82</t>
        </is>
      </c>
      <c r="C2283" t="inlineStr">
        <is>
          <t>82081000</t>
        </is>
      </c>
      <c r="D2283" t="inlineStr">
        <is>
          <t>KNIVS AND CUTNG BLDS FOR METL WORKING MACHNS</t>
        </is>
      </c>
      <c r="E2283" s="3" t="n">
        <v>0.77</v>
      </c>
      <c r="F2283" s="3" t="n">
        <v>1.24</v>
      </c>
      <c r="G2283" s="3">
        <f>F2283-E2283</f>
        <v/>
      </c>
      <c r="H2283" s="4">
        <f>IF(E2283=0,"",F2283/E2283-1)</f>
        <v/>
      </c>
      <c r="I2283" t="inlineStr"/>
    </row>
    <row r="2284">
      <c r="A2284" t="inlineStr">
        <is>
          <t>Base metals &amp; articles</t>
        </is>
      </c>
      <c r="B2284" t="inlineStr">
        <is>
          <t>73</t>
        </is>
      </c>
      <c r="C2284" t="inlineStr">
        <is>
          <t>73089010</t>
        </is>
      </c>
      <c r="D2284" t="inlineStr">
        <is>
          <t>BEAMSCHANNELS,PILLARS AND GIRDERS PREPARED FOR IN STRUCTURES</t>
        </is>
      </c>
      <c r="E2284" s="3" t="n">
        <v>0.03</v>
      </c>
      <c r="F2284" s="3" t="n">
        <v>1.23</v>
      </c>
      <c r="G2284" s="3">
        <f>F2284-E2284</f>
        <v/>
      </c>
      <c r="H2284" s="4">
        <f>IF(E2284=0,"",F2284/E2284-1)</f>
        <v/>
      </c>
      <c r="I2284" t="inlineStr"/>
    </row>
    <row r="2285">
      <c r="A2285" t="inlineStr">
        <is>
          <t>Base metals &amp; articles</t>
        </is>
      </c>
      <c r="B2285" t="inlineStr">
        <is>
          <t>82</t>
        </is>
      </c>
      <c r="C2285" t="inlineStr">
        <is>
          <t>82059090</t>
        </is>
      </c>
      <c r="D2285" t="inlineStr">
        <is>
          <t>OTHER, INCLUDING SETS OF ARTICLES OF TWO OR MORE SUBHEADINGS OF THIS HEADING</t>
        </is>
      </c>
      <c r="E2285" s="3" t="n">
        <v>0.96</v>
      </c>
      <c r="F2285" s="3" t="n">
        <v>1.22</v>
      </c>
      <c r="G2285" s="3">
        <f>F2285-E2285</f>
        <v/>
      </c>
      <c r="H2285" s="4">
        <f>IF(E2285=0,"",F2285/E2285-1)</f>
        <v/>
      </c>
      <c r="I2285" t="inlineStr"/>
    </row>
    <row r="2286">
      <c r="A2286" t="inlineStr">
        <is>
          <t>Base metals &amp; articles</t>
        </is>
      </c>
      <c r="B2286" t="inlineStr">
        <is>
          <t>73</t>
        </is>
      </c>
      <c r="C2286" t="inlineStr">
        <is>
          <t>73121030</t>
        </is>
      </c>
      <c r="D2286" t="inlineStr">
        <is>
          <t>STRANDED WIRE</t>
        </is>
      </c>
      <c r="E2286" s="3" t="n">
        <v>1.88</v>
      </c>
      <c r="F2286" s="3" t="n">
        <v>1.19</v>
      </c>
      <c r="G2286" s="3">
        <f>F2286-E2286</f>
        <v/>
      </c>
      <c r="H2286" s="4">
        <f>IF(E2286=0,"",F2286/E2286-1)</f>
        <v/>
      </c>
      <c r="I2286" t="inlineStr"/>
    </row>
    <row r="2287">
      <c r="A2287" t="inlineStr">
        <is>
          <t>Base metals &amp; articles</t>
        </is>
      </c>
      <c r="B2287" t="inlineStr">
        <is>
          <t>72</t>
        </is>
      </c>
      <c r="C2287" t="inlineStr">
        <is>
          <t>72111410</t>
        </is>
      </c>
      <c r="D2287" t="inlineStr">
        <is>
          <t>FLATS OF FLT-RLD PRDCTS,OF IRON/NON ALOY STL, NT FRTHR WRKD THN HT-RLD OF THCKNS &gt;=4.75MM</t>
        </is>
      </c>
      <c r="E2287" s="3" t="n">
        <v>0.18</v>
      </c>
      <c r="F2287" s="3" t="n">
        <v>1.18</v>
      </c>
      <c r="G2287" s="3">
        <f>F2287-E2287</f>
        <v/>
      </c>
      <c r="H2287" s="4">
        <f>IF(E2287=0,"",F2287/E2287-1)</f>
        <v/>
      </c>
      <c r="I2287" t="inlineStr"/>
    </row>
    <row r="2288">
      <c r="A2288" t="inlineStr">
        <is>
          <t>Base metals &amp; articles</t>
        </is>
      </c>
      <c r="B2288" t="inlineStr">
        <is>
          <t>73</t>
        </is>
      </c>
      <c r="C2288" t="inlineStr">
        <is>
          <t>73041990</t>
        </is>
      </c>
      <c r="D2288" t="inlineStr">
        <is>
          <t>OTHERS-OF-OTHERS-OF-TUBES, PIPES AND HOLLOW PROFILES, SEAMLESS, OF IRON (OTHER THAN CAST IRON)OR STEEL</t>
        </is>
      </c>
      <c r="E2288" s="3" t="n">
        <v>15.21</v>
      </c>
      <c r="F2288" s="3" t="n">
        <v>1.16</v>
      </c>
      <c r="G2288" s="3">
        <f>F2288-E2288</f>
        <v/>
      </c>
      <c r="H2288" s="4">
        <f>IF(E2288=0,"",F2288/E2288-1)</f>
        <v/>
      </c>
      <c r="I2288" t="inlineStr"/>
    </row>
    <row r="2289">
      <c r="A2289" t="inlineStr">
        <is>
          <t>Base metals &amp; articles</t>
        </is>
      </c>
      <c r="B2289" t="inlineStr">
        <is>
          <t>73</t>
        </is>
      </c>
      <c r="C2289" t="inlineStr">
        <is>
          <t>73021090</t>
        </is>
      </c>
      <c r="D2289" t="inlineStr">
        <is>
          <t>OTHER RAILS</t>
        </is>
      </c>
      <c r="E2289" s="3" t="n">
        <v>0.84</v>
      </c>
      <c r="F2289" s="3" t="n">
        <v>1.15</v>
      </c>
      <c r="G2289" s="3">
        <f>F2289-E2289</f>
        <v/>
      </c>
      <c r="H2289" s="4">
        <f>IF(E2289=0,"",F2289/E2289-1)</f>
        <v/>
      </c>
      <c r="I2289" t="inlineStr"/>
    </row>
    <row r="2290">
      <c r="A2290" t="inlineStr">
        <is>
          <t>Base metals &amp; articles</t>
        </is>
      </c>
      <c r="B2290" t="inlineStr">
        <is>
          <t>72</t>
        </is>
      </c>
      <c r="C2290" t="inlineStr">
        <is>
          <t>72284000</t>
        </is>
      </c>
      <c r="D2290" t="inlineStr">
        <is>
          <t>OTHR BARS AND RODS-FORGED</t>
        </is>
      </c>
      <c r="E2290" s="3" t="n">
        <v>0.96</v>
      </c>
      <c r="F2290" s="3" t="n">
        <v>1.14</v>
      </c>
      <c r="G2290" s="3">
        <f>F2290-E2290</f>
        <v/>
      </c>
      <c r="H2290" s="4">
        <f>IF(E2290=0,"",F2290/E2290-1)</f>
        <v/>
      </c>
      <c r="I2290" t="inlineStr"/>
    </row>
    <row r="2291">
      <c r="A2291" t="inlineStr">
        <is>
          <t>Base metals &amp; articles</t>
        </is>
      </c>
      <c r="B2291" t="inlineStr">
        <is>
          <t>72</t>
        </is>
      </c>
      <c r="C2291" t="inlineStr">
        <is>
          <t>72111960</t>
        </is>
      </c>
      <c r="D2291" t="inlineStr">
        <is>
          <t>SKELP OF PRDCTS,HOT RLD,OF THCKNS&lt;4.75MM</t>
        </is>
      </c>
      <c r="E2291" s="3" t="n">
        <v>0.45</v>
      </c>
      <c r="F2291" s="3" t="n">
        <v>1.11</v>
      </c>
      <c r="G2291" s="3">
        <f>F2291-E2291</f>
        <v/>
      </c>
      <c r="H2291" s="4">
        <f>IF(E2291=0,"",F2291/E2291-1)</f>
        <v/>
      </c>
      <c r="I2291" t="inlineStr"/>
    </row>
    <row r="2292">
      <c r="A2292" t="inlineStr">
        <is>
          <t>Base metals &amp; articles</t>
        </is>
      </c>
      <c r="B2292" t="inlineStr">
        <is>
          <t>73</t>
        </is>
      </c>
      <c r="C2292" t="inlineStr">
        <is>
          <t>73012090</t>
        </is>
      </c>
      <c r="D2292" t="inlineStr">
        <is>
          <t>OTHERS-OF-ANGLES,SHAPES AND SECTIONS</t>
        </is>
      </c>
      <c r="E2292" s="3" t="n">
        <v>0.96</v>
      </c>
      <c r="F2292" s="3" t="n">
        <v>1.11</v>
      </c>
      <c r="G2292" s="3">
        <f>F2292-E2292</f>
        <v/>
      </c>
      <c r="H2292" s="4">
        <f>IF(E2292=0,"",F2292/E2292-1)</f>
        <v/>
      </c>
      <c r="I2292" t="inlineStr"/>
    </row>
    <row r="2293">
      <c r="A2293" t="inlineStr">
        <is>
          <t>Base metals &amp; articles</t>
        </is>
      </c>
      <c r="B2293" t="inlineStr">
        <is>
          <t>82</t>
        </is>
      </c>
      <c r="C2293" t="inlineStr">
        <is>
          <t>82121010</t>
        </is>
      </c>
      <c r="D2293" t="inlineStr">
        <is>
          <t>TWINE TYPE SHAVING SYSTEM</t>
        </is>
      </c>
      <c r="E2293" s="3" t="n">
        <v>0</v>
      </c>
      <c r="F2293" s="3" t="n">
        <v>1.11</v>
      </c>
      <c r="G2293" s="3">
        <f>F2293-E2293</f>
        <v/>
      </c>
      <c r="H2293" s="4">
        <f>IF(E2293=0,"",F2293/E2293-1)</f>
        <v/>
      </c>
      <c r="I2293" t="inlineStr"/>
    </row>
    <row r="2294">
      <c r="A2294" t="inlineStr">
        <is>
          <t>Base metals &amp; articles</t>
        </is>
      </c>
      <c r="B2294" t="inlineStr">
        <is>
          <t>73</t>
        </is>
      </c>
      <c r="C2294" t="inlineStr">
        <is>
          <t>73121010</t>
        </is>
      </c>
      <c r="D2294" t="inlineStr">
        <is>
          <t>WIRE ROPES,BLACK</t>
        </is>
      </c>
      <c r="E2294" s="3" t="n">
        <v>1.59</v>
      </c>
      <c r="F2294" s="3" t="n">
        <v>1.09</v>
      </c>
      <c r="G2294" s="3">
        <f>F2294-E2294</f>
        <v/>
      </c>
      <c r="H2294" s="4">
        <f>IF(E2294=0,"",F2294/E2294-1)</f>
        <v/>
      </c>
      <c r="I2294" t="inlineStr"/>
    </row>
    <row r="2295">
      <c r="A2295" t="inlineStr">
        <is>
          <t>Base metals &amp; articles</t>
        </is>
      </c>
      <c r="B2295" t="inlineStr">
        <is>
          <t>73</t>
        </is>
      </c>
      <c r="C2295" t="inlineStr">
        <is>
          <t>73021020</t>
        </is>
      </c>
      <c r="D2295" t="inlineStr">
        <is>
          <t>TRAMWAY RAILS</t>
        </is>
      </c>
      <c r="E2295" s="3" t="n">
        <v>0.04</v>
      </c>
      <c r="F2295" s="3" t="n">
        <v>1.08</v>
      </c>
      <c r="G2295" s="3">
        <f>F2295-E2295</f>
        <v/>
      </c>
      <c r="H2295" s="4">
        <f>IF(E2295=0,"",F2295/E2295-1)</f>
        <v/>
      </c>
      <c r="I2295" t="inlineStr"/>
    </row>
    <row r="2296">
      <c r="A2296" t="inlineStr">
        <is>
          <t>Base metals &amp; articles</t>
        </is>
      </c>
      <c r="B2296" t="inlineStr">
        <is>
          <t>72</t>
        </is>
      </c>
      <c r="C2296" t="inlineStr">
        <is>
          <t>72299016</t>
        </is>
      </c>
      <c r="D2296" t="inlineStr">
        <is>
          <t>COPPER COATED WIRE,NOT INSULATED</t>
        </is>
      </c>
      <c r="E2296" s="3" t="n">
        <v>1.5</v>
      </c>
      <c r="F2296" s="3" t="n">
        <v>1.07</v>
      </c>
      <c r="G2296" s="3">
        <f>F2296-E2296</f>
        <v/>
      </c>
      <c r="H2296" s="4">
        <f>IF(E2296=0,"",F2296/E2296-1)</f>
        <v/>
      </c>
      <c r="I2296" t="inlineStr"/>
    </row>
    <row r="2297">
      <c r="A2297" t="inlineStr">
        <is>
          <t>Base metals &amp; articles</t>
        </is>
      </c>
      <c r="B2297" t="inlineStr">
        <is>
          <t>72</t>
        </is>
      </c>
      <c r="C2297" t="inlineStr">
        <is>
          <t>72123099</t>
        </is>
      </c>
      <c r="D2297" t="inlineStr">
        <is>
          <t>OTHR PRDCTS OTHRWSE PLTD/COATD WTH ZINC</t>
        </is>
      </c>
      <c r="E2297" s="3" t="n">
        <v>1.45</v>
      </c>
      <c r="F2297" s="3" t="n">
        <v>1.06</v>
      </c>
      <c r="G2297" s="3">
        <f>F2297-E2297</f>
        <v/>
      </c>
      <c r="H2297" s="4">
        <f>IF(E2297=0,"",F2297/E2297-1)</f>
        <v/>
      </c>
      <c r="I2297" t="inlineStr"/>
    </row>
    <row r="2298">
      <c r="A2298" t="inlineStr">
        <is>
          <t>Base metals &amp; articles</t>
        </is>
      </c>
      <c r="B2298" t="inlineStr">
        <is>
          <t>73</t>
        </is>
      </c>
      <c r="C2298" t="inlineStr">
        <is>
          <t>73262090</t>
        </is>
      </c>
      <c r="D2298" t="inlineStr">
        <is>
          <t>OTHER ARTICLES OF IRON OR STEEL WIRE FOR OTHER USE</t>
        </is>
      </c>
      <c r="E2298" s="3" t="n">
        <v>2.47</v>
      </c>
      <c r="F2298" s="3" t="n">
        <v>1.01</v>
      </c>
      <c r="G2298" s="3">
        <f>F2298-E2298</f>
        <v/>
      </c>
      <c r="H2298" s="4">
        <f>IF(E2298=0,"",F2298/E2298-1)</f>
        <v/>
      </c>
      <c r="I2298" t="inlineStr"/>
    </row>
    <row r="2299">
      <c r="A2299" t="inlineStr">
        <is>
          <t>Base metals &amp; articles</t>
        </is>
      </c>
      <c r="B2299" t="inlineStr">
        <is>
          <t>76</t>
        </is>
      </c>
      <c r="C2299" t="inlineStr">
        <is>
          <t>76151029</t>
        </is>
      </c>
      <c r="D2299" t="inlineStr">
        <is>
          <t>OTHER ALUMINIUM UTENSILS</t>
        </is>
      </c>
      <c r="E2299" s="3" t="n">
        <v>0.52</v>
      </c>
      <c r="F2299" s="3" t="n">
        <v>1.01</v>
      </c>
      <c r="G2299" s="3">
        <f>F2299-E2299</f>
        <v/>
      </c>
      <c r="H2299" s="4">
        <f>IF(E2299=0,"",F2299/E2299-1)</f>
        <v/>
      </c>
      <c r="I2299" t="inlineStr"/>
    </row>
    <row r="2300">
      <c r="A2300" t="inlineStr">
        <is>
          <t>Base metals &amp; articles</t>
        </is>
      </c>
      <c r="B2300" t="inlineStr">
        <is>
          <t>75</t>
        </is>
      </c>
      <c r="C2300" t="inlineStr">
        <is>
          <t>75089090</t>
        </is>
      </c>
      <c r="D2300" t="inlineStr">
        <is>
          <t>ARTICLES OF NICKEL AND NICKEL ALLOYS,N.E.S.</t>
        </is>
      </c>
      <c r="E2300" s="3" t="n">
        <v>0.35</v>
      </c>
      <c r="F2300" s="3" t="n">
        <v>1</v>
      </c>
      <c r="G2300" s="3">
        <f>F2300-E2300</f>
        <v/>
      </c>
      <c r="H2300" s="4">
        <f>IF(E2300=0,"",F2300/E2300-1)</f>
        <v/>
      </c>
      <c r="I2300" t="inlineStr"/>
    </row>
    <row r="2301">
      <c r="A2301" t="inlineStr">
        <is>
          <t>Base metals &amp; articles</t>
        </is>
      </c>
      <c r="B2301" t="inlineStr">
        <is>
          <t>73</t>
        </is>
      </c>
      <c r="C2301" t="inlineStr">
        <is>
          <t>73061919</t>
        </is>
      </c>
      <c r="D2301" t="inlineStr">
        <is>
          <t>OTHER:GALVANISED PIPE OTHER THAN IRON FOR OIL OR GAS:OTHERS-OF-OTHER TUBES, PIPES AND HOLLOW PROFILES</t>
        </is>
      </c>
      <c r="E2301" s="3" t="n">
        <v>2.42</v>
      </c>
      <c r="F2301" s="3" t="n">
        <v>0.99</v>
      </c>
      <c r="G2301" s="3">
        <f>F2301-E2301</f>
        <v/>
      </c>
      <c r="H2301" s="4">
        <f>IF(E2301=0,"",F2301/E2301-1)</f>
        <v/>
      </c>
      <c r="I2301" t="inlineStr"/>
    </row>
    <row r="2302">
      <c r="A2302" t="inlineStr">
        <is>
          <t>Base metals &amp; articles</t>
        </is>
      </c>
      <c r="B2302" t="inlineStr">
        <is>
          <t>76</t>
        </is>
      </c>
      <c r="C2302" t="inlineStr">
        <is>
          <t>76042990</t>
        </is>
      </c>
      <c r="D2302" t="inlineStr">
        <is>
          <t>OTHR BARS,RODS PROFILS OF ALMN ALLOYS NES</t>
        </is>
      </c>
      <c r="E2302" s="3" t="n">
        <v>0.06</v>
      </c>
      <c r="F2302" s="3" t="n">
        <v>0.99</v>
      </c>
      <c r="G2302" s="3">
        <f>F2302-E2302</f>
        <v/>
      </c>
      <c r="H2302" s="4">
        <f>IF(E2302=0,"",F2302/E2302-1)</f>
        <v/>
      </c>
      <c r="I2302" t="inlineStr"/>
    </row>
    <row r="2303">
      <c r="A2303" t="inlineStr">
        <is>
          <t>Base metals &amp; articles</t>
        </is>
      </c>
      <c r="B2303" t="inlineStr">
        <is>
          <t>73</t>
        </is>
      </c>
      <c r="C2303" t="inlineStr">
        <is>
          <t>73051929</t>
        </is>
      </c>
      <c r="D2303" t="inlineStr">
        <is>
          <t>*OTHR LINE PIPE USED FOR OIL/GAS PIPELINES MADE OF NON GALVANISED BLACK PIPE OF OTHER</t>
        </is>
      </c>
      <c r="E2303" s="3" t="n">
        <v>0.15</v>
      </c>
      <c r="F2303" s="3" t="n">
        <v>0.98</v>
      </c>
      <c r="G2303" s="3">
        <f>F2303-E2303</f>
        <v/>
      </c>
      <c r="H2303" s="4">
        <f>IF(E2303=0,"",F2303/E2303-1)</f>
        <v/>
      </c>
      <c r="I2303" t="inlineStr"/>
    </row>
    <row r="2304">
      <c r="A2304" t="inlineStr">
        <is>
          <t>Base metals &amp; articles</t>
        </is>
      </c>
      <c r="B2304" t="inlineStr">
        <is>
          <t>73</t>
        </is>
      </c>
      <c r="C2304" t="inlineStr">
        <is>
          <t>73102110</t>
        </is>
      </c>
      <c r="D2304" t="inlineStr">
        <is>
          <t>TIN PLATE CONTAINERS</t>
        </is>
      </c>
      <c r="E2304" s="3" t="n">
        <v>0.71</v>
      </c>
      <c r="F2304" s="3" t="n">
        <v>0.98</v>
      </c>
      <c r="G2304" s="3">
        <f>F2304-E2304</f>
        <v/>
      </c>
      <c r="H2304" s="4">
        <f>IF(E2304=0,"",F2304/E2304-1)</f>
        <v/>
      </c>
      <c r="I2304" t="inlineStr"/>
    </row>
    <row r="2305">
      <c r="A2305" t="inlineStr">
        <is>
          <t>Base metals &amp; articles</t>
        </is>
      </c>
      <c r="B2305" t="inlineStr">
        <is>
          <t>82</t>
        </is>
      </c>
      <c r="C2305" t="inlineStr">
        <is>
          <t>82029990</t>
        </is>
      </c>
      <c r="D2305" t="inlineStr">
        <is>
          <t>OTHR SAW BLADES</t>
        </is>
      </c>
      <c r="E2305" s="3" t="n">
        <v>0.5</v>
      </c>
      <c r="F2305" s="3" t="n">
        <v>0.98</v>
      </c>
      <c r="G2305" s="3">
        <f>F2305-E2305</f>
        <v/>
      </c>
      <c r="H2305" s="4">
        <f>IF(E2305=0,"",F2305/E2305-1)</f>
        <v/>
      </c>
      <c r="I2305" t="inlineStr"/>
    </row>
    <row r="2306">
      <c r="A2306" t="inlineStr">
        <is>
          <t>Base metals &amp; articles</t>
        </is>
      </c>
      <c r="B2306" t="inlineStr">
        <is>
          <t>72</t>
        </is>
      </c>
      <c r="C2306" t="inlineStr">
        <is>
          <t>72164000</t>
        </is>
      </c>
      <c r="D2306" t="inlineStr">
        <is>
          <t>L/T SCTNS,HT-RLLD,HT-DRWN OF HEIGHT&gt;=80 MM</t>
        </is>
      </c>
      <c r="E2306" s="3" t="n">
        <v>10.01</v>
      </c>
      <c r="F2306" s="3" t="n">
        <v>0.95</v>
      </c>
      <c r="G2306" s="3">
        <f>F2306-E2306</f>
        <v/>
      </c>
      <c r="H2306" s="4">
        <f>IF(E2306=0,"",F2306/E2306-1)</f>
        <v/>
      </c>
      <c r="I2306" t="inlineStr"/>
    </row>
    <row r="2307">
      <c r="A2307" t="inlineStr">
        <is>
          <t>Base metals &amp; articles</t>
        </is>
      </c>
      <c r="B2307" t="inlineStr">
        <is>
          <t>82</t>
        </is>
      </c>
      <c r="C2307" t="inlineStr">
        <is>
          <t>82079090</t>
        </is>
      </c>
      <c r="D2307" t="inlineStr">
        <is>
          <t>OTHERS-OF-OTHER INTERCHANGEABLE TOOLS:</t>
        </is>
      </c>
      <c r="E2307" s="3" t="n">
        <v>1.14</v>
      </c>
      <c r="F2307" s="3" t="n">
        <v>0.95</v>
      </c>
      <c r="G2307" s="3">
        <f>F2307-E2307</f>
        <v/>
      </c>
      <c r="H2307" s="4">
        <f>IF(E2307=0,"",F2307/E2307-1)</f>
        <v/>
      </c>
      <c r="I2307" t="inlineStr"/>
    </row>
    <row r="2308">
      <c r="A2308" t="inlineStr">
        <is>
          <t>Base metals &amp; articles</t>
        </is>
      </c>
      <c r="B2308" t="inlineStr">
        <is>
          <t>73</t>
        </is>
      </c>
      <c r="C2308" t="inlineStr">
        <is>
          <t>73129000</t>
        </is>
      </c>
      <c r="D2308" t="inlineStr">
        <is>
          <t>PLAITED BAND,SLINGS AND LIKE OF IRON OR STEEL NT ELECTRCALLY INSULATED</t>
        </is>
      </c>
      <c r="E2308" s="3" t="n">
        <v>0.75</v>
      </c>
      <c r="F2308" s="3" t="n">
        <v>0.9399999999999999</v>
      </c>
      <c r="G2308" s="3">
        <f>F2308-E2308</f>
        <v/>
      </c>
      <c r="H2308" s="4">
        <f>IF(E2308=0,"",F2308/E2308-1)</f>
        <v/>
      </c>
      <c r="I2308" t="inlineStr"/>
    </row>
    <row r="2309">
      <c r="A2309" t="inlineStr">
        <is>
          <t>Base metals &amp; articles</t>
        </is>
      </c>
      <c r="B2309" t="inlineStr">
        <is>
          <t>73</t>
        </is>
      </c>
      <c r="C2309" t="inlineStr">
        <is>
          <t>73043119</t>
        </is>
      </c>
      <c r="D2309" t="inlineStr">
        <is>
          <t>OTHER MADE UPTO 114.3 MM OUTER DIAMETER</t>
        </is>
      </c>
      <c r="E2309" s="3" t="n">
        <v>0.64</v>
      </c>
      <c r="F2309" s="3" t="n">
        <v>0.93</v>
      </c>
      <c r="G2309" s="3">
        <f>F2309-E2309</f>
        <v/>
      </c>
      <c r="H2309" s="4">
        <f>IF(E2309=0,"",F2309/E2309-1)</f>
        <v/>
      </c>
      <c r="I2309" t="inlineStr"/>
    </row>
    <row r="2310">
      <c r="A2310" t="inlineStr">
        <is>
          <t>Base metals &amp; articles</t>
        </is>
      </c>
      <c r="B2310" t="inlineStr">
        <is>
          <t>72</t>
        </is>
      </c>
      <c r="C2310" t="inlineStr">
        <is>
          <t>72051090</t>
        </is>
      </c>
      <c r="D2310" t="inlineStr">
        <is>
          <t>OTHR GRANULES N.E.S.</t>
        </is>
      </c>
      <c r="E2310" s="3" t="n">
        <v>0.11</v>
      </c>
      <c r="F2310" s="3" t="n">
        <v>0.91</v>
      </c>
      <c r="G2310" s="3">
        <f>F2310-E2310</f>
        <v/>
      </c>
      <c r="H2310" s="4">
        <f>IF(E2310=0,"",F2310/E2310-1)</f>
        <v/>
      </c>
      <c r="I2310" t="inlineStr"/>
    </row>
    <row r="2311">
      <c r="A2311" t="inlineStr">
        <is>
          <t>Base metals &amp; articles</t>
        </is>
      </c>
      <c r="B2311" t="inlineStr">
        <is>
          <t>73</t>
        </is>
      </c>
      <c r="C2311" t="inlineStr">
        <is>
          <t>73182200</t>
        </is>
      </c>
      <c r="D2311" t="inlineStr">
        <is>
          <t>OTHER WASHERS,NON-THREADED</t>
        </is>
      </c>
      <c r="E2311" s="3" t="n">
        <v>1.57</v>
      </c>
      <c r="F2311" s="3" t="n">
        <v>0.87</v>
      </c>
      <c r="G2311" s="3">
        <f>F2311-E2311</f>
        <v/>
      </c>
      <c r="H2311" s="4">
        <f>IF(E2311=0,"",F2311/E2311-1)</f>
        <v/>
      </c>
      <c r="I2311" t="inlineStr"/>
    </row>
    <row r="2312">
      <c r="A2312" t="inlineStr">
        <is>
          <t>Base metals &amp; articles</t>
        </is>
      </c>
      <c r="B2312" t="inlineStr">
        <is>
          <t>73</t>
        </is>
      </c>
      <c r="C2312" t="inlineStr">
        <is>
          <t>73239990</t>
        </is>
      </c>
      <c r="D2312" t="inlineStr">
        <is>
          <t>OTHER HOUSEHOLD UTENSILS AND ITS PARTS N.E.S</t>
        </is>
      </c>
      <c r="E2312" s="3" t="n">
        <v>1.76</v>
      </c>
      <c r="F2312" s="3" t="n">
        <v>0.86</v>
      </c>
      <c r="G2312" s="3">
        <f>F2312-E2312</f>
        <v/>
      </c>
      <c r="H2312" s="4">
        <f>IF(E2312=0,"",F2312/E2312-1)</f>
        <v/>
      </c>
      <c r="I2312" t="inlineStr"/>
    </row>
    <row r="2313">
      <c r="A2313" t="inlineStr">
        <is>
          <t>Base metals &amp; articles</t>
        </is>
      </c>
      <c r="B2313" t="inlineStr">
        <is>
          <t>76</t>
        </is>
      </c>
      <c r="C2313" t="inlineStr">
        <is>
          <t>76109090</t>
        </is>
      </c>
      <c r="D2313" t="inlineStr">
        <is>
          <t>OTHER STRUCTURES AND PARTS OF STRUCTURES OF ALUMINIUM N.E.S.</t>
        </is>
      </c>
      <c r="E2313" s="3" t="n">
        <v>2.55</v>
      </c>
      <c r="F2313" s="3" t="n">
        <v>0.85</v>
      </c>
      <c r="G2313" s="3">
        <f>F2313-E2313</f>
        <v/>
      </c>
      <c r="H2313" s="4">
        <f>IF(E2313=0,"",F2313/E2313-1)</f>
        <v/>
      </c>
      <c r="I2313" t="inlineStr"/>
    </row>
    <row r="2314">
      <c r="A2314" t="inlineStr">
        <is>
          <t>Base metals &amp; articles</t>
        </is>
      </c>
      <c r="B2314" t="inlineStr">
        <is>
          <t>83</t>
        </is>
      </c>
      <c r="C2314" t="inlineStr">
        <is>
          <t>83099010</t>
        </is>
      </c>
      <c r="D2314" t="inlineStr">
        <is>
          <t>PILFER PROOF CAPS FOR PACKAGING, ALL SORTSWITH/WITHOUT WASHERS OR OTHR FITTINGS OF CORK, RUBER, POLYTHYLENE OR ANY OTHR</t>
        </is>
      </c>
      <c r="E2314" s="3" t="n">
        <v>0.33</v>
      </c>
      <c r="F2314" s="3" t="n">
        <v>0.85</v>
      </c>
      <c r="G2314" s="3">
        <f>F2314-E2314</f>
        <v/>
      </c>
      <c r="H2314" s="4">
        <f>IF(E2314=0,"",F2314/E2314-1)</f>
        <v/>
      </c>
      <c r="I2314" t="inlineStr"/>
    </row>
    <row r="2315">
      <c r="A2315" t="inlineStr">
        <is>
          <t>Base metals &amp; articles</t>
        </is>
      </c>
      <c r="B2315" t="inlineStr">
        <is>
          <t>73</t>
        </is>
      </c>
      <c r="C2315" t="inlineStr">
        <is>
          <t>73249000</t>
        </is>
      </c>
      <c r="D2315" t="inlineStr">
        <is>
          <t>OTHER SANITARY WARE INCLUDING PARTS</t>
        </is>
      </c>
      <c r="E2315" s="3" t="n">
        <v>1.02</v>
      </c>
      <c r="F2315" s="3" t="n">
        <v>0.83</v>
      </c>
      <c r="G2315" s="3">
        <f>F2315-E2315</f>
        <v/>
      </c>
      <c r="H2315" s="4">
        <f>IF(E2315=0,"",F2315/E2315-1)</f>
        <v/>
      </c>
      <c r="I2315" t="inlineStr"/>
    </row>
    <row r="2316">
      <c r="A2316" t="inlineStr">
        <is>
          <t>Base metals &amp; articles</t>
        </is>
      </c>
      <c r="B2316" t="inlineStr">
        <is>
          <t>83</t>
        </is>
      </c>
      <c r="C2316" t="inlineStr">
        <is>
          <t>83014090</t>
        </is>
      </c>
      <c r="D2316" t="inlineStr">
        <is>
          <t>OTHER LOCKS N.E.S.</t>
        </is>
      </c>
      <c r="E2316" s="3" t="n">
        <v>1.16</v>
      </c>
      <c r="F2316" s="3" t="n">
        <v>0.83</v>
      </c>
      <c r="G2316" s="3">
        <f>F2316-E2316</f>
        <v/>
      </c>
      <c r="H2316" s="4">
        <f>IF(E2316=0,"",F2316/E2316-1)</f>
        <v/>
      </c>
      <c r="I2316" t="inlineStr"/>
    </row>
    <row r="2317">
      <c r="A2317" t="inlineStr">
        <is>
          <t>Base metals &amp; articles</t>
        </is>
      </c>
      <c r="B2317" t="inlineStr">
        <is>
          <t>76</t>
        </is>
      </c>
      <c r="C2317" t="inlineStr">
        <is>
          <t>76071190</t>
        </is>
      </c>
      <c r="D2317" t="inlineStr">
        <is>
          <t>OTHER ALUMINIUM FOIL ROLLD</t>
        </is>
      </c>
      <c r="E2317" s="3" t="n">
        <v>1</v>
      </c>
      <c r="F2317" s="3" t="n">
        <v>0.82</v>
      </c>
      <c r="G2317" s="3">
        <f>F2317-E2317</f>
        <v/>
      </c>
      <c r="H2317" s="4">
        <f>IF(E2317=0,"",F2317/E2317-1)</f>
        <v/>
      </c>
      <c r="I2317" t="inlineStr"/>
    </row>
    <row r="2318">
      <c r="A2318" t="inlineStr">
        <is>
          <t>Base metals &amp; articles</t>
        </is>
      </c>
      <c r="B2318" t="inlineStr">
        <is>
          <t>72</t>
        </is>
      </c>
      <c r="C2318" t="inlineStr">
        <is>
          <t>72199012</t>
        </is>
      </c>
      <c r="D2318" t="inlineStr">
        <is>
          <t>SHEETS AND PLTS,MEDIUM 3 MM TO 4.75 MM,WRKD</t>
        </is>
      </c>
      <c r="E2318" s="3" t="n">
        <v>0.57</v>
      </c>
      <c r="F2318" s="3" t="n">
        <v>0.8100000000000001</v>
      </c>
      <c r="G2318" s="3">
        <f>F2318-E2318</f>
        <v/>
      </c>
      <c r="H2318" s="4">
        <f>IF(E2318=0,"",F2318/E2318-1)</f>
        <v/>
      </c>
      <c r="I2318" t="inlineStr"/>
    </row>
    <row r="2319">
      <c r="A2319" t="inlineStr">
        <is>
          <t>Base metals &amp; articles</t>
        </is>
      </c>
      <c r="B2319" t="inlineStr">
        <is>
          <t>73</t>
        </is>
      </c>
      <c r="C2319" t="inlineStr">
        <is>
          <t>73130010</t>
        </is>
      </c>
      <c r="D2319" t="inlineStr">
        <is>
          <t>BARBED IRON OR STEEL WIRE</t>
        </is>
      </c>
      <c r="E2319" s="3" t="n">
        <v>1.05</v>
      </c>
      <c r="F2319" s="3" t="n">
        <v>0.8100000000000001</v>
      </c>
      <c r="G2319" s="3">
        <f>F2319-E2319</f>
        <v/>
      </c>
      <c r="H2319" s="4">
        <f>IF(E2319=0,"",F2319/E2319-1)</f>
        <v/>
      </c>
      <c r="I2319" t="inlineStr"/>
    </row>
    <row r="2320">
      <c r="A2320" t="inlineStr">
        <is>
          <t>Base metals &amp; articles</t>
        </is>
      </c>
      <c r="B2320" t="inlineStr">
        <is>
          <t>74</t>
        </is>
      </c>
      <c r="C2320" t="inlineStr">
        <is>
          <t>74091100</t>
        </is>
      </c>
      <c r="D2320" t="inlineStr">
        <is>
          <t>PLATES,SHEETS ETC OF REFIND COPR IN COILS</t>
        </is>
      </c>
      <c r="E2320" s="3" t="n">
        <v>0.87</v>
      </c>
      <c r="F2320" s="3" t="n">
        <v>0.8100000000000001</v>
      </c>
      <c r="G2320" s="3">
        <f>F2320-E2320</f>
        <v/>
      </c>
      <c r="H2320" s="4">
        <f>IF(E2320=0,"",F2320/E2320-1)</f>
        <v/>
      </c>
      <c r="I2320" t="inlineStr"/>
    </row>
    <row r="2321">
      <c r="A2321" t="inlineStr">
        <is>
          <t>Base metals &amp; articles</t>
        </is>
      </c>
      <c r="B2321" t="inlineStr">
        <is>
          <t>82</t>
        </is>
      </c>
      <c r="C2321" t="inlineStr">
        <is>
          <t>82029110</t>
        </is>
      </c>
      <c r="D2321" t="inlineStr">
        <is>
          <t>HACK SAW BLADES,MACHINE OPERATED</t>
        </is>
      </c>
      <c r="E2321" s="3" t="n">
        <v>1.41</v>
      </c>
      <c r="F2321" s="3" t="n">
        <v>0.8100000000000001</v>
      </c>
      <c r="G2321" s="3">
        <f>F2321-E2321</f>
        <v/>
      </c>
      <c r="H2321" s="4">
        <f>IF(E2321=0,"",F2321/E2321-1)</f>
        <v/>
      </c>
      <c r="I2321" t="inlineStr"/>
    </row>
    <row r="2322">
      <c r="A2322" t="inlineStr">
        <is>
          <t>Base metals &amp; articles</t>
        </is>
      </c>
      <c r="B2322" t="inlineStr">
        <is>
          <t>73</t>
        </is>
      </c>
      <c r="C2322" t="inlineStr">
        <is>
          <t>73061911</t>
        </is>
      </c>
      <c r="D2322" t="inlineStr">
        <is>
          <t>GALVANISED PIPE OF IRON FOR OIL OR GAS:OTHERS-OF-OTHER TUBES, PIPES AND HOLLOW PROFILES</t>
        </is>
      </c>
      <c r="E2322" s="3" t="n">
        <v>0</v>
      </c>
      <c r="F2322" s="3" t="n">
        <v>0.8</v>
      </c>
      <c r="G2322" s="3">
        <f>F2322-E2322</f>
        <v/>
      </c>
      <c r="H2322" s="4">
        <f>IF(E2322=0,"",F2322/E2322-1)</f>
        <v/>
      </c>
      <c r="I2322" t="inlineStr"/>
    </row>
    <row r="2323">
      <c r="A2323" t="inlineStr">
        <is>
          <t>Base metals &amp; articles</t>
        </is>
      </c>
      <c r="B2323" t="inlineStr">
        <is>
          <t>76</t>
        </is>
      </c>
      <c r="C2323" t="inlineStr">
        <is>
          <t>76090000</t>
        </is>
      </c>
      <c r="D2323" t="inlineStr">
        <is>
          <t>ALUMINIUM TUBE OR PIPE FITTINGS (FOR EXAMPLE COUPLINGS,ELBOWS,SLEEVES)</t>
        </is>
      </c>
      <c r="E2323" s="3" t="n">
        <v>0.04</v>
      </c>
      <c r="F2323" s="3" t="n">
        <v>0.8</v>
      </c>
      <c r="G2323" s="3">
        <f>F2323-E2323</f>
        <v/>
      </c>
      <c r="H2323" s="4">
        <f>IF(E2323=0,"",F2323/E2323-1)</f>
        <v/>
      </c>
      <c r="I2323" t="inlineStr"/>
    </row>
    <row r="2324">
      <c r="A2324" t="inlineStr">
        <is>
          <t>Base metals &amp; articles</t>
        </is>
      </c>
      <c r="B2324" t="inlineStr">
        <is>
          <t>72</t>
        </is>
      </c>
      <c r="C2324" t="inlineStr">
        <is>
          <t>72091790</t>
        </is>
      </c>
      <c r="D2324" t="inlineStr">
        <is>
          <t>OTHR FLT RLD PRDCTS IN COILS NT FRTHR WRKD THN COLD RLD OF THCKNS&gt;=0.5MM BUT&lt;1MM</t>
        </is>
      </c>
      <c r="E2324" s="3" t="n">
        <v>0</v>
      </c>
      <c r="F2324" s="3" t="n">
        <v>0.79</v>
      </c>
      <c r="G2324" s="3">
        <f>F2324-E2324</f>
        <v/>
      </c>
      <c r="H2324" s="4">
        <f>IF(E2324=0,"",F2324/E2324-1)</f>
        <v/>
      </c>
      <c r="I2324" t="inlineStr"/>
    </row>
    <row r="2325">
      <c r="A2325" t="inlineStr">
        <is>
          <t>Base metals &amp; articles</t>
        </is>
      </c>
      <c r="B2325" t="inlineStr">
        <is>
          <t>78</t>
        </is>
      </c>
      <c r="C2325" t="inlineStr">
        <is>
          <t>78060090</t>
        </is>
      </c>
      <c r="D2325" t="inlineStr">
        <is>
          <t>OTHER ARTICLES OF LEAD N.E.S.</t>
        </is>
      </c>
      <c r="E2325" s="3" t="n">
        <v>0.13</v>
      </c>
      <c r="F2325" s="3" t="n">
        <v>0.79</v>
      </c>
      <c r="G2325" s="3">
        <f>F2325-E2325</f>
        <v/>
      </c>
      <c r="H2325" s="4">
        <f>IF(E2325=0,"",F2325/E2325-1)</f>
        <v/>
      </c>
      <c r="I2325" t="inlineStr"/>
    </row>
    <row r="2326">
      <c r="A2326" t="inlineStr">
        <is>
          <t>Base metals &amp; articles</t>
        </is>
      </c>
      <c r="B2326" t="inlineStr">
        <is>
          <t>73</t>
        </is>
      </c>
      <c r="C2326" t="inlineStr">
        <is>
          <t>73259930</t>
        </is>
      </c>
      <c r="D2326" t="inlineStr">
        <is>
          <t>OTHR CAST ARTCLS STAINLESS STEEL MALLEABL</t>
        </is>
      </c>
      <c r="E2326" s="3" t="n">
        <v>0.14</v>
      </c>
      <c r="F2326" s="3" t="n">
        <v>0.77</v>
      </c>
      <c r="G2326" s="3">
        <f>F2326-E2326</f>
        <v/>
      </c>
      <c r="H2326" s="4">
        <f>IF(E2326=0,"",F2326/E2326-1)</f>
        <v/>
      </c>
      <c r="I2326" t="inlineStr"/>
    </row>
    <row r="2327">
      <c r="A2327" t="inlineStr">
        <is>
          <t>Base metals &amp; articles</t>
        </is>
      </c>
      <c r="B2327" t="inlineStr">
        <is>
          <t>79</t>
        </is>
      </c>
      <c r="C2327" t="inlineStr">
        <is>
          <t>79040030</t>
        </is>
      </c>
      <c r="D2327" t="inlineStr">
        <is>
          <t>ZINC WIRE</t>
        </is>
      </c>
      <c r="E2327" s="3" t="n">
        <v>0.13</v>
      </c>
      <c r="F2327" s="3" t="n">
        <v>0.76</v>
      </c>
      <c r="G2327" s="3">
        <f>F2327-E2327</f>
        <v/>
      </c>
      <c r="H2327" s="4">
        <f>IF(E2327=0,"",F2327/E2327-1)</f>
        <v/>
      </c>
      <c r="I2327" t="inlineStr"/>
    </row>
    <row r="2328">
      <c r="A2328" t="inlineStr">
        <is>
          <t>Base metals &amp; articles</t>
        </is>
      </c>
      <c r="B2328" t="inlineStr">
        <is>
          <t>72</t>
        </is>
      </c>
      <c r="C2328" t="inlineStr">
        <is>
          <t>72283029</t>
        </is>
      </c>
      <c r="D2328" t="inlineStr">
        <is>
          <t>OTHERS-OF-OTHER BARS AND RODS, NOT FURTHER WORKED THAN HOT-ROLLED, HOT-DRAWN OR EXTRUDED :</t>
        </is>
      </c>
      <c r="E2328" s="3" t="n">
        <v>2.59</v>
      </c>
      <c r="F2328" s="3" t="n">
        <v>0.75</v>
      </c>
      <c r="G2328" s="3">
        <f>F2328-E2328</f>
        <v/>
      </c>
      <c r="H2328" s="4">
        <f>IF(E2328=0,"",F2328/E2328-1)</f>
        <v/>
      </c>
      <c r="I2328" t="inlineStr"/>
    </row>
    <row r="2329">
      <c r="A2329" t="inlineStr">
        <is>
          <t>Base metals &amp; articles</t>
        </is>
      </c>
      <c r="B2329" t="inlineStr">
        <is>
          <t>72</t>
        </is>
      </c>
      <c r="C2329" t="inlineStr">
        <is>
          <t>72162100</t>
        </is>
      </c>
      <c r="D2329" t="inlineStr">
        <is>
          <t>L-SCTNS,HT-RLLD HT-DRWN OF HEIGHT&lt;80MM</t>
        </is>
      </c>
      <c r="E2329" s="3" t="n">
        <v>1.19</v>
      </c>
      <c r="F2329" s="3" t="n">
        <v>0.73</v>
      </c>
      <c r="G2329" s="3">
        <f>F2329-E2329</f>
        <v/>
      </c>
      <c r="H2329" s="4">
        <f>IF(E2329=0,"",F2329/E2329-1)</f>
        <v/>
      </c>
      <c r="I2329" t="inlineStr"/>
    </row>
    <row r="2330">
      <c r="A2330" t="inlineStr">
        <is>
          <t>Base metals &amp; articles</t>
        </is>
      </c>
      <c r="B2330" t="inlineStr">
        <is>
          <t>72</t>
        </is>
      </c>
      <c r="C2330" t="inlineStr">
        <is>
          <t>72159020</t>
        </is>
      </c>
      <c r="D2330" t="inlineStr">
        <is>
          <t>OTHR BARS AND RODS OF IRON/NON-ALOY STL PLATED/COATED WITH OTHR BASE METALS</t>
        </is>
      </c>
      <c r="E2330" s="3" t="n">
        <v>1.33</v>
      </c>
      <c r="F2330" s="3" t="n">
        <v>0.71</v>
      </c>
      <c r="G2330" s="3">
        <f>F2330-E2330</f>
        <v/>
      </c>
      <c r="H2330" s="4">
        <f>IF(E2330=0,"",F2330/E2330-1)</f>
        <v/>
      </c>
      <c r="I2330" t="inlineStr"/>
    </row>
    <row r="2331">
      <c r="A2331" t="inlineStr">
        <is>
          <t>Base metals &amp; articles</t>
        </is>
      </c>
      <c r="B2331" t="inlineStr">
        <is>
          <t>82</t>
        </is>
      </c>
      <c r="C2331" t="inlineStr">
        <is>
          <t>82076090</t>
        </is>
      </c>
      <c r="D2331" t="inlineStr">
        <is>
          <t>OTHER TOOLS FOR BORING/BROACHING</t>
        </is>
      </c>
      <c r="E2331" s="3" t="n">
        <v>0.13</v>
      </c>
      <c r="F2331" s="3" t="n">
        <v>0.71</v>
      </c>
      <c r="G2331" s="3">
        <f>F2331-E2331</f>
        <v/>
      </c>
      <c r="H2331" s="4">
        <f>IF(E2331=0,"",F2331/E2331-1)</f>
        <v/>
      </c>
      <c r="I2331" t="inlineStr"/>
    </row>
    <row r="2332">
      <c r="A2332" t="inlineStr">
        <is>
          <t>Base metals &amp; articles</t>
        </is>
      </c>
      <c r="B2332" t="inlineStr">
        <is>
          <t>72</t>
        </is>
      </c>
      <c r="C2332" t="inlineStr">
        <is>
          <t>72083810</t>
        </is>
      </c>
      <c r="D2332" t="inlineStr">
        <is>
          <t>PLATES OF FLAT-ROLD PRDCTS IN COILS OF A THCKNS&gt;=3 BUT&lt; 4.75MM HOT-RLD,EXCL.PICKL</t>
        </is>
      </c>
      <c r="E2332" s="3" t="n">
        <v>0.01</v>
      </c>
      <c r="F2332" s="3" t="n">
        <v>0.7</v>
      </c>
      <c r="G2332" s="3">
        <f>F2332-E2332</f>
        <v/>
      </c>
      <c r="H2332" s="4">
        <f>IF(E2332=0,"",F2332/E2332-1)</f>
        <v/>
      </c>
      <c r="I2332" t="inlineStr"/>
    </row>
    <row r="2333">
      <c r="A2333" t="inlineStr">
        <is>
          <t>Base metals &amp; articles</t>
        </is>
      </c>
      <c r="B2333" t="inlineStr">
        <is>
          <t>73</t>
        </is>
      </c>
      <c r="C2333" t="inlineStr">
        <is>
          <t>73090040</t>
        </is>
      </c>
      <c r="D2333" t="inlineStr">
        <is>
          <t>PRESSURE VESSELS</t>
        </is>
      </c>
      <c r="E2333" s="3" t="n">
        <v>0</v>
      </c>
      <c r="F2333" s="3" t="n">
        <v>0.7</v>
      </c>
      <c r="G2333" s="3">
        <f>F2333-E2333</f>
        <v/>
      </c>
      <c r="H2333" s="4">
        <f>IF(E2333=0,"",F2333/E2333-1)</f>
        <v/>
      </c>
      <c r="I2333" t="inlineStr"/>
    </row>
    <row r="2334">
      <c r="A2334" t="inlineStr">
        <is>
          <t>Base metals &amp; articles</t>
        </is>
      </c>
      <c r="B2334" t="inlineStr">
        <is>
          <t>76</t>
        </is>
      </c>
      <c r="C2334" t="inlineStr">
        <is>
          <t>76082000</t>
        </is>
      </c>
      <c r="D2334" t="inlineStr">
        <is>
          <t>TUBES AND PIPES OF ALUMINIUM ALLOYS</t>
        </is>
      </c>
      <c r="E2334" s="3" t="n">
        <v>0.13</v>
      </c>
      <c r="F2334" s="3" t="n">
        <v>0.7</v>
      </c>
      <c r="G2334" s="3">
        <f>F2334-E2334</f>
        <v/>
      </c>
      <c r="H2334" s="4">
        <f>IF(E2334=0,"",F2334/E2334-1)</f>
        <v/>
      </c>
      <c r="I2334" t="inlineStr"/>
    </row>
    <row r="2335">
      <c r="A2335" t="inlineStr">
        <is>
          <t>Base metals &amp; articles</t>
        </is>
      </c>
      <c r="B2335" t="inlineStr">
        <is>
          <t>73</t>
        </is>
      </c>
      <c r="C2335" t="inlineStr">
        <is>
          <t>73069011</t>
        </is>
      </c>
      <c r="D2335" t="inlineStr">
        <is>
          <t>ERW PRECISION OTHER TUBES MADE UP OF IRON</t>
        </is>
      </c>
      <c r="E2335" s="3" t="n">
        <v>0.9</v>
      </c>
      <c r="F2335" s="3" t="n">
        <v>0.6899999999999999</v>
      </c>
      <c r="G2335" s="3">
        <f>F2335-E2335</f>
        <v/>
      </c>
      <c r="H2335" s="4">
        <f>IF(E2335=0,"",F2335/E2335-1)</f>
        <v/>
      </c>
      <c r="I2335" t="inlineStr"/>
    </row>
    <row r="2336">
      <c r="A2336" t="inlineStr">
        <is>
          <t>Base metals &amp; articles</t>
        </is>
      </c>
      <c r="B2336" t="inlineStr">
        <is>
          <t>73</t>
        </is>
      </c>
      <c r="C2336" t="inlineStr">
        <is>
          <t>73110010</t>
        </is>
      </c>
      <c r="D2336" t="inlineStr">
        <is>
          <t>LIQUEFIED PETROLEUM GAS(L.P.G.)CYLINDER</t>
        </is>
      </c>
      <c r="E2336" s="3" t="n">
        <v>0.41</v>
      </c>
      <c r="F2336" s="3" t="n">
        <v>0.68</v>
      </c>
      <c r="G2336" s="3">
        <f>F2336-E2336</f>
        <v/>
      </c>
      <c r="H2336" s="4">
        <f>IF(E2336=0,"",F2336/E2336-1)</f>
        <v/>
      </c>
      <c r="I2336" t="inlineStr"/>
    </row>
    <row r="2337">
      <c r="A2337" t="inlineStr">
        <is>
          <t>Base metals &amp; articles</t>
        </is>
      </c>
      <c r="B2337" t="inlineStr">
        <is>
          <t>75</t>
        </is>
      </c>
      <c r="C2337" t="inlineStr">
        <is>
          <t>75062000</t>
        </is>
      </c>
      <c r="D2337" t="inlineStr">
        <is>
          <t>PLATES,SHEETS,FOIL ETC OF NICKEL ALLOYS</t>
        </is>
      </c>
      <c r="E2337" s="3" t="n">
        <v>5.47</v>
      </c>
      <c r="F2337" s="3" t="n">
        <v>0.68</v>
      </c>
      <c r="G2337" s="3">
        <f>F2337-E2337</f>
        <v/>
      </c>
      <c r="H2337" s="4">
        <f>IF(E2337=0,"",F2337/E2337-1)</f>
        <v/>
      </c>
      <c r="I2337" t="inlineStr"/>
    </row>
    <row r="2338">
      <c r="A2338" t="inlineStr">
        <is>
          <t>Base metals &amp; articles</t>
        </is>
      </c>
      <c r="B2338" t="inlineStr">
        <is>
          <t>76</t>
        </is>
      </c>
      <c r="C2338" t="inlineStr">
        <is>
          <t>76031010</t>
        </is>
      </c>
      <c r="D2338" t="inlineStr">
        <is>
          <t>ALUMINIUM POWDER FOR THERMIT PROCESS</t>
        </is>
      </c>
      <c r="E2338" s="3" t="n">
        <v>0.18</v>
      </c>
      <c r="F2338" s="3" t="n">
        <v>0.68</v>
      </c>
      <c r="G2338" s="3">
        <f>F2338-E2338</f>
        <v/>
      </c>
      <c r="H2338" s="4">
        <f>IF(E2338=0,"",F2338/E2338-1)</f>
        <v/>
      </c>
      <c r="I2338" t="inlineStr"/>
    </row>
    <row r="2339">
      <c r="A2339" t="inlineStr">
        <is>
          <t>Base metals &amp; articles</t>
        </is>
      </c>
      <c r="B2339" t="inlineStr">
        <is>
          <t>72</t>
        </is>
      </c>
      <c r="C2339" t="inlineStr">
        <is>
          <t>72201190</t>
        </is>
      </c>
      <c r="D2339" t="inlineStr">
        <is>
          <t>STRIPS FOR PIPES AND TUBES (OTHR THN SKELP) OTHERS N.E.S. THCKNS &gt;=4.75MM</t>
        </is>
      </c>
      <c r="E2339" s="3" t="n">
        <v>0.01</v>
      </c>
      <c r="F2339" s="3" t="n">
        <v>0.67</v>
      </c>
      <c r="G2339" s="3">
        <f>F2339-E2339</f>
        <v/>
      </c>
      <c r="H2339" s="4">
        <f>IF(E2339=0,"",F2339/E2339-1)</f>
        <v/>
      </c>
      <c r="I2339" t="inlineStr"/>
    </row>
    <row r="2340">
      <c r="A2340" t="inlineStr">
        <is>
          <t>Base metals &amp; articles</t>
        </is>
      </c>
      <c r="B2340" t="inlineStr">
        <is>
          <t>73</t>
        </is>
      </c>
      <c r="C2340" t="inlineStr">
        <is>
          <t>73051229</t>
        </is>
      </c>
      <c r="D2340" t="inlineStr">
        <is>
          <t>*OTHER LONGITUDINALLY WELDED GALVANISED PIPE OF OTHER FOR OIL OR GAS</t>
        </is>
      </c>
      <c r="E2340" s="3" t="n">
        <v>0.17</v>
      </c>
      <c r="F2340" s="3" t="n">
        <v>0.67</v>
      </c>
      <c r="G2340" s="3">
        <f>F2340-E2340</f>
        <v/>
      </c>
      <c r="H2340" s="4">
        <f>IF(E2340=0,"",F2340/E2340-1)</f>
        <v/>
      </c>
      <c r="I2340" t="inlineStr"/>
    </row>
    <row r="2341">
      <c r="A2341" t="inlineStr">
        <is>
          <t>Base metals &amp; articles</t>
        </is>
      </c>
      <c r="B2341" t="inlineStr">
        <is>
          <t>73</t>
        </is>
      </c>
      <c r="C2341" t="inlineStr">
        <is>
          <t>73121020</t>
        </is>
      </c>
      <c r="D2341" t="inlineStr">
        <is>
          <t>WIRE ROPES,GALVANISED</t>
        </is>
      </c>
      <c r="E2341" s="3" t="n">
        <v>0.11</v>
      </c>
      <c r="F2341" s="3" t="n">
        <v>0.67</v>
      </c>
      <c r="G2341" s="3">
        <f>F2341-E2341</f>
        <v/>
      </c>
      <c r="H2341" s="4">
        <f>IF(E2341=0,"",F2341/E2341-1)</f>
        <v/>
      </c>
      <c r="I2341" t="inlineStr"/>
    </row>
    <row r="2342">
      <c r="A2342" t="inlineStr">
        <is>
          <t>Base metals &amp; articles</t>
        </is>
      </c>
      <c r="B2342" t="inlineStr">
        <is>
          <t>82</t>
        </is>
      </c>
      <c r="C2342" t="inlineStr">
        <is>
          <t>82072000</t>
        </is>
      </c>
      <c r="D2342" t="inlineStr">
        <is>
          <t>DIES FOR DRAWNG OR EXTRUDNG METAL</t>
        </is>
      </c>
      <c r="E2342" s="3" t="n">
        <v>0.78</v>
      </c>
      <c r="F2342" s="3" t="n">
        <v>0.67</v>
      </c>
      <c r="G2342" s="3">
        <f>F2342-E2342</f>
        <v/>
      </c>
      <c r="H2342" s="4">
        <f>IF(E2342=0,"",F2342/E2342-1)</f>
        <v/>
      </c>
      <c r="I2342" t="inlineStr"/>
    </row>
    <row r="2343">
      <c r="A2343" t="inlineStr">
        <is>
          <t>Base metals &amp; articles</t>
        </is>
      </c>
      <c r="B2343" t="inlineStr">
        <is>
          <t>83</t>
        </is>
      </c>
      <c r="C2343" t="inlineStr">
        <is>
          <t>83112000</t>
        </is>
      </c>
      <c r="D2343" t="inlineStr">
        <is>
          <t>CORED WIRE OF BS MTL FR ELCTRC ARC WLDNG</t>
        </is>
      </c>
      <c r="E2343" s="3" t="n">
        <v>0.21</v>
      </c>
      <c r="F2343" s="3" t="n">
        <v>0.66</v>
      </c>
      <c r="G2343" s="3">
        <f>F2343-E2343</f>
        <v/>
      </c>
      <c r="H2343" s="4">
        <f>IF(E2343=0,"",F2343/E2343-1)</f>
        <v/>
      </c>
      <c r="I2343" t="inlineStr"/>
    </row>
    <row r="2344">
      <c r="A2344" t="inlineStr">
        <is>
          <t>Base metals &amp; articles</t>
        </is>
      </c>
      <c r="B2344" t="inlineStr">
        <is>
          <t>73</t>
        </is>
      </c>
      <c r="C2344" t="inlineStr">
        <is>
          <t>73239920</t>
        </is>
      </c>
      <c r="D2344" t="inlineStr">
        <is>
          <t>OTHER UTENSILS</t>
        </is>
      </c>
      <c r="E2344" s="3" t="n">
        <v>1.22</v>
      </c>
      <c r="F2344" s="3" t="n">
        <v>0.65</v>
      </c>
      <c r="G2344" s="3">
        <f>F2344-E2344</f>
        <v/>
      </c>
      <c r="H2344" s="4">
        <f>IF(E2344=0,"",F2344/E2344-1)</f>
        <v/>
      </c>
      <c r="I2344" t="inlineStr"/>
    </row>
    <row r="2345">
      <c r="A2345" t="inlineStr">
        <is>
          <t>Base metals &amp; articles</t>
        </is>
      </c>
      <c r="B2345" t="inlineStr">
        <is>
          <t>73</t>
        </is>
      </c>
      <c r="C2345" t="inlineStr">
        <is>
          <t>73061100</t>
        </is>
      </c>
      <c r="D2345" t="inlineStr">
        <is>
          <t>WELDED, OF STAINLESS STEEL</t>
        </is>
      </c>
      <c r="E2345" s="3" t="n">
        <v>8.77</v>
      </c>
      <c r="F2345" s="3" t="n">
        <v>0.58</v>
      </c>
      <c r="G2345" s="3">
        <f>F2345-E2345</f>
        <v/>
      </c>
      <c r="H2345" s="4">
        <f>IF(E2345=0,"",F2345/E2345-1)</f>
        <v/>
      </c>
      <c r="I2345" t="inlineStr"/>
    </row>
    <row r="2346">
      <c r="A2346" t="inlineStr">
        <is>
          <t>Base metals &amp; articles</t>
        </is>
      </c>
      <c r="B2346" t="inlineStr">
        <is>
          <t>73</t>
        </is>
      </c>
      <c r="C2346" t="inlineStr">
        <is>
          <t>73144990</t>
        </is>
      </c>
      <c r="D2346" t="inlineStr">
        <is>
          <t>OTHERS-OF-OTHER GRILL,NETTING AND FENCING</t>
        </is>
      </c>
      <c r="E2346" s="3" t="n">
        <v>0.12</v>
      </c>
      <c r="F2346" s="3" t="n">
        <v>0.57</v>
      </c>
      <c r="G2346" s="3">
        <f>F2346-E2346</f>
        <v/>
      </c>
      <c r="H2346" s="4">
        <f>IF(E2346=0,"",F2346/E2346-1)</f>
        <v/>
      </c>
      <c r="I2346" t="inlineStr"/>
    </row>
    <row r="2347">
      <c r="A2347" t="inlineStr">
        <is>
          <t>Base metals &amp; articles</t>
        </is>
      </c>
      <c r="B2347" t="inlineStr">
        <is>
          <t>73</t>
        </is>
      </c>
      <c r="C2347" t="inlineStr">
        <is>
          <t>73239310</t>
        </is>
      </c>
      <c r="D2347" t="inlineStr">
        <is>
          <t>PRESSURE COOKERS</t>
        </is>
      </c>
      <c r="E2347" s="3" t="n">
        <v>0.66</v>
      </c>
      <c r="F2347" s="3" t="n">
        <v>0.57</v>
      </c>
      <c r="G2347" s="3">
        <f>F2347-E2347</f>
        <v/>
      </c>
      <c r="H2347" s="4">
        <f>IF(E2347=0,"",F2347/E2347-1)</f>
        <v/>
      </c>
      <c r="I2347" t="inlineStr"/>
    </row>
    <row r="2348">
      <c r="A2348" t="inlineStr">
        <is>
          <t>Base metals &amp; articles</t>
        </is>
      </c>
      <c r="B2348" t="inlineStr">
        <is>
          <t>76</t>
        </is>
      </c>
      <c r="C2348" t="inlineStr">
        <is>
          <t>76071110</t>
        </is>
      </c>
      <c r="D2348" t="inlineStr">
        <is>
          <t>ALUMNM FOIL FOR TEA CHEST LINING,ROLLD</t>
        </is>
      </c>
      <c r="E2348" s="3" t="n">
        <v>0</v>
      </c>
      <c r="F2348" s="3" t="n">
        <v>0.5600000000000001</v>
      </c>
      <c r="G2348" s="3">
        <f>F2348-E2348</f>
        <v/>
      </c>
      <c r="H2348" s="4">
        <f>IF(E2348=0,"",F2348/E2348-1)</f>
        <v/>
      </c>
      <c r="I2348" t="inlineStr"/>
    </row>
    <row r="2349">
      <c r="A2349" t="inlineStr">
        <is>
          <t>Base metals &amp; articles</t>
        </is>
      </c>
      <c r="B2349" t="inlineStr">
        <is>
          <t>73</t>
        </is>
      </c>
      <c r="C2349" t="inlineStr">
        <is>
          <t>73141910</t>
        </is>
      </c>
      <c r="D2349" t="inlineStr">
        <is>
          <t>WIRE GAUZE(WIRE CLOTH WIRE MESH)</t>
        </is>
      </c>
      <c r="E2349" s="3" t="n">
        <v>0.05</v>
      </c>
      <c r="F2349" s="3" t="n">
        <v>0.55</v>
      </c>
      <c r="G2349" s="3">
        <f>F2349-E2349</f>
        <v/>
      </c>
      <c r="H2349" s="4">
        <f>IF(E2349=0,"",F2349/E2349-1)</f>
        <v/>
      </c>
      <c r="I2349" t="inlineStr"/>
    </row>
    <row r="2350">
      <c r="A2350" t="inlineStr">
        <is>
          <t>Base metals &amp; articles</t>
        </is>
      </c>
      <c r="B2350" t="inlineStr">
        <is>
          <t>81</t>
        </is>
      </c>
      <c r="C2350" t="inlineStr">
        <is>
          <t>81041100</t>
        </is>
      </c>
      <c r="D2350" t="inlineStr">
        <is>
          <t>UNWRGHT MGNSM CONTNG &gt;=99.8% BY WT OF MG</t>
        </is>
      </c>
      <c r="E2350" s="3" t="n">
        <v>1.46</v>
      </c>
      <c r="F2350" s="3" t="n">
        <v>0.55</v>
      </c>
      <c r="G2350" s="3">
        <f>F2350-E2350</f>
        <v/>
      </c>
      <c r="H2350" s="4">
        <f>IF(E2350=0,"",F2350/E2350-1)</f>
        <v/>
      </c>
      <c r="I2350" t="inlineStr"/>
    </row>
    <row r="2351">
      <c r="A2351" t="inlineStr">
        <is>
          <t>Base metals &amp; articles</t>
        </is>
      </c>
      <c r="B2351" t="inlineStr">
        <is>
          <t>83</t>
        </is>
      </c>
      <c r="C2351" t="inlineStr">
        <is>
          <t>83119000</t>
        </is>
      </c>
      <c r="D2351" t="inlineStr">
        <is>
          <t>OTHR ARTCLS OF HEADING 8311 INCL PARTS</t>
        </is>
      </c>
      <c r="E2351" s="3" t="n">
        <v>0.67</v>
      </c>
      <c r="F2351" s="3" t="n">
        <v>0.55</v>
      </c>
      <c r="G2351" s="3">
        <f>F2351-E2351</f>
        <v/>
      </c>
      <c r="H2351" s="4">
        <f>IF(E2351=0,"",F2351/E2351-1)</f>
        <v/>
      </c>
      <c r="I2351" t="inlineStr"/>
    </row>
    <row r="2352">
      <c r="A2352" t="inlineStr">
        <is>
          <t>Base metals &amp; articles</t>
        </is>
      </c>
      <c r="B2352" t="inlineStr">
        <is>
          <t>72</t>
        </is>
      </c>
      <c r="C2352" t="inlineStr">
        <is>
          <t>72083790</t>
        </is>
      </c>
      <c r="D2352" t="inlineStr">
        <is>
          <t>OTHR FLAT-ROLD PRDCTS IN COILS OF A THCKNS&gt;=4.75 BUT&lt; 10MM HOT-RLD,EXCL.PICKL</t>
        </is>
      </c>
      <c r="E2352" s="3" t="n">
        <v>3.66</v>
      </c>
      <c r="F2352" s="3" t="n">
        <v>0.54</v>
      </c>
      <c r="G2352" s="3">
        <f>F2352-E2352</f>
        <v/>
      </c>
      <c r="H2352" s="4">
        <f>IF(E2352=0,"",F2352/E2352-1)</f>
        <v/>
      </c>
      <c r="I2352" t="inlineStr"/>
    </row>
    <row r="2353">
      <c r="A2353" t="inlineStr">
        <is>
          <t>Base metals &amp; articles</t>
        </is>
      </c>
      <c r="B2353" t="inlineStr">
        <is>
          <t>73</t>
        </is>
      </c>
      <c r="C2353" t="inlineStr">
        <is>
          <t>73043939</t>
        </is>
      </c>
      <c r="D2353" t="inlineStr">
        <is>
          <t>OTHER MADE ABOVE 219.1 MM OUTER DIAMETER</t>
        </is>
      </c>
      <c r="E2353" s="3" t="n">
        <v>5.75</v>
      </c>
      <c r="F2353" s="3" t="n">
        <v>0.54</v>
      </c>
      <c r="G2353" s="3">
        <f>F2353-E2353</f>
        <v/>
      </c>
      <c r="H2353" s="4">
        <f>IF(E2353=0,"",F2353/E2353-1)</f>
        <v/>
      </c>
      <c r="I2353" t="inlineStr"/>
    </row>
    <row r="2354">
      <c r="A2354" t="inlineStr">
        <is>
          <t>Base metals &amp; articles</t>
        </is>
      </c>
      <c r="B2354" t="inlineStr">
        <is>
          <t>74</t>
        </is>
      </c>
      <c r="C2354" t="inlineStr">
        <is>
          <t>74181022</t>
        </is>
      </c>
      <c r="D2354" t="inlineStr">
        <is>
          <t>OF COPPER</t>
        </is>
      </c>
      <c r="E2354" s="3" t="n">
        <v>0.53</v>
      </c>
      <c r="F2354" s="3" t="n">
        <v>0.54</v>
      </c>
      <c r="G2354" s="3">
        <f>F2354-E2354</f>
        <v/>
      </c>
      <c r="H2354" s="4">
        <f>IF(E2354=0,"",F2354/E2354-1)</f>
        <v/>
      </c>
      <c r="I2354" t="inlineStr"/>
    </row>
    <row r="2355">
      <c r="A2355" t="inlineStr">
        <is>
          <t>Base metals &amp; articles</t>
        </is>
      </c>
      <c r="B2355" t="inlineStr">
        <is>
          <t>76</t>
        </is>
      </c>
      <c r="C2355" t="inlineStr">
        <is>
          <t>76129010</t>
        </is>
      </c>
      <c r="D2355" t="inlineStr">
        <is>
          <t>OTHER CONTAINERS :PLAIN</t>
        </is>
      </c>
      <c r="E2355" s="3" t="n">
        <v>1.04</v>
      </c>
      <c r="F2355" s="3" t="n">
        <v>0.53</v>
      </c>
      <c r="G2355" s="3">
        <f>F2355-E2355</f>
        <v/>
      </c>
      <c r="H2355" s="4">
        <f>IF(E2355=0,"",F2355/E2355-1)</f>
        <v/>
      </c>
      <c r="I2355" t="inlineStr"/>
    </row>
    <row r="2356">
      <c r="A2356" t="inlineStr">
        <is>
          <t>Base metals &amp; articles</t>
        </is>
      </c>
      <c r="B2356" t="inlineStr">
        <is>
          <t>76</t>
        </is>
      </c>
      <c r="C2356" t="inlineStr">
        <is>
          <t>76061110</t>
        </is>
      </c>
      <c r="D2356" t="inlineStr">
        <is>
          <t>ELECTROLYTIC PLATES OR SHEETS</t>
        </is>
      </c>
      <c r="E2356" s="3" t="n">
        <v>0.28</v>
      </c>
      <c r="F2356" s="3" t="n">
        <v>0.52</v>
      </c>
      <c r="G2356" s="3">
        <f>F2356-E2356</f>
        <v/>
      </c>
      <c r="H2356" s="4">
        <f>IF(E2356=0,"",F2356/E2356-1)</f>
        <v/>
      </c>
      <c r="I2356" t="inlineStr"/>
    </row>
    <row r="2357">
      <c r="A2357" t="inlineStr">
        <is>
          <t>Base metals &amp; articles</t>
        </is>
      </c>
      <c r="B2357" t="inlineStr">
        <is>
          <t>76</t>
        </is>
      </c>
      <c r="C2357" t="inlineStr">
        <is>
          <t>76071991</t>
        </is>
      </c>
      <c r="D2357" t="inlineStr">
        <is>
          <t>PLAIN ALUMNM FOIL NOT ROLLED AND NOT BACKED</t>
        </is>
      </c>
      <c r="E2357" s="3" t="n">
        <v>0.82</v>
      </c>
      <c r="F2357" s="3" t="n">
        <v>0.52</v>
      </c>
      <c r="G2357" s="3">
        <f>F2357-E2357</f>
        <v/>
      </c>
      <c r="H2357" s="4">
        <f>IF(E2357=0,"",F2357/E2357-1)</f>
        <v/>
      </c>
      <c r="I2357" t="inlineStr"/>
    </row>
    <row r="2358">
      <c r="A2358" t="inlineStr">
        <is>
          <t>Base metals &amp; articles</t>
        </is>
      </c>
      <c r="B2358" t="inlineStr">
        <is>
          <t>82</t>
        </is>
      </c>
      <c r="C2358" t="inlineStr">
        <is>
          <t>82055990</t>
        </is>
      </c>
      <c r="D2358" t="inlineStr">
        <is>
          <t>OTHR HND TOOL INCL GLAZIERS DIAMONDS NES</t>
        </is>
      </c>
      <c r="E2358" s="3" t="n">
        <v>0.66</v>
      </c>
      <c r="F2358" s="3" t="n">
        <v>0.52</v>
      </c>
      <c r="G2358" s="3">
        <f>F2358-E2358</f>
        <v/>
      </c>
      <c r="H2358" s="4">
        <f>IF(E2358=0,"",F2358/E2358-1)</f>
        <v/>
      </c>
      <c r="I2358" t="inlineStr"/>
    </row>
    <row r="2359">
      <c r="A2359" t="inlineStr">
        <is>
          <t>Base metals &amp; articles</t>
        </is>
      </c>
      <c r="B2359" t="inlineStr">
        <is>
          <t>72</t>
        </is>
      </c>
      <c r="C2359" t="inlineStr">
        <is>
          <t>72044900</t>
        </is>
      </c>
      <c r="D2359" t="inlineStr">
        <is>
          <t>OTHER WASTE AND SCRAP</t>
        </is>
      </c>
      <c r="E2359" s="3" t="n">
        <v>1.3</v>
      </c>
      <c r="F2359" s="3" t="n">
        <v>0.51</v>
      </c>
      <c r="G2359" s="3">
        <f>F2359-E2359</f>
        <v/>
      </c>
      <c r="H2359" s="4">
        <f>IF(E2359=0,"",F2359/E2359-1)</f>
        <v/>
      </c>
      <c r="I2359" t="inlineStr"/>
    </row>
    <row r="2360">
      <c r="A2360" t="inlineStr">
        <is>
          <t>Base metals &amp; articles</t>
        </is>
      </c>
      <c r="B2360" t="inlineStr">
        <is>
          <t>72</t>
        </is>
      </c>
      <c r="C2360" t="inlineStr">
        <is>
          <t>72202090</t>
        </is>
      </c>
      <c r="D2360" t="inlineStr">
        <is>
          <t>STRIPS FOR PIPES AND TUBES(OTHR THN SKELP) OTHER N.E.S.</t>
        </is>
      </c>
      <c r="E2360" s="3" t="n">
        <v>1.71</v>
      </c>
      <c r="F2360" s="3" t="n">
        <v>0.5</v>
      </c>
      <c r="G2360" s="3">
        <f>F2360-E2360</f>
        <v/>
      </c>
      <c r="H2360" s="4">
        <f>IF(E2360=0,"",F2360/E2360-1)</f>
        <v/>
      </c>
      <c r="I2360" t="inlineStr"/>
    </row>
    <row r="2361">
      <c r="A2361" t="inlineStr">
        <is>
          <t>Base metals &amp; articles</t>
        </is>
      </c>
      <c r="B2361" t="inlineStr">
        <is>
          <t>73</t>
        </is>
      </c>
      <c r="C2361" t="inlineStr">
        <is>
          <t>73201020</t>
        </is>
      </c>
      <c r="D2361" t="inlineStr">
        <is>
          <t>LEAF FOR SPRINGS OF IRON OR STEEL</t>
        </is>
      </c>
      <c r="E2361" s="3" t="n">
        <v>0.51</v>
      </c>
      <c r="F2361" s="3" t="n">
        <v>0.5</v>
      </c>
      <c r="G2361" s="3">
        <f>F2361-E2361</f>
        <v/>
      </c>
      <c r="H2361" s="4">
        <f>IF(E2361=0,"",F2361/E2361-1)</f>
        <v/>
      </c>
      <c r="I2361" t="inlineStr"/>
    </row>
    <row r="2362">
      <c r="A2362" t="inlineStr">
        <is>
          <t>Base metals &amp; articles</t>
        </is>
      </c>
      <c r="B2362" t="inlineStr">
        <is>
          <t>79</t>
        </is>
      </c>
      <c r="C2362" t="inlineStr">
        <is>
          <t>79070090</t>
        </is>
      </c>
      <c r="D2362" t="inlineStr">
        <is>
          <t>OTHER ARTICLES OF ZINC N.E.S.</t>
        </is>
      </c>
      <c r="E2362" s="3" t="n">
        <v>0.88</v>
      </c>
      <c r="F2362" s="3" t="n">
        <v>0.5</v>
      </c>
      <c r="G2362" s="3">
        <f>F2362-E2362</f>
        <v/>
      </c>
      <c r="H2362" s="4">
        <f>IF(E2362=0,"",F2362/E2362-1)</f>
        <v/>
      </c>
      <c r="I2362" t="inlineStr"/>
    </row>
    <row r="2363">
      <c r="A2363" t="inlineStr">
        <is>
          <t>Base metals &amp; articles</t>
        </is>
      </c>
      <c r="B2363" t="inlineStr">
        <is>
          <t>83</t>
        </is>
      </c>
      <c r="C2363" t="inlineStr">
        <is>
          <t>83021010</t>
        </is>
      </c>
      <c r="D2363" t="inlineStr">
        <is>
          <t>HINGES 0F STEEL</t>
        </is>
      </c>
      <c r="E2363" s="3" t="n">
        <v>0.92</v>
      </c>
      <c r="F2363" s="3" t="n">
        <v>0.5</v>
      </c>
      <c r="G2363" s="3">
        <f>F2363-E2363</f>
        <v/>
      </c>
      <c r="H2363" s="4">
        <f>IF(E2363=0,"",F2363/E2363-1)</f>
        <v/>
      </c>
      <c r="I2363" t="inlineStr"/>
    </row>
    <row r="2364">
      <c r="A2364" t="inlineStr">
        <is>
          <t>Base metals &amp; articles</t>
        </is>
      </c>
      <c r="B2364" t="inlineStr">
        <is>
          <t>83</t>
        </is>
      </c>
      <c r="C2364" t="inlineStr">
        <is>
          <t>83024120</t>
        </is>
      </c>
      <c r="D2364" t="inlineStr">
        <is>
          <t>TOWER BOLTS</t>
        </is>
      </c>
      <c r="E2364" s="3" t="n">
        <v>0.62</v>
      </c>
      <c r="F2364" s="3" t="n">
        <v>0.5</v>
      </c>
      <c r="G2364" s="3">
        <f>F2364-E2364</f>
        <v/>
      </c>
      <c r="H2364" s="4">
        <f>IF(E2364=0,"",F2364/E2364-1)</f>
        <v/>
      </c>
      <c r="I2364" t="inlineStr"/>
    </row>
    <row r="2365">
      <c r="A2365" t="inlineStr">
        <is>
          <t>Base metals &amp; articles</t>
        </is>
      </c>
      <c r="B2365" t="inlineStr">
        <is>
          <t>73</t>
        </is>
      </c>
      <c r="C2365" t="inlineStr">
        <is>
          <t>73239420</t>
        </is>
      </c>
      <c r="D2365" t="inlineStr">
        <is>
          <t>UTENSILS</t>
        </is>
      </c>
      <c r="E2365" s="3" t="n">
        <v>1.24</v>
      </c>
      <c r="F2365" s="3" t="n">
        <v>0.49</v>
      </c>
      <c r="G2365" s="3">
        <f>F2365-E2365</f>
        <v/>
      </c>
      <c r="H2365" s="4">
        <f>IF(E2365=0,"",F2365/E2365-1)</f>
        <v/>
      </c>
      <c r="I2365" t="inlineStr"/>
    </row>
    <row r="2366">
      <c r="A2366" t="inlineStr">
        <is>
          <t>Base metals &amp; articles</t>
        </is>
      </c>
      <c r="B2366" t="inlineStr">
        <is>
          <t>82</t>
        </is>
      </c>
      <c r="C2366" t="inlineStr">
        <is>
          <t>82077010</t>
        </is>
      </c>
      <c r="D2366" t="inlineStr">
        <is>
          <t>MILLING CUTTERS</t>
        </is>
      </c>
      <c r="E2366" s="3" t="n">
        <v>0.29</v>
      </c>
      <c r="F2366" s="3" t="n">
        <v>0.49</v>
      </c>
      <c r="G2366" s="3">
        <f>F2366-E2366</f>
        <v/>
      </c>
      <c r="H2366" s="4">
        <f>IF(E2366=0,"",F2366/E2366-1)</f>
        <v/>
      </c>
      <c r="I2366" t="inlineStr"/>
    </row>
    <row r="2367">
      <c r="A2367" t="inlineStr">
        <is>
          <t>Base metals &amp; articles</t>
        </is>
      </c>
      <c r="B2367" t="inlineStr">
        <is>
          <t>72</t>
        </is>
      </c>
      <c r="C2367" t="inlineStr">
        <is>
          <t>72151000</t>
        </is>
      </c>
      <c r="D2367" t="inlineStr">
        <is>
          <t>BARS AND RODS OF FREE-CUTTING STL, COLD-FORMED/COLD-FINISHED</t>
        </is>
      </c>
      <c r="E2367" s="3" t="n">
        <v>0.37</v>
      </c>
      <c r="F2367" s="3" t="n">
        <v>0.48</v>
      </c>
      <c r="G2367" s="3">
        <f>F2367-E2367</f>
        <v/>
      </c>
      <c r="H2367" s="4">
        <f>IF(E2367=0,"",F2367/E2367-1)</f>
        <v/>
      </c>
      <c r="I2367" t="inlineStr"/>
    </row>
    <row r="2368">
      <c r="A2368" t="inlineStr">
        <is>
          <t>Base metals &amp; articles</t>
        </is>
      </c>
      <c r="B2368" t="inlineStr">
        <is>
          <t>73</t>
        </is>
      </c>
      <c r="C2368" t="inlineStr">
        <is>
          <t>73141410</t>
        </is>
      </c>
      <c r="D2368" t="inlineStr">
        <is>
          <t>WIRE GAUZE(WIRE CLOTH,WIRE MESH)</t>
        </is>
      </c>
      <c r="E2368" s="3" t="n">
        <v>0.44</v>
      </c>
      <c r="F2368" s="3" t="n">
        <v>0.48</v>
      </c>
      <c r="G2368" s="3">
        <f>F2368-E2368</f>
        <v/>
      </c>
      <c r="H2368" s="4">
        <f>IF(E2368=0,"",F2368/E2368-1)</f>
        <v/>
      </c>
      <c r="I2368" t="inlineStr"/>
    </row>
    <row r="2369">
      <c r="A2369" t="inlineStr">
        <is>
          <t>Base metals &amp; articles</t>
        </is>
      </c>
      <c r="B2369" t="inlineStr">
        <is>
          <t>83</t>
        </is>
      </c>
      <c r="C2369" t="inlineStr">
        <is>
          <t>83052000</t>
        </is>
      </c>
      <c r="D2369" t="inlineStr">
        <is>
          <t>STAPLES IN STRIPS</t>
        </is>
      </c>
      <c r="E2369" s="3" t="n">
        <v>0.13</v>
      </c>
      <c r="F2369" s="3" t="n">
        <v>0.48</v>
      </c>
      <c r="G2369" s="3">
        <f>F2369-E2369</f>
        <v/>
      </c>
      <c r="H2369" s="4">
        <f>IF(E2369=0,"",F2369/E2369-1)</f>
        <v/>
      </c>
      <c r="I2369" t="inlineStr"/>
    </row>
    <row r="2370">
      <c r="A2370" t="inlineStr">
        <is>
          <t>Base metals &amp; articles</t>
        </is>
      </c>
      <c r="B2370" t="inlineStr">
        <is>
          <t>83</t>
        </is>
      </c>
      <c r="C2370" t="inlineStr">
        <is>
          <t>83099020</t>
        </is>
      </c>
      <c r="D2370" t="inlineStr">
        <is>
          <t>ALUMINIUM CAPS AND CLOSURES</t>
        </is>
      </c>
      <c r="E2370" s="3" t="n">
        <v>0.76</v>
      </c>
      <c r="F2370" s="3" t="n">
        <v>0.47</v>
      </c>
      <c r="G2370" s="3">
        <f>F2370-E2370</f>
        <v/>
      </c>
      <c r="H2370" s="4">
        <f>IF(E2370=0,"",F2370/E2370-1)</f>
        <v/>
      </c>
      <c r="I2370" t="inlineStr"/>
    </row>
    <row r="2371">
      <c r="A2371" t="inlineStr">
        <is>
          <t>Base metals &amp; articles</t>
        </is>
      </c>
      <c r="B2371" t="inlineStr">
        <is>
          <t>72</t>
        </is>
      </c>
      <c r="C2371" t="inlineStr">
        <is>
          <t>72155090</t>
        </is>
      </c>
      <c r="D2371" t="inlineStr">
        <is>
          <t>OTHERS-OF-OTHER, NOT FURTHER WORKED THAN COLD-FORMED OR COLD-FINISHED :</t>
        </is>
      </c>
      <c r="E2371" s="3" t="n">
        <v>0.15</v>
      </c>
      <c r="F2371" s="3" t="n">
        <v>0.46</v>
      </c>
      <c r="G2371" s="3">
        <f>F2371-E2371</f>
        <v/>
      </c>
      <c r="H2371" s="4">
        <f>IF(E2371=0,"",F2371/E2371-1)</f>
        <v/>
      </c>
      <c r="I2371" t="inlineStr"/>
    </row>
    <row r="2372">
      <c r="A2372" t="inlineStr">
        <is>
          <t>Base metals &amp; articles</t>
        </is>
      </c>
      <c r="B2372" t="inlineStr">
        <is>
          <t>73</t>
        </is>
      </c>
      <c r="C2372" t="inlineStr">
        <is>
          <t>73062100</t>
        </is>
      </c>
      <c r="D2372" t="inlineStr">
        <is>
          <t>WELDED, OF STAINLESS STEEL</t>
        </is>
      </c>
      <c r="E2372" s="3" t="n">
        <v>0</v>
      </c>
      <c r="F2372" s="3" t="n">
        <v>0.45</v>
      </c>
      <c r="G2372" s="3">
        <f>F2372-E2372</f>
        <v/>
      </c>
      <c r="H2372" s="4">
        <f>IF(E2372=0,"",F2372/E2372-1)</f>
        <v/>
      </c>
      <c r="I2372" t="inlineStr"/>
    </row>
    <row r="2373">
      <c r="A2373" t="inlineStr">
        <is>
          <t>Base metals &amp; articles</t>
        </is>
      </c>
      <c r="B2373" t="inlineStr">
        <is>
          <t>72</t>
        </is>
      </c>
      <c r="C2373" t="inlineStr">
        <is>
          <t>72254019</t>
        </is>
      </c>
      <c r="D2373" t="inlineStr">
        <is>
          <t>OTHER QULTY OF THCKNS&gt;4.75 MM</t>
        </is>
      </c>
      <c r="E2373" s="3" t="n">
        <v>0.96</v>
      </c>
      <c r="F2373" s="3" t="n">
        <v>0.44</v>
      </c>
      <c r="G2373" s="3">
        <f>F2373-E2373</f>
        <v/>
      </c>
      <c r="H2373" s="4">
        <f>IF(E2373=0,"",F2373/E2373-1)</f>
        <v/>
      </c>
      <c r="I2373" t="inlineStr"/>
    </row>
    <row r="2374">
      <c r="A2374" t="inlineStr">
        <is>
          <t>Base metals &amp; articles</t>
        </is>
      </c>
      <c r="B2374" t="inlineStr">
        <is>
          <t>73</t>
        </is>
      </c>
      <c r="C2374" t="inlineStr">
        <is>
          <t>73251000</t>
        </is>
      </c>
      <c r="D2374" t="inlineStr">
        <is>
          <t>OTHR ARTICLES OF NON-MALLEABLE CAST IRON</t>
        </is>
      </c>
      <c r="E2374" s="3" t="n">
        <v>1.51</v>
      </c>
      <c r="F2374" s="3" t="n">
        <v>0.44</v>
      </c>
      <c r="G2374" s="3">
        <f>F2374-E2374</f>
        <v/>
      </c>
      <c r="H2374" s="4">
        <f>IF(E2374=0,"",F2374/E2374-1)</f>
        <v/>
      </c>
      <c r="I2374" t="inlineStr"/>
    </row>
    <row r="2375">
      <c r="A2375" t="inlineStr">
        <is>
          <t>Base metals &amp; articles</t>
        </is>
      </c>
      <c r="B2375" t="inlineStr">
        <is>
          <t>73</t>
        </is>
      </c>
      <c r="C2375" t="inlineStr">
        <is>
          <t>73182100</t>
        </is>
      </c>
      <c r="D2375" t="inlineStr">
        <is>
          <t>SPRNG WASHRS AND OTHR LOCK WASHRS,NON-THRADD</t>
        </is>
      </c>
      <c r="E2375" s="3" t="n">
        <v>0.27</v>
      </c>
      <c r="F2375" s="3" t="n">
        <v>0.43</v>
      </c>
      <c r="G2375" s="3">
        <f>F2375-E2375</f>
        <v/>
      </c>
      <c r="H2375" s="4">
        <f>IF(E2375=0,"",F2375/E2375-1)</f>
        <v/>
      </c>
      <c r="I2375" t="inlineStr"/>
    </row>
    <row r="2376">
      <c r="A2376" t="inlineStr">
        <is>
          <t>Base metals &amp; articles</t>
        </is>
      </c>
      <c r="B2376" t="inlineStr">
        <is>
          <t>73</t>
        </is>
      </c>
      <c r="C2376" t="inlineStr">
        <is>
          <t>73121090</t>
        </is>
      </c>
      <c r="D2376" t="inlineStr">
        <is>
          <t>OTHERS(E.G.TRANSMISSION BELTING)</t>
        </is>
      </c>
      <c r="E2376" s="3" t="n">
        <v>0.17</v>
      </c>
      <c r="F2376" s="3" t="n">
        <v>0.42</v>
      </c>
      <c r="G2376" s="3">
        <f>F2376-E2376</f>
        <v/>
      </c>
      <c r="H2376" s="4">
        <f>IF(E2376=0,"",F2376/E2376-1)</f>
        <v/>
      </c>
      <c r="I2376" t="inlineStr"/>
    </row>
    <row r="2377">
      <c r="A2377" t="inlineStr">
        <is>
          <t>Base metals &amp; articles</t>
        </is>
      </c>
      <c r="B2377" t="inlineStr">
        <is>
          <t>73</t>
        </is>
      </c>
      <c r="C2377" t="inlineStr">
        <is>
          <t>73241000</t>
        </is>
      </c>
      <c r="D2377" t="inlineStr">
        <is>
          <t>SINKS AND WASH BASINS OF STAINLESS STEEL</t>
        </is>
      </c>
      <c r="E2377" s="3" t="n">
        <v>0.31</v>
      </c>
      <c r="F2377" s="3" t="n">
        <v>0.42</v>
      </c>
      <c r="G2377" s="3">
        <f>F2377-E2377</f>
        <v/>
      </c>
      <c r="H2377" s="4">
        <f>IF(E2377=0,"",F2377/E2377-1)</f>
        <v/>
      </c>
      <c r="I2377" t="inlineStr"/>
    </row>
    <row r="2378">
      <c r="A2378" t="inlineStr">
        <is>
          <t>Base metals &amp; articles</t>
        </is>
      </c>
      <c r="B2378" t="inlineStr">
        <is>
          <t>82</t>
        </is>
      </c>
      <c r="C2378" t="inlineStr">
        <is>
          <t>82078000</t>
        </is>
      </c>
      <c r="D2378" t="inlineStr">
        <is>
          <t>TOOLS FOR TURNING</t>
        </is>
      </c>
      <c r="E2378" s="3" t="n">
        <v>0.13</v>
      </c>
      <c r="F2378" s="3" t="n">
        <v>0.42</v>
      </c>
      <c r="G2378" s="3">
        <f>F2378-E2378</f>
        <v/>
      </c>
      <c r="H2378" s="4">
        <f>IF(E2378=0,"",F2378/E2378-1)</f>
        <v/>
      </c>
      <c r="I2378" t="inlineStr"/>
    </row>
    <row r="2379">
      <c r="A2379" t="inlineStr">
        <is>
          <t>Base metals &amp; articles</t>
        </is>
      </c>
      <c r="B2379" t="inlineStr">
        <is>
          <t>72</t>
        </is>
      </c>
      <c r="C2379" t="inlineStr">
        <is>
          <t>72192390</t>
        </is>
      </c>
      <c r="D2379" t="inlineStr">
        <is>
          <t>HOTROLLED OTHR TYPE</t>
        </is>
      </c>
      <c r="E2379" s="3" t="n">
        <v>0.08</v>
      </c>
      <c r="F2379" s="3" t="n">
        <v>0.4</v>
      </c>
      <c r="G2379" s="3">
        <f>F2379-E2379</f>
        <v/>
      </c>
      <c r="H2379" s="4">
        <f>IF(E2379=0,"",F2379/E2379-1)</f>
        <v/>
      </c>
      <c r="I2379" t="inlineStr"/>
    </row>
    <row r="2380">
      <c r="A2380" t="inlineStr">
        <is>
          <t>Base metals &amp; articles</t>
        </is>
      </c>
      <c r="B2380" t="inlineStr">
        <is>
          <t>74</t>
        </is>
      </c>
      <c r="C2380" t="inlineStr">
        <is>
          <t>74081990</t>
        </is>
      </c>
      <c r="D2380" t="inlineStr">
        <is>
          <t>OTHERS WITH CROSS SECTION&lt;=6MM</t>
        </is>
      </c>
      <c r="E2380" s="3" t="n">
        <v>0.44</v>
      </c>
      <c r="F2380" s="3" t="n">
        <v>0.4</v>
      </c>
      <c r="G2380" s="3">
        <f>F2380-E2380</f>
        <v/>
      </c>
      <c r="H2380" s="4">
        <f>IF(E2380=0,"",F2380/E2380-1)</f>
        <v/>
      </c>
      <c r="I2380" t="inlineStr"/>
    </row>
    <row r="2381">
      <c r="A2381" t="inlineStr">
        <is>
          <t>Base metals &amp; articles</t>
        </is>
      </c>
      <c r="B2381" t="inlineStr">
        <is>
          <t>72</t>
        </is>
      </c>
      <c r="C2381" t="inlineStr">
        <is>
          <t>72230010</t>
        </is>
      </c>
      <c r="D2381" t="inlineStr">
        <is>
          <t>ELECTRODE QUALITY WIRE OF STAINLESS STEEL</t>
        </is>
      </c>
      <c r="E2381" s="3" t="n">
        <v>0.47</v>
      </c>
      <c r="F2381" s="3" t="n">
        <v>0.39</v>
      </c>
      <c r="G2381" s="3">
        <f>F2381-E2381</f>
        <v/>
      </c>
      <c r="H2381" s="4">
        <f>IF(E2381=0,"",F2381/E2381-1)</f>
        <v/>
      </c>
      <c r="I2381" t="inlineStr"/>
    </row>
    <row r="2382">
      <c r="A2382" t="inlineStr">
        <is>
          <t>Base metals &amp; articles</t>
        </is>
      </c>
      <c r="B2382" t="inlineStr">
        <is>
          <t>74</t>
        </is>
      </c>
      <c r="C2382" t="inlineStr">
        <is>
          <t>74153390</t>
        </is>
      </c>
      <c r="D2382" t="inlineStr">
        <is>
          <t>OTHER SCREWS; BOLTS AND NUTS :THREADED</t>
        </is>
      </c>
      <c r="E2382" s="3" t="n">
        <v>0.26</v>
      </c>
      <c r="F2382" s="3" t="n">
        <v>0.39</v>
      </c>
      <c r="G2382" s="3">
        <f>F2382-E2382</f>
        <v/>
      </c>
      <c r="H2382" s="4">
        <f>IF(E2382=0,"",F2382/E2382-1)</f>
        <v/>
      </c>
      <c r="I2382" t="inlineStr"/>
    </row>
    <row r="2383">
      <c r="A2383" t="inlineStr">
        <is>
          <t>Base metals &amp; articles</t>
        </is>
      </c>
      <c r="B2383" t="inlineStr">
        <is>
          <t>72</t>
        </is>
      </c>
      <c r="C2383" t="inlineStr">
        <is>
          <t>72085120</t>
        </is>
      </c>
      <c r="D2383" t="inlineStr">
        <is>
          <t>UNVRSL PLATES OF FLAT-ROLD PRDCTS NOT IN COILS OF THCKNS EXCD 10 MM HOT-RLD PICKLD</t>
        </is>
      </c>
      <c r="E2383" s="3" t="n">
        <v>43.49</v>
      </c>
      <c r="F2383" s="3" t="n">
        <v>0.38</v>
      </c>
      <c r="G2383" s="3">
        <f>F2383-E2383</f>
        <v/>
      </c>
      <c r="H2383" s="4">
        <f>IF(E2383=0,"",F2383/E2383-1)</f>
        <v/>
      </c>
      <c r="I2383" t="inlineStr"/>
    </row>
    <row r="2384">
      <c r="A2384" t="inlineStr">
        <is>
          <t>Base metals &amp; articles</t>
        </is>
      </c>
      <c r="B2384" t="inlineStr">
        <is>
          <t>72</t>
        </is>
      </c>
      <c r="C2384" t="inlineStr">
        <is>
          <t>72111910</t>
        </is>
      </c>
      <c r="D2384" t="inlineStr">
        <is>
          <t>FLATS OF PRDCTS,HOT RLD,OF THCKNS&lt;4.75MM</t>
        </is>
      </c>
      <c r="E2384" s="3" t="n">
        <v>1.56</v>
      </c>
      <c r="F2384" s="3" t="n">
        <v>0.38</v>
      </c>
      <c r="G2384" s="3">
        <f>F2384-E2384</f>
        <v/>
      </c>
      <c r="H2384" s="4">
        <f>IF(E2384=0,"",F2384/E2384-1)</f>
        <v/>
      </c>
      <c r="I2384" t="inlineStr"/>
    </row>
    <row r="2385">
      <c r="A2385" t="inlineStr">
        <is>
          <t>Base metals &amp; articles</t>
        </is>
      </c>
      <c r="B2385" t="inlineStr">
        <is>
          <t>74</t>
        </is>
      </c>
      <c r="C2385" t="inlineStr">
        <is>
          <t>74112100</t>
        </is>
      </c>
      <c r="D2385" t="inlineStr">
        <is>
          <t>TUBES AND PIPES OF COPR-ZNC BASE ALOYS(BRAS)</t>
        </is>
      </c>
      <c r="E2385" s="3" t="n">
        <v>0.84</v>
      </c>
      <c r="F2385" s="3" t="n">
        <v>0.38</v>
      </c>
      <c r="G2385" s="3">
        <f>F2385-E2385</f>
        <v/>
      </c>
      <c r="H2385" s="4">
        <f>IF(E2385=0,"",F2385/E2385-1)</f>
        <v/>
      </c>
      <c r="I2385" t="inlineStr"/>
    </row>
    <row r="2386">
      <c r="A2386" t="inlineStr">
        <is>
          <t>Base metals &amp; articles</t>
        </is>
      </c>
      <c r="B2386" t="inlineStr">
        <is>
          <t>72</t>
        </is>
      </c>
      <c r="C2386" t="inlineStr">
        <is>
          <t>72112950</t>
        </is>
      </c>
      <c r="D2386" t="inlineStr">
        <is>
          <t>STRIPS OF FLT-RLD PRDCTS OF IRON/NON ALOY STL NT FRTHR WRKD THN COLD-RLD (EXCL 7211.23)</t>
        </is>
      </c>
      <c r="E2386" s="3" t="n">
        <v>0.04</v>
      </c>
      <c r="F2386" s="3" t="n">
        <v>0.37</v>
      </c>
      <c r="G2386" s="3">
        <f>F2386-E2386</f>
        <v/>
      </c>
      <c r="H2386" s="4">
        <f>IF(E2386=0,"",F2386/E2386-1)</f>
        <v/>
      </c>
      <c r="I2386" t="inlineStr"/>
    </row>
    <row r="2387">
      <c r="A2387" t="inlineStr">
        <is>
          <t>Base metals &amp; articles</t>
        </is>
      </c>
      <c r="B2387" t="inlineStr">
        <is>
          <t>74</t>
        </is>
      </c>
      <c r="C2387" t="inlineStr">
        <is>
          <t>74121000</t>
        </is>
      </c>
      <c r="D2387" t="inlineStr">
        <is>
          <t>TUBE OR PIPE FITINGS OF REFINED COPPER</t>
        </is>
      </c>
      <c r="E2387" s="3" t="n">
        <v>0.07000000000000001</v>
      </c>
      <c r="F2387" s="3" t="n">
        <v>0.37</v>
      </c>
      <c r="G2387" s="3">
        <f>F2387-E2387</f>
        <v/>
      </c>
      <c r="H2387" s="4">
        <f>IF(E2387=0,"",F2387/E2387-1)</f>
        <v/>
      </c>
      <c r="I2387" t="inlineStr"/>
    </row>
    <row r="2388">
      <c r="A2388" t="inlineStr">
        <is>
          <t>Base metals &amp; articles</t>
        </is>
      </c>
      <c r="B2388" t="inlineStr">
        <is>
          <t>73</t>
        </is>
      </c>
      <c r="C2388" t="inlineStr">
        <is>
          <t>73269060</t>
        </is>
      </c>
      <c r="D2388" t="inlineStr">
        <is>
          <t>MANUFACTRS OF STNLES STL(EXCL UTNSILS),NES</t>
        </is>
      </c>
      <c r="E2388" s="3" t="n">
        <v>1.53</v>
      </c>
      <c r="F2388" s="3" t="n">
        <v>0.36</v>
      </c>
      <c r="G2388" s="3">
        <f>F2388-E2388</f>
        <v/>
      </c>
      <c r="H2388" s="4">
        <f>IF(E2388=0,"",F2388/E2388-1)</f>
        <v/>
      </c>
      <c r="I2388" t="inlineStr"/>
    </row>
    <row r="2389">
      <c r="A2389" t="inlineStr">
        <is>
          <t>Base metals &amp; articles</t>
        </is>
      </c>
      <c r="B2389" t="inlineStr">
        <is>
          <t>83</t>
        </is>
      </c>
      <c r="C2389" t="inlineStr">
        <is>
          <t>83021090</t>
        </is>
      </c>
      <c r="D2389" t="inlineStr">
        <is>
          <t>HINGES 0F 0THER BASE METAL INCL ALUMINIUM</t>
        </is>
      </c>
      <c r="E2389" s="3" t="n">
        <v>0.34</v>
      </c>
      <c r="F2389" s="3" t="n">
        <v>0.36</v>
      </c>
      <c r="G2389" s="3">
        <f>F2389-E2389</f>
        <v/>
      </c>
      <c r="H2389" s="4">
        <f>IF(E2389=0,"",F2389/E2389-1)</f>
        <v/>
      </c>
      <c r="I2389" t="inlineStr"/>
    </row>
    <row r="2390">
      <c r="A2390" t="inlineStr">
        <is>
          <t>Base metals &amp; articles</t>
        </is>
      </c>
      <c r="B2390" t="inlineStr">
        <is>
          <t>83</t>
        </is>
      </c>
      <c r="C2390" t="inlineStr">
        <is>
          <t>83099030</t>
        </is>
      </c>
      <c r="D2390" t="inlineStr">
        <is>
          <t>OTHER SEALS</t>
        </is>
      </c>
      <c r="E2390" s="3" t="n">
        <v>0.46</v>
      </c>
      <c r="F2390" s="3" t="n">
        <v>0.36</v>
      </c>
      <c r="G2390" s="3">
        <f>F2390-E2390</f>
        <v/>
      </c>
      <c r="H2390" s="4">
        <f>IF(E2390=0,"",F2390/E2390-1)</f>
        <v/>
      </c>
      <c r="I2390" t="inlineStr"/>
    </row>
    <row r="2391">
      <c r="A2391" t="inlineStr">
        <is>
          <t>Base metals &amp; articles</t>
        </is>
      </c>
      <c r="B2391" t="inlineStr">
        <is>
          <t>72</t>
        </is>
      </c>
      <c r="C2391" t="inlineStr">
        <is>
          <t>72222012</t>
        </is>
      </c>
      <c r="D2391" t="inlineStr">
        <is>
          <t>BRIGHT BARS-NCKL CHROMIUM AUSTENITIC TYPE</t>
        </is>
      </c>
      <c r="E2391" s="3" t="n">
        <v>0.04</v>
      </c>
      <c r="F2391" s="3" t="n">
        <v>0.35</v>
      </c>
      <c r="G2391" s="3">
        <f>F2391-E2391</f>
        <v/>
      </c>
      <c r="H2391" s="4">
        <f>IF(E2391=0,"",F2391/E2391-1)</f>
        <v/>
      </c>
      <c r="I2391" t="inlineStr"/>
    </row>
    <row r="2392">
      <c r="A2392" t="inlineStr">
        <is>
          <t>Base metals &amp; articles</t>
        </is>
      </c>
      <c r="B2392" t="inlineStr">
        <is>
          <t>82</t>
        </is>
      </c>
      <c r="C2392" t="inlineStr">
        <is>
          <t>82141010</t>
        </is>
      </c>
      <c r="D2392" t="inlineStr">
        <is>
          <t>PAPER KNIVES, LETTER OPENERS, ERASING KNIVES, PENCIL SHARPENERS</t>
        </is>
      </c>
      <c r="E2392" s="3" t="n">
        <v>0.26</v>
      </c>
      <c r="F2392" s="3" t="n">
        <v>0.35</v>
      </c>
      <c r="G2392" s="3">
        <f>F2392-E2392</f>
        <v/>
      </c>
      <c r="H2392" s="4">
        <f>IF(E2392=0,"",F2392/E2392-1)</f>
        <v/>
      </c>
      <c r="I2392" t="inlineStr"/>
    </row>
    <row r="2393">
      <c r="A2393" t="inlineStr">
        <is>
          <t>Base metals &amp; articles</t>
        </is>
      </c>
      <c r="B2393" t="inlineStr">
        <is>
          <t>73</t>
        </is>
      </c>
      <c r="C2393" t="inlineStr">
        <is>
          <t>73181110</t>
        </is>
      </c>
      <c r="D2393" t="inlineStr">
        <is>
          <t>SCREW MACHINE,THREADED</t>
        </is>
      </c>
      <c r="E2393" s="3" t="n">
        <v>0.13</v>
      </c>
      <c r="F2393" s="3" t="n">
        <v>0.34</v>
      </c>
      <c r="G2393" s="3">
        <f>F2393-E2393</f>
        <v/>
      </c>
      <c r="H2393" s="4">
        <f>IF(E2393=0,"",F2393/E2393-1)</f>
        <v/>
      </c>
      <c r="I2393" t="inlineStr"/>
    </row>
    <row r="2394">
      <c r="A2394" t="inlineStr">
        <is>
          <t>Base metals &amp; articles</t>
        </is>
      </c>
      <c r="B2394" t="inlineStr">
        <is>
          <t>74</t>
        </is>
      </c>
      <c r="C2394" t="inlineStr">
        <is>
          <t>74071090</t>
        </is>
      </c>
      <c r="D2394" t="inlineStr">
        <is>
          <t>OTHER REFIEND COPPER BARS AND RODS</t>
        </is>
      </c>
      <c r="E2394" s="3" t="n">
        <v>0.3</v>
      </c>
      <c r="F2394" s="3" t="n">
        <v>0.34</v>
      </c>
      <c r="G2394" s="3">
        <f>F2394-E2394</f>
        <v/>
      </c>
      <c r="H2394" s="4">
        <f>IF(E2394=0,"",F2394/E2394-1)</f>
        <v/>
      </c>
      <c r="I2394" t="inlineStr"/>
    </row>
    <row r="2395">
      <c r="A2395" t="inlineStr">
        <is>
          <t>Base metals &amp; articles</t>
        </is>
      </c>
      <c r="B2395" t="inlineStr">
        <is>
          <t>82</t>
        </is>
      </c>
      <c r="C2395" t="inlineStr">
        <is>
          <t>82071300</t>
        </is>
      </c>
      <c r="D2395" t="inlineStr">
        <is>
          <t>ROCK DRILNG OR EARTH BORNG TOLS WTH WORKNGPART OF CERMETS</t>
        </is>
      </c>
      <c r="E2395" s="3" t="n">
        <v>0.26</v>
      </c>
      <c r="F2395" s="3" t="n">
        <v>0.34</v>
      </c>
      <c r="G2395" s="3">
        <f>F2395-E2395</f>
        <v/>
      </c>
      <c r="H2395" s="4">
        <f>IF(E2395=0,"",F2395/E2395-1)</f>
        <v/>
      </c>
      <c r="I2395" t="inlineStr"/>
    </row>
    <row r="2396">
      <c r="A2396" t="inlineStr">
        <is>
          <t>Base metals &amp; articles</t>
        </is>
      </c>
      <c r="B2396" t="inlineStr">
        <is>
          <t>73</t>
        </is>
      </c>
      <c r="C2396" t="inlineStr">
        <is>
          <t>73144190</t>
        </is>
      </c>
      <c r="D2396" t="inlineStr">
        <is>
          <t>OTHERS-OF-OTHR GRIL,NETNG AND FENCNG;ZINC PLATD/COATD</t>
        </is>
      </c>
      <c r="E2396" s="3" t="n">
        <v>0.45</v>
      </c>
      <c r="F2396" s="3" t="n">
        <v>0.33</v>
      </c>
      <c r="G2396" s="3">
        <f>F2396-E2396</f>
        <v/>
      </c>
      <c r="H2396" s="4">
        <f>IF(E2396=0,"",F2396/E2396-1)</f>
        <v/>
      </c>
      <c r="I2396" t="inlineStr"/>
    </row>
    <row r="2397">
      <c r="A2397" t="inlineStr">
        <is>
          <t>Base metals &amp; articles</t>
        </is>
      </c>
      <c r="B2397" t="inlineStr">
        <is>
          <t>82</t>
        </is>
      </c>
      <c r="C2397" t="inlineStr">
        <is>
          <t>82074090</t>
        </is>
      </c>
      <c r="D2397" t="inlineStr">
        <is>
          <t>OTHR TOOLS FOR TAPPING AND THREADING</t>
        </is>
      </c>
      <c r="E2397" s="3" t="n">
        <v>0.41</v>
      </c>
      <c r="F2397" s="3" t="n">
        <v>0.33</v>
      </c>
      <c r="G2397" s="3">
        <f>F2397-E2397</f>
        <v/>
      </c>
      <c r="H2397" s="4">
        <f>IF(E2397=0,"",F2397/E2397-1)</f>
        <v/>
      </c>
      <c r="I2397" t="inlineStr"/>
    </row>
    <row r="2398">
      <c r="A2398" t="inlineStr">
        <is>
          <t>Base metals &amp; articles</t>
        </is>
      </c>
      <c r="B2398" t="inlineStr">
        <is>
          <t>72</t>
        </is>
      </c>
      <c r="C2398" t="inlineStr">
        <is>
          <t>72169910</t>
        </is>
      </c>
      <c r="D2398" t="inlineStr">
        <is>
          <t>OTHR ANGLES PLATED/COATED WTH ZINC</t>
        </is>
      </c>
      <c r="E2398" s="3" t="n">
        <v>0.04</v>
      </c>
      <c r="F2398" s="3" t="n">
        <v>0.32</v>
      </c>
      <c r="G2398" s="3">
        <f>F2398-E2398</f>
        <v/>
      </c>
      <c r="H2398" s="4">
        <f>IF(E2398=0,"",F2398/E2398-1)</f>
        <v/>
      </c>
      <c r="I2398" t="inlineStr"/>
    </row>
    <row r="2399">
      <c r="A2399" t="inlineStr">
        <is>
          <t>Base metals &amp; articles</t>
        </is>
      </c>
      <c r="B2399" t="inlineStr">
        <is>
          <t>72</t>
        </is>
      </c>
      <c r="C2399" t="inlineStr">
        <is>
          <t>72085290</t>
        </is>
      </c>
      <c r="D2399" t="inlineStr">
        <is>
          <t>OTHR FLAT-ROLD PRDCTS,NT IN COILS OF THCKNS&gt;=4.75MM BUT &lt;=10MM NOT FURTHR WRKD THN HOT ROLD PICKLED</t>
        </is>
      </c>
      <c r="E2399" s="3" t="n">
        <v>3.34</v>
      </c>
      <c r="F2399" s="3" t="n">
        <v>0.31</v>
      </c>
      <c r="G2399" s="3">
        <f>F2399-E2399</f>
        <v/>
      </c>
      <c r="H2399" s="4">
        <f>IF(E2399=0,"",F2399/E2399-1)</f>
        <v/>
      </c>
      <c r="I2399" t="inlineStr"/>
    </row>
    <row r="2400">
      <c r="A2400" t="inlineStr">
        <is>
          <t>Base metals &amp; articles</t>
        </is>
      </c>
      <c r="B2400" t="inlineStr">
        <is>
          <t>73</t>
        </is>
      </c>
      <c r="C2400" t="inlineStr">
        <is>
          <t>73061921</t>
        </is>
      </c>
      <c r="D2400" t="inlineStr">
        <is>
          <t>*NON-GALVAN PIPE OF IRON FOR OIL OR GAS</t>
        </is>
      </c>
      <c r="E2400" s="3" t="n">
        <v>0.14</v>
      </c>
      <c r="F2400" s="3" t="n">
        <v>0.31</v>
      </c>
      <c r="G2400" s="3">
        <f>F2400-E2400</f>
        <v/>
      </c>
      <c r="H2400" s="4">
        <f>IF(E2400=0,"",F2400/E2400-1)</f>
        <v/>
      </c>
      <c r="I2400" t="inlineStr"/>
    </row>
    <row r="2401">
      <c r="A2401" t="inlineStr">
        <is>
          <t>Base metals &amp; articles</t>
        </is>
      </c>
      <c r="B2401" t="inlineStr">
        <is>
          <t>73</t>
        </is>
      </c>
      <c r="C2401" t="inlineStr">
        <is>
          <t>73069019</t>
        </is>
      </c>
      <c r="D2401" t="inlineStr">
        <is>
          <t>ERW PRECISION OTHER TUBES MADE UP OF OTHER</t>
        </is>
      </c>
      <c r="E2401" s="3" t="n">
        <v>0.05</v>
      </c>
      <c r="F2401" s="3" t="n">
        <v>0.31</v>
      </c>
      <c r="G2401" s="3">
        <f>F2401-E2401</f>
        <v/>
      </c>
      <c r="H2401" s="4">
        <f>IF(E2401=0,"",F2401/E2401-1)</f>
        <v/>
      </c>
      <c r="I2401" t="inlineStr"/>
    </row>
    <row r="2402">
      <c r="A2402" t="inlineStr">
        <is>
          <t>Base metals &amp; articles</t>
        </is>
      </c>
      <c r="B2402" t="inlineStr">
        <is>
          <t>74</t>
        </is>
      </c>
      <c r="C2402" t="inlineStr">
        <is>
          <t>74093900</t>
        </is>
      </c>
      <c r="D2402" t="inlineStr">
        <is>
          <t>PLATES,SHEETS,STRIPS OF COPPER-TIN BASE ALLOYS (BRONZE)NOT IN COILS</t>
        </is>
      </c>
      <c r="E2402" s="3" t="n">
        <v>0</v>
      </c>
      <c r="F2402" s="3" t="n">
        <v>0.31</v>
      </c>
      <c r="G2402" s="3">
        <f>F2402-E2402</f>
        <v/>
      </c>
      <c r="H2402" s="4">
        <f>IF(E2402=0,"",F2402/E2402-1)</f>
        <v/>
      </c>
      <c r="I2402" t="inlineStr"/>
    </row>
    <row r="2403">
      <c r="A2403" t="inlineStr">
        <is>
          <t>Base metals &amp; articles</t>
        </is>
      </c>
      <c r="B2403" t="inlineStr">
        <is>
          <t>76</t>
        </is>
      </c>
      <c r="C2403" t="inlineStr">
        <is>
          <t>76042100</t>
        </is>
      </c>
      <c r="D2403" t="inlineStr">
        <is>
          <t>HOLLOW PROFILES OF ALUMINIUM ALLOYS</t>
        </is>
      </c>
      <c r="E2403" s="3" t="n">
        <v>0.26</v>
      </c>
      <c r="F2403" s="3" t="n">
        <v>0.31</v>
      </c>
      <c r="G2403" s="3">
        <f>F2403-E2403</f>
        <v/>
      </c>
      <c r="H2403" s="4">
        <f>IF(E2403=0,"",F2403/E2403-1)</f>
        <v/>
      </c>
      <c r="I2403" t="inlineStr"/>
    </row>
    <row r="2404">
      <c r="A2404" t="inlineStr">
        <is>
          <t>Base metals &amp; articles</t>
        </is>
      </c>
      <c r="B2404" t="inlineStr">
        <is>
          <t>82</t>
        </is>
      </c>
      <c r="C2404" t="inlineStr">
        <is>
          <t>82023100</t>
        </is>
      </c>
      <c r="D2404" t="inlineStr">
        <is>
          <t>CIRCULR SAW BLADES WTH WORKNG PRT OF STEEL(INCL SLITTING OR SLOTTING SAW BLADES)</t>
        </is>
      </c>
      <c r="E2404" s="3" t="n">
        <v>0.44</v>
      </c>
      <c r="F2404" s="3" t="n">
        <v>0.31</v>
      </c>
      <c r="G2404" s="3">
        <f>F2404-E2404</f>
        <v/>
      </c>
      <c r="H2404" s="4">
        <f>IF(E2404=0,"",F2404/E2404-1)</f>
        <v/>
      </c>
      <c r="I2404" t="inlineStr"/>
    </row>
    <row r="2405">
      <c r="A2405" t="inlineStr">
        <is>
          <t>Base metals &amp; articles</t>
        </is>
      </c>
      <c r="B2405" t="inlineStr">
        <is>
          <t>72</t>
        </is>
      </c>
      <c r="C2405" t="inlineStr">
        <is>
          <t>72109090</t>
        </is>
      </c>
      <c r="D2405" t="inlineStr">
        <is>
          <t>OTHR FLT-RLD PRDCTS OF IRON/NON ALOY STL CLAD,PLTD OR COTD,OF WDTH&gt;=600MM N.E.S.</t>
        </is>
      </c>
      <c r="E2405" s="3" t="n">
        <v>1.24</v>
      </c>
      <c r="F2405" s="3" t="n">
        <v>0.3</v>
      </c>
      <c r="G2405" s="3">
        <f>F2405-E2405</f>
        <v/>
      </c>
      <c r="H2405" s="4">
        <f>IF(E2405=0,"",F2405/E2405-1)</f>
        <v/>
      </c>
      <c r="I2405" t="inlineStr"/>
    </row>
    <row r="2406">
      <c r="A2406" t="inlineStr">
        <is>
          <t>Base metals &amp; articles</t>
        </is>
      </c>
      <c r="B2406" t="inlineStr">
        <is>
          <t>74</t>
        </is>
      </c>
      <c r="C2406" t="inlineStr">
        <is>
          <t>74082290</t>
        </is>
      </c>
      <c r="D2406" t="inlineStr">
        <is>
          <t>OTHER WIRE OF COPPER-NCKL BASE ALOYS OR COPPER-NCKL-ZINC BASE ALOYS</t>
        </is>
      </c>
      <c r="E2406" s="3" t="n">
        <v>0.57</v>
      </c>
      <c r="F2406" s="3" t="n">
        <v>0.3</v>
      </c>
      <c r="G2406" s="3">
        <f>F2406-E2406</f>
        <v/>
      </c>
      <c r="H2406" s="4">
        <f>IF(E2406=0,"",F2406/E2406-1)</f>
        <v/>
      </c>
      <c r="I2406" t="inlineStr"/>
    </row>
    <row r="2407">
      <c r="A2407" t="inlineStr">
        <is>
          <t>Base metals &amp; articles</t>
        </is>
      </c>
      <c r="B2407" t="inlineStr">
        <is>
          <t>79</t>
        </is>
      </c>
      <c r="C2407" t="inlineStr">
        <is>
          <t>79012090</t>
        </is>
      </c>
      <c r="D2407" t="inlineStr">
        <is>
          <t>ZINC ALLOYS,N.E.S.</t>
        </is>
      </c>
      <c r="E2407" s="3" t="n">
        <v>0</v>
      </c>
      <c r="F2407" s="3" t="n">
        <v>0.3</v>
      </c>
      <c r="G2407" s="3">
        <f>F2407-E2407</f>
        <v/>
      </c>
      <c r="H2407" s="4">
        <f>IF(E2407=0,"",F2407/E2407-1)</f>
        <v/>
      </c>
      <c r="I2407" t="inlineStr"/>
    </row>
    <row r="2408">
      <c r="A2408" t="inlineStr">
        <is>
          <t>Base metals &amp; articles</t>
        </is>
      </c>
      <c r="B2408" t="inlineStr">
        <is>
          <t>83</t>
        </is>
      </c>
      <c r="C2408" t="inlineStr">
        <is>
          <t>83022000</t>
        </is>
      </c>
      <c r="D2408" t="inlineStr">
        <is>
          <t>CASTORS</t>
        </is>
      </c>
      <c r="E2408" s="3" t="n">
        <v>0.09</v>
      </c>
      <c r="F2408" s="3" t="n">
        <v>0.3</v>
      </c>
      <c r="G2408" s="3">
        <f>F2408-E2408</f>
        <v/>
      </c>
      <c r="H2408" s="4">
        <f>IF(E2408=0,"",F2408/E2408-1)</f>
        <v/>
      </c>
      <c r="I2408" t="inlineStr"/>
    </row>
    <row r="2409">
      <c r="A2409" t="inlineStr">
        <is>
          <t>Base metals &amp; articles</t>
        </is>
      </c>
      <c r="B2409" t="inlineStr">
        <is>
          <t>72</t>
        </is>
      </c>
      <c r="C2409" t="inlineStr">
        <is>
          <t>72052910</t>
        </is>
      </c>
      <c r="D2409" t="inlineStr">
        <is>
          <t>POWDER OF IRON</t>
        </is>
      </c>
      <c r="E2409" s="3" t="n">
        <v>0.42</v>
      </c>
      <c r="F2409" s="3" t="n">
        <v>0.29</v>
      </c>
      <c r="G2409" s="3">
        <f>F2409-E2409</f>
        <v/>
      </c>
      <c r="H2409" s="4">
        <f>IF(E2409=0,"",F2409/E2409-1)</f>
        <v/>
      </c>
      <c r="I2409" t="inlineStr"/>
    </row>
    <row r="2410">
      <c r="A2410" t="inlineStr">
        <is>
          <t>Base metals &amp; articles</t>
        </is>
      </c>
      <c r="B2410" t="inlineStr">
        <is>
          <t>72</t>
        </is>
      </c>
      <c r="C2410" t="inlineStr">
        <is>
          <t>72107000</t>
        </is>
      </c>
      <c r="D2410" t="inlineStr">
        <is>
          <t>PRDCTS PAINTD,VRNSHD/COATD WTH PLSTCS</t>
        </is>
      </c>
      <c r="E2410" s="3" t="n">
        <v>0</v>
      </c>
      <c r="F2410" s="3" t="n">
        <v>0.29</v>
      </c>
      <c r="G2410" s="3">
        <f>F2410-E2410</f>
        <v/>
      </c>
      <c r="H2410" s="4">
        <f>IF(E2410=0,"",F2410/E2410-1)</f>
        <v/>
      </c>
      <c r="I2410" t="inlineStr"/>
    </row>
    <row r="2411">
      <c r="A2411" t="inlineStr">
        <is>
          <t>Base metals &amp; articles</t>
        </is>
      </c>
      <c r="B2411" t="inlineStr">
        <is>
          <t>72</t>
        </is>
      </c>
      <c r="C2411" t="inlineStr">
        <is>
          <t>72179099</t>
        </is>
      </c>
      <c r="D2411" t="inlineStr">
        <is>
          <t>OTHER WIRES N.E.S.</t>
        </is>
      </c>
      <c r="E2411" s="3" t="n">
        <v>0.39</v>
      </c>
      <c r="F2411" s="3" t="n">
        <v>0.29</v>
      </c>
      <c r="G2411" s="3">
        <f>F2411-E2411</f>
        <v/>
      </c>
      <c r="H2411" s="4">
        <f>IF(E2411=0,"",F2411/E2411-1)</f>
        <v/>
      </c>
      <c r="I2411" t="inlineStr"/>
    </row>
    <row r="2412">
      <c r="A2412" t="inlineStr">
        <is>
          <t>Base metals &amp; articles</t>
        </is>
      </c>
      <c r="B2412" t="inlineStr">
        <is>
          <t>72</t>
        </is>
      </c>
      <c r="C2412" t="inlineStr">
        <is>
          <t>72192111</t>
        </is>
      </c>
      <c r="D2412" t="inlineStr">
        <is>
          <t>UNIVERSAL PLTS OF STAINLESS STL/HEAT RSTNGSTL,CHROMIUM TYPE&lt;14 BUT&gt;10 MM</t>
        </is>
      </c>
      <c r="E2412" s="3" t="n">
        <v>0</v>
      </c>
      <c r="F2412" s="3" t="n">
        <v>0.29</v>
      </c>
      <c r="G2412" s="3">
        <f>F2412-E2412</f>
        <v/>
      </c>
      <c r="H2412" s="4">
        <f>IF(E2412=0,"",F2412/E2412-1)</f>
        <v/>
      </c>
      <c r="I2412" t="inlineStr"/>
    </row>
    <row r="2413">
      <c r="A2413" t="inlineStr">
        <is>
          <t>Base metals &amp; articles</t>
        </is>
      </c>
      <c r="B2413" t="inlineStr">
        <is>
          <t>72</t>
        </is>
      </c>
      <c r="C2413" t="inlineStr">
        <is>
          <t>72259910</t>
        </is>
      </c>
      <c r="D2413" t="inlineStr">
        <is>
          <t>OTHER FLT-RLD PRDCTS OF OTHER ALLOY-STEEL PLTD/COTD WITH ALUMINIUM</t>
        </is>
      </c>
      <c r="E2413" s="3" t="n">
        <v>0</v>
      </c>
      <c r="F2413" s="3" t="n">
        <v>0.29</v>
      </c>
      <c r="G2413" s="3">
        <f>F2413-E2413</f>
        <v/>
      </c>
      <c r="H2413" s="4">
        <f>IF(E2413=0,"",F2413/E2413-1)</f>
        <v/>
      </c>
      <c r="I2413" t="inlineStr"/>
    </row>
    <row r="2414">
      <c r="A2414" t="inlineStr">
        <is>
          <t>Base metals &amp; articles</t>
        </is>
      </c>
      <c r="B2414" t="inlineStr">
        <is>
          <t>73</t>
        </is>
      </c>
      <c r="C2414" t="inlineStr">
        <is>
          <t>73043919</t>
        </is>
      </c>
      <c r="D2414" t="inlineStr">
        <is>
          <t>OTHER MADE UPTO 114.3 MM OUTER DIAMETER</t>
        </is>
      </c>
      <c r="E2414" s="3" t="n">
        <v>0.82</v>
      </c>
      <c r="F2414" s="3" t="n">
        <v>0.29</v>
      </c>
      <c r="G2414" s="3">
        <f>F2414-E2414</f>
        <v/>
      </c>
      <c r="H2414" s="4">
        <f>IF(E2414=0,"",F2414/E2414-1)</f>
        <v/>
      </c>
      <c r="I2414" t="inlineStr"/>
    </row>
    <row r="2415">
      <c r="A2415" t="inlineStr">
        <is>
          <t>Base metals &amp; articles</t>
        </is>
      </c>
      <c r="B2415" t="inlineStr">
        <is>
          <t>73</t>
        </is>
      </c>
      <c r="C2415" t="inlineStr">
        <is>
          <t>73063010</t>
        </is>
      </c>
      <c r="D2415" t="inlineStr">
        <is>
          <t>OTHER,WELDED,OF CIRCULAR CROSS-SECTION, MADE UP OF OF IRON TUBE/PIPES</t>
        </is>
      </c>
      <c r="E2415" s="3" t="n">
        <v>1.02</v>
      </c>
      <c r="F2415" s="3" t="n">
        <v>0.29</v>
      </c>
      <c r="G2415" s="3">
        <f>F2415-E2415</f>
        <v/>
      </c>
      <c r="H2415" s="4">
        <f>IF(E2415=0,"",F2415/E2415-1)</f>
        <v/>
      </c>
      <c r="I2415" t="inlineStr"/>
    </row>
    <row r="2416">
      <c r="A2416" t="inlineStr">
        <is>
          <t>Base metals &amp; articles</t>
        </is>
      </c>
      <c r="B2416" t="inlineStr">
        <is>
          <t>73</t>
        </is>
      </c>
      <c r="C2416" t="inlineStr">
        <is>
          <t>73089020</t>
        </is>
      </c>
      <c r="D2416" t="inlineStr">
        <is>
          <t>DROP RODS</t>
        </is>
      </c>
      <c r="E2416" s="3" t="n">
        <v>0.45</v>
      </c>
      <c r="F2416" s="3" t="n">
        <v>0.29</v>
      </c>
      <c r="G2416" s="3">
        <f>F2416-E2416</f>
        <v/>
      </c>
      <c r="H2416" s="4">
        <f>IF(E2416=0,"",F2416/E2416-1)</f>
        <v/>
      </c>
      <c r="I2416" t="inlineStr"/>
    </row>
    <row r="2417">
      <c r="A2417" t="inlineStr">
        <is>
          <t>Base metals &amp; articles</t>
        </is>
      </c>
      <c r="B2417" t="inlineStr">
        <is>
          <t>73</t>
        </is>
      </c>
      <c r="C2417" t="inlineStr">
        <is>
          <t>73151290</t>
        </is>
      </c>
      <c r="D2417" t="inlineStr">
        <is>
          <t>OTHERS OF OTHER ARTICULATED LINK CHAIN</t>
        </is>
      </c>
      <c r="E2417" s="3" t="n">
        <v>1.16</v>
      </c>
      <c r="F2417" s="3" t="n">
        <v>0.29</v>
      </c>
      <c r="G2417" s="3">
        <f>F2417-E2417</f>
        <v/>
      </c>
      <c r="H2417" s="4">
        <f>IF(E2417=0,"",F2417/E2417-1)</f>
        <v/>
      </c>
      <c r="I2417" t="inlineStr"/>
    </row>
    <row r="2418">
      <c r="A2418" t="inlineStr">
        <is>
          <t>Base metals &amp; articles</t>
        </is>
      </c>
      <c r="B2418" t="inlineStr">
        <is>
          <t>73</t>
        </is>
      </c>
      <c r="C2418" t="inlineStr">
        <is>
          <t>73229090</t>
        </is>
      </c>
      <c r="D2418" t="inlineStr">
        <is>
          <t>PARTS OF AIR HEATERS AND AIR DISTRIBUTORS</t>
        </is>
      </c>
      <c r="E2418" s="3" t="n">
        <v>0</v>
      </c>
      <c r="F2418" s="3" t="n">
        <v>0.29</v>
      </c>
      <c r="G2418" s="3">
        <f>F2418-E2418</f>
        <v/>
      </c>
      <c r="H2418" s="4">
        <f>IF(E2418=0,"",F2418/E2418-1)</f>
        <v/>
      </c>
      <c r="I2418" t="inlineStr"/>
    </row>
    <row r="2419">
      <c r="A2419" t="inlineStr">
        <is>
          <t>Base metals &amp; articles</t>
        </is>
      </c>
      <c r="B2419" t="inlineStr">
        <is>
          <t>78</t>
        </is>
      </c>
      <c r="C2419" t="inlineStr">
        <is>
          <t>78041110</t>
        </is>
      </c>
      <c r="D2419" t="inlineStr">
        <is>
          <t>SHEETS AND STRIP OF LEAD</t>
        </is>
      </c>
      <c r="E2419" s="3" t="n">
        <v>0.15</v>
      </c>
      <c r="F2419" s="3" t="n">
        <v>0.29</v>
      </c>
      <c r="G2419" s="3">
        <f>F2419-E2419</f>
        <v/>
      </c>
      <c r="H2419" s="4">
        <f>IF(E2419=0,"",F2419/E2419-1)</f>
        <v/>
      </c>
      <c r="I2419" t="inlineStr"/>
    </row>
    <row r="2420">
      <c r="A2420" t="inlineStr">
        <is>
          <t>Base metals &amp; articles</t>
        </is>
      </c>
      <c r="B2420" t="inlineStr">
        <is>
          <t>82</t>
        </is>
      </c>
      <c r="C2420" t="inlineStr">
        <is>
          <t>82024000</t>
        </is>
      </c>
      <c r="D2420" t="inlineStr">
        <is>
          <t>CHAIN SAW BLADES</t>
        </is>
      </c>
      <c r="E2420" s="3" t="n">
        <v>0.78</v>
      </c>
      <c r="F2420" s="3" t="n">
        <v>0.29</v>
      </c>
      <c r="G2420" s="3">
        <f>F2420-E2420</f>
        <v/>
      </c>
      <c r="H2420" s="4">
        <f>IF(E2420=0,"",F2420/E2420-1)</f>
        <v/>
      </c>
      <c r="I2420" t="inlineStr"/>
    </row>
    <row r="2421">
      <c r="A2421" t="inlineStr">
        <is>
          <t>Base metals &amp; articles</t>
        </is>
      </c>
      <c r="B2421" t="inlineStr">
        <is>
          <t>82</t>
        </is>
      </c>
      <c r="C2421" t="inlineStr">
        <is>
          <t>82089090</t>
        </is>
      </c>
      <c r="D2421" t="inlineStr">
        <is>
          <t>OTHR KNIVS AND CUTNG BLADES N.E.S.</t>
        </is>
      </c>
      <c r="E2421" s="3" t="n">
        <v>0.18</v>
      </c>
      <c r="F2421" s="3" t="n">
        <v>0.29</v>
      </c>
      <c r="G2421" s="3">
        <f>F2421-E2421</f>
        <v/>
      </c>
      <c r="H2421" s="4">
        <f>IF(E2421=0,"",F2421/E2421-1)</f>
        <v/>
      </c>
      <c r="I2421" t="inlineStr"/>
    </row>
    <row r="2422">
      <c r="A2422" t="inlineStr">
        <is>
          <t>Base metals &amp; articles</t>
        </is>
      </c>
      <c r="B2422" t="inlineStr">
        <is>
          <t>72</t>
        </is>
      </c>
      <c r="C2422" t="inlineStr">
        <is>
          <t>72224020</t>
        </is>
      </c>
      <c r="D2422" t="inlineStr">
        <is>
          <t>ANGLES ETC.OF LESS THAN 80 MM</t>
        </is>
      </c>
      <c r="E2422" s="3" t="n">
        <v>0.99</v>
      </c>
      <c r="F2422" s="3" t="n">
        <v>0.28</v>
      </c>
      <c r="G2422" s="3">
        <f>F2422-E2422</f>
        <v/>
      </c>
      <c r="H2422" s="4">
        <f>IF(E2422=0,"",F2422/E2422-1)</f>
        <v/>
      </c>
      <c r="I2422" t="inlineStr"/>
    </row>
    <row r="2423">
      <c r="A2423" t="inlineStr">
        <is>
          <t>Base metals &amp; articles</t>
        </is>
      </c>
      <c r="B2423" t="inlineStr">
        <is>
          <t>73</t>
        </is>
      </c>
      <c r="C2423" t="inlineStr">
        <is>
          <t>73029010</t>
        </is>
      </c>
      <c r="D2423" t="inlineStr">
        <is>
          <t>RAIL FIXING AND FASTENING DEVISES</t>
        </is>
      </c>
      <c r="E2423" s="3" t="n">
        <v>0</v>
      </c>
      <c r="F2423" s="3" t="n">
        <v>0.28</v>
      </c>
      <c r="G2423" s="3">
        <f>F2423-E2423</f>
        <v/>
      </c>
      <c r="H2423" s="4">
        <f>IF(E2423=0,"",F2423/E2423-1)</f>
        <v/>
      </c>
      <c r="I2423" t="inlineStr"/>
    </row>
    <row r="2424">
      <c r="A2424" t="inlineStr">
        <is>
          <t>Base metals &amp; articles</t>
        </is>
      </c>
      <c r="B2424" t="inlineStr">
        <is>
          <t>73</t>
        </is>
      </c>
      <c r="C2424" t="inlineStr">
        <is>
          <t>73030090</t>
        </is>
      </c>
      <c r="D2424" t="inlineStr">
        <is>
          <t>OTHERS-OF-TUBES,PIPES AND HOLLOW PROFILES OF CAST IRON</t>
        </is>
      </c>
      <c r="E2424" s="3" t="n">
        <v>1.49</v>
      </c>
      <c r="F2424" s="3" t="n">
        <v>0.28</v>
      </c>
      <c r="G2424" s="3">
        <f>F2424-E2424</f>
        <v/>
      </c>
      <c r="H2424" s="4">
        <f>IF(E2424=0,"",F2424/E2424-1)</f>
        <v/>
      </c>
      <c r="I2424" t="inlineStr"/>
    </row>
    <row r="2425">
      <c r="A2425" t="inlineStr">
        <is>
          <t>Base metals &amp; articles</t>
        </is>
      </c>
      <c r="B2425" t="inlineStr">
        <is>
          <t>74</t>
        </is>
      </c>
      <c r="C2425" t="inlineStr">
        <is>
          <t>74032900</t>
        </is>
      </c>
      <c r="D2425" t="inlineStr">
        <is>
          <t>OTHER COPPER ALLOYS(OTHER THAN MASTER ALLOYS OF HEADING NO.7405)</t>
        </is>
      </c>
      <c r="E2425" s="3" t="n">
        <v>0</v>
      </c>
      <c r="F2425" s="3" t="n">
        <v>0.27</v>
      </c>
      <c r="G2425" s="3">
        <f>F2425-E2425</f>
        <v/>
      </c>
      <c r="H2425" s="4">
        <f>IF(E2425=0,"",F2425/E2425-1)</f>
        <v/>
      </c>
      <c r="I2425" t="inlineStr"/>
    </row>
    <row r="2426">
      <c r="A2426" t="inlineStr">
        <is>
          <t>Base metals &amp; articles</t>
        </is>
      </c>
      <c r="B2426" t="inlineStr">
        <is>
          <t>74</t>
        </is>
      </c>
      <c r="C2426" t="inlineStr">
        <is>
          <t>74072120</t>
        </is>
      </c>
      <c r="D2426" t="inlineStr">
        <is>
          <t>RODS OF BRASS</t>
        </is>
      </c>
      <c r="E2426" s="3" t="n">
        <v>0.01</v>
      </c>
      <c r="F2426" s="3" t="n">
        <v>0.27</v>
      </c>
      <c r="G2426" s="3">
        <f>F2426-E2426</f>
        <v/>
      </c>
      <c r="H2426" s="4">
        <f>IF(E2426=0,"",F2426/E2426-1)</f>
        <v/>
      </c>
      <c r="I2426" t="inlineStr"/>
    </row>
    <row r="2427">
      <c r="A2427" t="inlineStr">
        <is>
          <t>Base metals &amp; articles</t>
        </is>
      </c>
      <c r="B2427" t="inlineStr">
        <is>
          <t>82</t>
        </is>
      </c>
      <c r="C2427" t="inlineStr">
        <is>
          <t>82075000</t>
        </is>
      </c>
      <c r="D2427" t="inlineStr">
        <is>
          <t>TOOLS FOR DRILLING OTR THN ROCK DRILNG</t>
        </is>
      </c>
      <c r="E2427" s="3" t="n">
        <v>0.31</v>
      </c>
      <c r="F2427" s="3" t="n">
        <v>0.27</v>
      </c>
      <c r="G2427" s="3">
        <f>F2427-E2427</f>
        <v/>
      </c>
      <c r="H2427" s="4">
        <f>IF(E2427=0,"",F2427/E2427-1)</f>
        <v/>
      </c>
      <c r="I2427" t="inlineStr"/>
    </row>
    <row r="2428">
      <c r="A2428" t="inlineStr">
        <is>
          <t>Base metals &amp; articles</t>
        </is>
      </c>
      <c r="B2428" t="inlineStr">
        <is>
          <t>72</t>
        </is>
      </c>
      <c r="C2428" t="inlineStr">
        <is>
          <t>72163200</t>
        </is>
      </c>
      <c r="D2428" t="inlineStr">
        <is>
          <t>I-SCTNS,HT-RLLD,HT-DRWN OF HEIGHT&gt;=80 MM</t>
        </is>
      </c>
      <c r="E2428" s="3" t="n">
        <v>42.81</v>
      </c>
      <c r="F2428" s="3" t="n">
        <v>0.26</v>
      </c>
      <c r="G2428" s="3">
        <f>F2428-E2428</f>
        <v/>
      </c>
      <c r="H2428" s="4">
        <f>IF(E2428=0,"",F2428/E2428-1)</f>
        <v/>
      </c>
      <c r="I2428" t="inlineStr"/>
    </row>
    <row r="2429">
      <c r="A2429" t="inlineStr">
        <is>
          <t>Base metals &amp; articles</t>
        </is>
      </c>
      <c r="B2429" t="inlineStr">
        <is>
          <t>73</t>
        </is>
      </c>
      <c r="C2429" t="inlineStr">
        <is>
          <t>73042390</t>
        </is>
      </c>
      <c r="D2429" t="inlineStr">
        <is>
          <t>OTHERS-OF-OTHER DRILL PIPE:</t>
        </is>
      </c>
      <c r="E2429" s="3" t="n">
        <v>0.26</v>
      </c>
      <c r="F2429" s="3" t="n">
        <v>0.26</v>
      </c>
      <c r="G2429" s="3">
        <f>F2429-E2429</f>
        <v/>
      </c>
      <c r="H2429" s="4">
        <f>IF(E2429=0,"",F2429/E2429-1)</f>
        <v/>
      </c>
      <c r="I2429" t="inlineStr"/>
    </row>
    <row r="2430">
      <c r="A2430" t="inlineStr">
        <is>
          <t>Base metals &amp; articles</t>
        </is>
      </c>
      <c r="B2430" t="inlineStr">
        <is>
          <t>72</t>
        </is>
      </c>
      <c r="C2430" t="inlineStr">
        <is>
          <t>72199090</t>
        </is>
      </c>
      <c r="D2430" t="inlineStr">
        <is>
          <t>OTHR SHEETS AND PLATES N.E.S.</t>
        </is>
      </c>
      <c r="E2430" s="3" t="n">
        <v>0.13</v>
      </c>
      <c r="F2430" s="3" t="n">
        <v>0.25</v>
      </c>
      <c r="G2430" s="3">
        <f>F2430-E2430</f>
        <v/>
      </c>
      <c r="H2430" s="4">
        <f>IF(E2430=0,"",F2430/E2430-1)</f>
        <v/>
      </c>
      <c r="I2430" t="inlineStr"/>
    </row>
    <row r="2431">
      <c r="A2431" t="inlineStr">
        <is>
          <t>Base metals &amp; articles</t>
        </is>
      </c>
      <c r="B2431" t="inlineStr">
        <is>
          <t>72</t>
        </is>
      </c>
      <c r="C2431" t="inlineStr">
        <is>
          <t>72221999</t>
        </is>
      </c>
      <c r="D2431" t="inlineStr">
        <is>
          <t>OTHR BARS AND RODS NT FRTHRWRKD THN HT RLD HT-DRWN/EXTRUDED OTHR THN CIRCLR CRS SCTN N.E.S.</t>
        </is>
      </c>
      <c r="E2431" s="3" t="n">
        <v>0.02</v>
      </c>
      <c r="F2431" s="3" t="n">
        <v>0.25</v>
      </c>
      <c r="G2431" s="3">
        <f>F2431-E2431</f>
        <v/>
      </c>
      <c r="H2431" s="4">
        <f>IF(E2431=0,"",F2431/E2431-1)</f>
        <v/>
      </c>
      <c r="I2431" t="inlineStr"/>
    </row>
    <row r="2432">
      <c r="A2432" t="inlineStr">
        <is>
          <t>Base metals &amp; articles</t>
        </is>
      </c>
      <c r="B2432" t="inlineStr">
        <is>
          <t>73</t>
        </is>
      </c>
      <c r="C2432" t="inlineStr">
        <is>
          <t>73182300</t>
        </is>
      </c>
      <c r="D2432" t="inlineStr">
        <is>
          <t>RIVETS,NON-THREADED</t>
        </is>
      </c>
      <c r="E2432" s="3" t="n">
        <v>1.63</v>
      </c>
      <c r="F2432" s="3" t="n">
        <v>0.25</v>
      </c>
      <c r="G2432" s="3">
        <f>F2432-E2432</f>
        <v/>
      </c>
      <c r="H2432" s="4">
        <f>IF(E2432=0,"",F2432/E2432-1)</f>
        <v/>
      </c>
      <c r="I2432" t="inlineStr"/>
    </row>
    <row r="2433">
      <c r="A2433" t="inlineStr">
        <is>
          <t>Base metals &amp; articles</t>
        </is>
      </c>
      <c r="B2433" t="inlineStr">
        <is>
          <t>82</t>
        </is>
      </c>
      <c r="C2433" t="inlineStr">
        <is>
          <t>82052000</t>
        </is>
      </c>
      <c r="D2433" t="inlineStr">
        <is>
          <t>HAMMERS AND SLEDGE HAMMERS</t>
        </is>
      </c>
      <c r="E2433" s="3" t="n">
        <v>0.13</v>
      </c>
      <c r="F2433" s="3" t="n">
        <v>0.25</v>
      </c>
      <c r="G2433" s="3">
        <f>F2433-E2433</f>
        <v/>
      </c>
      <c r="H2433" s="4">
        <f>IF(E2433=0,"",F2433/E2433-1)</f>
        <v/>
      </c>
      <c r="I2433" t="inlineStr"/>
    </row>
    <row r="2434">
      <c r="A2434" t="inlineStr">
        <is>
          <t>Base metals &amp; articles</t>
        </is>
      </c>
      <c r="B2434" t="inlineStr">
        <is>
          <t>83</t>
        </is>
      </c>
      <c r="C2434" t="inlineStr">
        <is>
          <t>83024900</t>
        </is>
      </c>
      <c r="D2434" t="inlineStr">
        <is>
          <t>OTHER MOUNTING FITTINGS ETC NES</t>
        </is>
      </c>
      <c r="E2434" s="3" t="n">
        <v>0.38</v>
      </c>
      <c r="F2434" s="3" t="n">
        <v>0.25</v>
      </c>
      <c r="G2434" s="3">
        <f>F2434-E2434</f>
        <v/>
      </c>
      <c r="H2434" s="4">
        <f>IF(E2434=0,"",F2434/E2434-1)</f>
        <v/>
      </c>
      <c r="I2434" t="inlineStr"/>
    </row>
    <row r="2435">
      <c r="A2435" t="inlineStr">
        <is>
          <t>Base metals &amp; articles</t>
        </is>
      </c>
      <c r="B2435" t="inlineStr">
        <is>
          <t>72</t>
        </is>
      </c>
      <c r="C2435" t="inlineStr">
        <is>
          <t>72166900</t>
        </is>
      </c>
      <c r="D2435" t="inlineStr">
        <is>
          <t>ANGLE SHAPES ETC NT FRTHR WRKD THN COLD FRMD/COLD FINSHD OBTND FRM OTHR PRDCTS OTHR THN FLT-ROLD</t>
        </is>
      </c>
      <c r="E2435" s="3" t="n">
        <v>0.22</v>
      </c>
      <c r="F2435" s="3" t="n">
        <v>0.24</v>
      </c>
      <c r="G2435" s="3">
        <f>F2435-E2435</f>
        <v/>
      </c>
      <c r="H2435" s="4">
        <f>IF(E2435=0,"",F2435/E2435-1)</f>
        <v/>
      </c>
      <c r="I2435" t="inlineStr"/>
    </row>
    <row r="2436">
      <c r="A2436" t="inlineStr">
        <is>
          <t>Base metals &amp; articles</t>
        </is>
      </c>
      <c r="B2436" t="inlineStr">
        <is>
          <t>73</t>
        </is>
      </c>
      <c r="C2436" t="inlineStr">
        <is>
          <t>73090030</t>
        </is>
      </c>
      <c r="D2436" t="inlineStr">
        <is>
          <t>PRESSED STEEL TANKS</t>
        </is>
      </c>
      <c r="E2436" s="3" t="n">
        <v>0.8</v>
      </c>
      <c r="F2436" s="3" t="n">
        <v>0.24</v>
      </c>
      <c r="G2436" s="3">
        <f>F2436-E2436</f>
        <v/>
      </c>
      <c r="H2436" s="4">
        <f>IF(E2436=0,"",F2436/E2436-1)</f>
        <v/>
      </c>
      <c r="I2436" t="inlineStr"/>
    </row>
    <row r="2437">
      <c r="A2437" t="inlineStr">
        <is>
          <t>Base metals &amp; articles</t>
        </is>
      </c>
      <c r="B2437" t="inlineStr">
        <is>
          <t>73</t>
        </is>
      </c>
      <c r="C2437" t="inlineStr">
        <is>
          <t>73201011</t>
        </is>
      </c>
      <c r="D2437" t="inlineStr">
        <is>
          <t>LEAF SPRING FOR MOTOR VEHICLES</t>
        </is>
      </c>
      <c r="E2437" s="3" t="n">
        <v>0.17</v>
      </c>
      <c r="F2437" s="3" t="n">
        <v>0.24</v>
      </c>
      <c r="G2437" s="3">
        <f>F2437-E2437</f>
        <v/>
      </c>
      <c r="H2437" s="4">
        <f>IF(E2437=0,"",F2437/E2437-1)</f>
        <v/>
      </c>
      <c r="I2437" t="inlineStr"/>
    </row>
    <row r="2438">
      <c r="A2438" t="inlineStr">
        <is>
          <t>Base metals &amp; articles</t>
        </is>
      </c>
      <c r="B2438" t="inlineStr">
        <is>
          <t>73</t>
        </is>
      </c>
      <c r="C2438" t="inlineStr">
        <is>
          <t>73242900</t>
        </is>
      </c>
      <c r="D2438" t="inlineStr">
        <is>
          <t>OTHER BATHS OF IRON OR STEEL</t>
        </is>
      </c>
      <c r="E2438" s="3" t="n">
        <v>0.07000000000000001</v>
      </c>
      <c r="F2438" s="3" t="n">
        <v>0.24</v>
      </c>
      <c r="G2438" s="3">
        <f>F2438-E2438</f>
        <v/>
      </c>
      <c r="H2438" s="4">
        <f>IF(E2438=0,"",F2438/E2438-1)</f>
        <v/>
      </c>
      <c r="I2438" t="inlineStr"/>
    </row>
    <row r="2439">
      <c r="A2439" t="inlineStr">
        <is>
          <t>Base metals &amp; articles</t>
        </is>
      </c>
      <c r="B2439" t="inlineStr">
        <is>
          <t>73</t>
        </is>
      </c>
      <c r="C2439" t="inlineStr">
        <is>
          <t>73209090</t>
        </is>
      </c>
      <c r="D2439" t="inlineStr">
        <is>
          <t>OTHERS OF OTHER SPRINGS OF IRON/STEEL</t>
        </is>
      </c>
      <c r="E2439" s="3" t="n">
        <v>0.53</v>
      </c>
      <c r="F2439" s="3" t="n">
        <v>0.23</v>
      </c>
      <c r="G2439" s="3">
        <f>F2439-E2439</f>
        <v/>
      </c>
      <c r="H2439" s="4">
        <f>IF(E2439=0,"",F2439/E2439-1)</f>
        <v/>
      </c>
      <c r="I2439" t="inlineStr"/>
    </row>
    <row r="2440">
      <c r="A2440" t="inlineStr">
        <is>
          <t>Base metals &amp; articles</t>
        </is>
      </c>
      <c r="B2440" t="inlineStr">
        <is>
          <t>82</t>
        </is>
      </c>
      <c r="C2440" t="inlineStr">
        <is>
          <t>82090010</t>
        </is>
      </c>
      <c r="D2440" t="inlineStr">
        <is>
          <t>TUNGSTEN CARBIDE TIPS</t>
        </is>
      </c>
      <c r="E2440" s="3" t="n">
        <v>0.13</v>
      </c>
      <c r="F2440" s="3" t="n">
        <v>0.23</v>
      </c>
      <c r="G2440" s="3">
        <f>F2440-E2440</f>
        <v/>
      </c>
      <c r="H2440" s="4">
        <f>IF(E2440=0,"",F2440/E2440-1)</f>
        <v/>
      </c>
      <c r="I2440" t="inlineStr"/>
    </row>
    <row r="2441">
      <c r="A2441" t="inlineStr">
        <is>
          <t>Base metals &amp; articles</t>
        </is>
      </c>
      <c r="B2441" t="inlineStr">
        <is>
          <t>83</t>
        </is>
      </c>
      <c r="C2441" t="inlineStr">
        <is>
          <t>83011000</t>
        </is>
      </c>
      <c r="D2441" t="inlineStr">
        <is>
          <t>PADLOCKS</t>
        </is>
      </c>
      <c r="E2441" s="3" t="n">
        <v>0.17</v>
      </c>
      <c r="F2441" s="3" t="n">
        <v>0.23</v>
      </c>
      <c r="G2441" s="3">
        <f>F2441-E2441</f>
        <v/>
      </c>
      <c r="H2441" s="4">
        <f>IF(E2441=0,"",F2441/E2441-1)</f>
        <v/>
      </c>
      <c r="I2441" t="inlineStr"/>
    </row>
    <row r="2442">
      <c r="A2442" t="inlineStr">
        <is>
          <t>Base metals &amp; articles</t>
        </is>
      </c>
      <c r="B2442" t="inlineStr">
        <is>
          <t>72</t>
        </is>
      </c>
      <c r="C2442" t="inlineStr">
        <is>
          <t>72051021</t>
        </is>
      </c>
      <c r="D2442" t="inlineStr">
        <is>
          <t>SHOT AND ANGULAR GRIT OF ALLOY STEEL</t>
        </is>
      </c>
      <c r="E2442" s="3" t="n">
        <v>0.9</v>
      </c>
      <c r="F2442" s="3" t="n">
        <v>0.22</v>
      </c>
      <c r="G2442" s="3">
        <f>F2442-E2442</f>
        <v/>
      </c>
      <c r="H2442" s="4">
        <f>IF(E2442=0,"",F2442/E2442-1)</f>
        <v/>
      </c>
      <c r="I2442" t="inlineStr"/>
    </row>
    <row r="2443">
      <c r="A2443" t="inlineStr">
        <is>
          <t>Base metals &amp; articles</t>
        </is>
      </c>
      <c r="B2443" t="inlineStr">
        <is>
          <t>73</t>
        </is>
      </c>
      <c r="C2443" t="inlineStr">
        <is>
          <t>73045910</t>
        </is>
      </c>
      <c r="D2443" t="inlineStr">
        <is>
          <t>TUBS/PIPS ETC OF CRCLR CRSS-SECTN WITH OUTER DIAMETER UPTO 114.3 MM,NT CLD RLD</t>
        </is>
      </c>
      <c r="E2443" s="3" t="n">
        <v>0.06</v>
      </c>
      <c r="F2443" s="3" t="n">
        <v>0.22</v>
      </c>
      <c r="G2443" s="3">
        <f>F2443-E2443</f>
        <v/>
      </c>
      <c r="H2443" s="4">
        <f>IF(E2443=0,"",F2443/E2443-1)</f>
        <v/>
      </c>
      <c r="I2443" t="inlineStr"/>
    </row>
    <row r="2444">
      <c r="A2444" t="inlineStr">
        <is>
          <t>Base metals &amp; articles</t>
        </is>
      </c>
      <c r="B2444" t="inlineStr">
        <is>
          <t>78</t>
        </is>
      </c>
      <c r="C2444" t="inlineStr">
        <is>
          <t>78041910</t>
        </is>
      </c>
      <c r="D2444" t="inlineStr">
        <is>
          <t>LEAD PLATES,</t>
        </is>
      </c>
      <c r="E2444" s="3" t="n">
        <v>0.12</v>
      </c>
      <c r="F2444" s="3" t="n">
        <v>0.22</v>
      </c>
      <c r="G2444" s="3">
        <f>F2444-E2444</f>
        <v/>
      </c>
      <c r="H2444" s="4">
        <f>IF(E2444=0,"",F2444/E2444-1)</f>
        <v/>
      </c>
      <c r="I2444" t="inlineStr"/>
    </row>
    <row r="2445">
      <c r="A2445" t="inlineStr">
        <is>
          <t>Base metals &amp; articles</t>
        </is>
      </c>
      <c r="B2445" t="inlineStr">
        <is>
          <t>82</t>
        </is>
      </c>
      <c r="C2445" t="inlineStr">
        <is>
          <t>82057000</t>
        </is>
      </c>
      <c r="D2445" t="inlineStr">
        <is>
          <t>VICES,CLAMPS AND THE LIKE</t>
        </is>
      </c>
      <c r="E2445" s="3" t="n">
        <v>0.01</v>
      </c>
      <c r="F2445" s="3" t="n">
        <v>0.22</v>
      </c>
      <c r="G2445" s="3">
        <f>F2445-E2445</f>
        <v/>
      </c>
      <c r="H2445" s="4">
        <f>IF(E2445=0,"",F2445/E2445-1)</f>
        <v/>
      </c>
      <c r="I2445" t="inlineStr"/>
    </row>
    <row r="2446">
      <c r="A2446" t="inlineStr">
        <is>
          <t>Base metals &amp; articles</t>
        </is>
      </c>
      <c r="B2446" t="inlineStr">
        <is>
          <t>83</t>
        </is>
      </c>
      <c r="C2446" t="inlineStr">
        <is>
          <t>83026000</t>
        </is>
      </c>
      <c r="D2446" t="inlineStr">
        <is>
          <t>AUTOMATIC DOOR CLOSERS</t>
        </is>
      </c>
      <c r="E2446" s="3" t="n">
        <v>0.1</v>
      </c>
      <c r="F2446" s="3" t="n">
        <v>0.22</v>
      </c>
      <c r="G2446" s="3">
        <f>F2446-E2446</f>
        <v/>
      </c>
      <c r="H2446" s="4">
        <f>IF(E2446=0,"",F2446/E2446-1)</f>
        <v/>
      </c>
      <c r="I2446" t="inlineStr"/>
    </row>
    <row r="2447">
      <c r="A2447" t="inlineStr">
        <is>
          <t>Base metals &amp; articles</t>
        </is>
      </c>
      <c r="B2447" t="inlineStr">
        <is>
          <t>72</t>
        </is>
      </c>
      <c r="C2447" t="inlineStr">
        <is>
          <t>72209090</t>
        </is>
      </c>
      <c r="D2447" t="inlineStr">
        <is>
          <t>STAINLESS STL OTHR THN SKELP OF OTHR N.E.S</t>
        </is>
      </c>
      <c r="E2447" s="3" t="n">
        <v>0.22</v>
      </c>
      <c r="F2447" s="3" t="n">
        <v>0.21</v>
      </c>
      <c r="G2447" s="3">
        <f>F2447-E2447</f>
        <v/>
      </c>
      <c r="H2447" s="4">
        <f>IF(E2447=0,"",F2447/E2447-1)</f>
        <v/>
      </c>
      <c r="I2447" t="inlineStr"/>
    </row>
    <row r="2448">
      <c r="A2448" t="inlineStr">
        <is>
          <t>Base metals &amp; articles</t>
        </is>
      </c>
      <c r="B2448" t="inlineStr">
        <is>
          <t>72</t>
        </is>
      </c>
      <c r="C2448" t="inlineStr">
        <is>
          <t>72083730</t>
        </is>
      </c>
      <c r="D2448" t="inlineStr">
        <is>
          <t>SHEETS OF FLAT-ROLD PRDCTS IN COILS OF A THCKNS&gt;=4.75 BUT&lt; 10MM HOT-RLD,EXCL.PICKL</t>
        </is>
      </c>
      <c r="E2448" s="3" t="n">
        <v>0.7</v>
      </c>
      <c r="F2448" s="3" t="n">
        <v>0.2</v>
      </c>
      <c r="G2448" s="3">
        <f>F2448-E2448</f>
        <v/>
      </c>
      <c r="H2448" s="4">
        <f>IF(E2448=0,"",F2448/E2448-1)</f>
        <v/>
      </c>
      <c r="I2448" t="inlineStr"/>
    </row>
    <row r="2449">
      <c r="A2449" t="inlineStr">
        <is>
          <t>Base metals &amp; articles</t>
        </is>
      </c>
      <c r="B2449" t="inlineStr">
        <is>
          <t>73</t>
        </is>
      </c>
      <c r="C2449" t="inlineStr">
        <is>
          <t>73181190</t>
        </is>
      </c>
      <c r="D2449" t="inlineStr">
        <is>
          <t>OTHER THREADED COACH SCREWS</t>
        </is>
      </c>
      <c r="E2449" s="3" t="n">
        <v>0.29</v>
      </c>
      <c r="F2449" s="3" t="n">
        <v>0.2</v>
      </c>
      <c r="G2449" s="3">
        <f>F2449-E2449</f>
        <v/>
      </c>
      <c r="H2449" s="4">
        <f>IF(E2449=0,"",F2449/E2449-1)</f>
        <v/>
      </c>
      <c r="I2449" t="inlineStr"/>
    </row>
    <row r="2450">
      <c r="A2450" t="inlineStr">
        <is>
          <t>Base metals &amp; articles</t>
        </is>
      </c>
      <c r="B2450" t="inlineStr">
        <is>
          <t>73</t>
        </is>
      </c>
      <c r="C2450" t="inlineStr">
        <is>
          <t>73269020</t>
        </is>
      </c>
      <c r="D2450" t="inlineStr">
        <is>
          <t>BELT FASTENERS FOR MACHINERY BELTS</t>
        </is>
      </c>
      <c r="E2450" s="3" t="n">
        <v>0.26</v>
      </c>
      <c r="F2450" s="3" t="n">
        <v>0.2</v>
      </c>
      <c r="G2450" s="3">
        <f>F2450-E2450</f>
        <v/>
      </c>
      <c r="H2450" s="4">
        <f>IF(E2450=0,"",F2450/E2450-1)</f>
        <v/>
      </c>
      <c r="I2450" t="inlineStr"/>
    </row>
    <row r="2451">
      <c r="A2451" t="inlineStr">
        <is>
          <t>Base metals &amp; articles</t>
        </is>
      </c>
      <c r="B2451" t="inlineStr">
        <is>
          <t>72</t>
        </is>
      </c>
      <c r="C2451" t="inlineStr">
        <is>
          <t>72283011</t>
        </is>
      </c>
      <c r="D2451" t="inlineStr">
        <is>
          <t>BRIGHT BARS OF ALLOY TOOL STEEL</t>
        </is>
      </c>
      <c r="E2451" s="3" t="n">
        <v>0</v>
      </c>
      <c r="F2451" s="3" t="n">
        <v>0.19</v>
      </c>
      <c r="G2451" s="3">
        <f>F2451-E2451</f>
        <v/>
      </c>
      <c r="H2451" s="4">
        <f>IF(E2451=0,"",F2451/E2451-1)</f>
        <v/>
      </c>
      <c r="I2451" t="inlineStr"/>
    </row>
    <row r="2452">
      <c r="A2452" t="inlineStr">
        <is>
          <t>Base metals &amp; articles</t>
        </is>
      </c>
      <c r="B2452" t="inlineStr">
        <is>
          <t>73</t>
        </is>
      </c>
      <c r="C2452" t="inlineStr">
        <is>
          <t>73079910</t>
        </is>
      </c>
      <c r="D2452" t="inlineStr">
        <is>
          <t>GALVANISED</t>
        </is>
      </c>
      <c r="E2452" s="3" t="n">
        <v>0.64</v>
      </c>
      <c r="F2452" s="3" t="n">
        <v>0.19</v>
      </c>
      <c r="G2452" s="3">
        <f>F2452-E2452</f>
        <v/>
      </c>
      <c r="H2452" s="4">
        <f>IF(E2452=0,"",F2452/E2452-1)</f>
        <v/>
      </c>
      <c r="I2452" t="inlineStr"/>
    </row>
    <row r="2453">
      <c r="A2453" t="inlineStr">
        <is>
          <t>Base metals &amp; articles</t>
        </is>
      </c>
      <c r="B2453" t="inlineStr">
        <is>
          <t>73</t>
        </is>
      </c>
      <c r="C2453" t="inlineStr">
        <is>
          <t>73110020</t>
        </is>
      </c>
      <c r="D2453" t="inlineStr">
        <is>
          <t>LOW PRESSURE CYLINDER(WORKING PESSURE UPTO 35.2 KG/SQCM OTHER THAN L.P.G.</t>
        </is>
      </c>
      <c r="E2453" s="3" t="n">
        <v>0.05</v>
      </c>
      <c r="F2453" s="3" t="n">
        <v>0.19</v>
      </c>
      <c r="G2453" s="3">
        <f>F2453-E2453</f>
        <v/>
      </c>
      <c r="H2453" s="4">
        <f>IF(E2453=0,"",F2453/E2453-1)</f>
        <v/>
      </c>
      <c r="I2453" t="inlineStr"/>
    </row>
    <row r="2454">
      <c r="A2454" t="inlineStr">
        <is>
          <t>Base metals &amp; articles</t>
        </is>
      </c>
      <c r="B2454" t="inlineStr">
        <is>
          <t>82</t>
        </is>
      </c>
      <c r="C2454" t="inlineStr">
        <is>
          <t>82023900</t>
        </is>
      </c>
      <c r="D2454" t="inlineStr">
        <is>
          <t>OTHR CIRCURL SAW BLADES(INCL SLITNG/SLOTNG SAW BLADE) AND PARTS</t>
        </is>
      </c>
      <c r="E2454" s="3" t="n">
        <v>0.3</v>
      </c>
      <c r="F2454" s="3" t="n">
        <v>0.19</v>
      </c>
      <c r="G2454" s="3">
        <f>F2454-E2454</f>
        <v/>
      </c>
      <c r="H2454" s="4">
        <f>IF(E2454=0,"",F2454/E2454-1)</f>
        <v/>
      </c>
      <c r="I2454" t="inlineStr"/>
    </row>
    <row r="2455">
      <c r="A2455" t="inlineStr">
        <is>
          <t>Base metals &amp; articles</t>
        </is>
      </c>
      <c r="B2455" t="inlineStr">
        <is>
          <t>82</t>
        </is>
      </c>
      <c r="C2455" t="inlineStr">
        <is>
          <t>82055910</t>
        </is>
      </c>
      <c r="D2455" t="inlineStr">
        <is>
          <t>GREASE GUNS(EXCLD COMPRSD AIR TYPE)</t>
        </is>
      </c>
      <c r="E2455" s="3" t="n">
        <v>0.24</v>
      </c>
      <c r="F2455" s="3" t="n">
        <v>0.19</v>
      </c>
      <c r="G2455" s="3">
        <f>F2455-E2455</f>
        <v/>
      </c>
      <c r="H2455" s="4">
        <f>IF(E2455=0,"",F2455/E2455-1)</f>
        <v/>
      </c>
      <c r="I2455" t="inlineStr"/>
    </row>
    <row r="2456">
      <c r="A2456" t="inlineStr">
        <is>
          <t>Base metals &amp; articles</t>
        </is>
      </c>
      <c r="B2456" t="inlineStr">
        <is>
          <t>72</t>
        </is>
      </c>
      <c r="C2456" t="inlineStr">
        <is>
          <t>72085490</t>
        </is>
      </c>
      <c r="D2456" t="inlineStr">
        <is>
          <t>OTHR FLAT-ROLD PRDCTS,NT IN COILS OF THCKNS&lt;3MM NT FRTHR WRKD THN HOT RLD PICKL</t>
        </is>
      </c>
      <c r="E2456" s="3" t="n">
        <v>0.07000000000000001</v>
      </c>
      <c r="F2456" s="3" t="n">
        <v>0.18</v>
      </c>
      <c r="G2456" s="3">
        <f>F2456-E2456</f>
        <v/>
      </c>
      <c r="H2456" s="4">
        <f>IF(E2456=0,"",F2456/E2456-1)</f>
        <v/>
      </c>
      <c r="I2456" t="inlineStr"/>
    </row>
    <row r="2457">
      <c r="A2457" t="inlineStr">
        <is>
          <t>Base metals &amp; articles</t>
        </is>
      </c>
      <c r="B2457" t="inlineStr">
        <is>
          <t>72</t>
        </is>
      </c>
      <c r="C2457" t="inlineStr">
        <is>
          <t>72165000</t>
        </is>
      </c>
      <c r="D2457" t="inlineStr">
        <is>
          <t>OTHR ANGLS,SHPS AND SCTNS,HT-RLLD,HT-DRWN</t>
        </is>
      </c>
      <c r="E2457" s="3" t="n">
        <v>27.14</v>
      </c>
      <c r="F2457" s="3" t="n">
        <v>0.18</v>
      </c>
      <c r="G2457" s="3">
        <f>F2457-E2457</f>
        <v/>
      </c>
      <c r="H2457" s="4">
        <f>IF(E2457=0,"",F2457/E2457-1)</f>
        <v/>
      </c>
      <c r="I2457" t="inlineStr"/>
    </row>
    <row r="2458">
      <c r="A2458" t="inlineStr">
        <is>
          <t>Base metals &amp; articles</t>
        </is>
      </c>
      <c r="B2458" t="inlineStr">
        <is>
          <t>72</t>
        </is>
      </c>
      <c r="C2458" t="inlineStr">
        <is>
          <t>72169930</t>
        </is>
      </c>
      <c r="D2458" t="inlineStr">
        <is>
          <t>SLOTTED ANGLES AND SLOTTED CHANNELS</t>
        </is>
      </c>
      <c r="E2458" s="3" t="n">
        <v>0.23</v>
      </c>
      <c r="F2458" s="3" t="n">
        <v>0.18</v>
      </c>
      <c r="G2458" s="3">
        <f>F2458-E2458</f>
        <v/>
      </c>
      <c r="H2458" s="4">
        <f>IF(E2458=0,"",F2458/E2458-1)</f>
        <v/>
      </c>
      <c r="I2458" t="inlineStr"/>
    </row>
    <row r="2459">
      <c r="A2459" t="inlineStr">
        <is>
          <t>Base metals &amp; articles</t>
        </is>
      </c>
      <c r="B2459" t="inlineStr">
        <is>
          <t>73</t>
        </is>
      </c>
      <c r="C2459" t="inlineStr">
        <is>
          <t>73089070</t>
        </is>
      </c>
      <c r="D2459" t="inlineStr">
        <is>
          <t>TUBULAR STEEL POLES FOR ELECTRIC TRANSMISSION AND DISTRIBUTION LINES</t>
        </is>
      </c>
      <c r="E2459" s="3" t="n">
        <v>0</v>
      </c>
      <c r="F2459" s="3" t="n">
        <v>0.18</v>
      </c>
      <c r="G2459" s="3">
        <f>F2459-E2459</f>
        <v/>
      </c>
      <c r="H2459" s="4">
        <f>IF(E2459=0,"",F2459/E2459-1)</f>
        <v/>
      </c>
      <c r="I2459" t="inlineStr"/>
    </row>
    <row r="2460">
      <c r="A2460" t="inlineStr">
        <is>
          <t>Base metals &amp; articles</t>
        </is>
      </c>
      <c r="B2460" t="inlineStr">
        <is>
          <t>82</t>
        </is>
      </c>
      <c r="C2460" t="inlineStr">
        <is>
          <t>82077090</t>
        </is>
      </c>
      <c r="D2460" t="inlineStr">
        <is>
          <t>OTHR TOOLS FOR MILLING</t>
        </is>
      </c>
      <c r="E2460" s="3" t="n">
        <v>0.5600000000000001</v>
      </c>
      <c r="F2460" s="3" t="n">
        <v>0.18</v>
      </c>
      <c r="G2460" s="3">
        <f>F2460-E2460</f>
        <v/>
      </c>
      <c r="H2460" s="4">
        <f>IF(E2460=0,"",F2460/E2460-1)</f>
        <v/>
      </c>
      <c r="I2460" t="inlineStr"/>
    </row>
    <row r="2461">
      <c r="A2461" t="inlineStr">
        <is>
          <t>Base metals &amp; articles</t>
        </is>
      </c>
      <c r="B2461" t="inlineStr">
        <is>
          <t>72</t>
        </is>
      </c>
      <c r="C2461" t="inlineStr">
        <is>
          <t>72221111</t>
        </is>
      </c>
      <c r="D2461" t="inlineStr">
        <is>
          <t>BRIGHT BARS-CHROMIUM TYPE</t>
        </is>
      </c>
      <c r="E2461" s="3" t="n">
        <v>1.16</v>
      </c>
      <c r="F2461" s="3" t="n">
        <v>0.17</v>
      </c>
      <c r="G2461" s="3">
        <f>F2461-E2461</f>
        <v/>
      </c>
      <c r="H2461" s="4">
        <f>IF(E2461=0,"",F2461/E2461-1)</f>
        <v/>
      </c>
      <c r="I2461" t="inlineStr"/>
    </row>
    <row r="2462">
      <c r="A2462" t="inlineStr">
        <is>
          <t>Base metals &amp; articles</t>
        </is>
      </c>
      <c r="B2462" t="inlineStr">
        <is>
          <t>74</t>
        </is>
      </c>
      <c r="C2462" t="inlineStr">
        <is>
          <t>74072990</t>
        </is>
      </c>
      <c r="D2462" t="inlineStr">
        <is>
          <t>OTHER BARS RODS ETC,OF OTHER COPPER ALLOYS</t>
        </is>
      </c>
      <c r="E2462" s="3" t="n">
        <v>0.58</v>
      </c>
      <c r="F2462" s="3" t="n">
        <v>0.17</v>
      </c>
      <c r="G2462" s="3">
        <f>F2462-E2462</f>
        <v/>
      </c>
      <c r="H2462" s="4">
        <f>IF(E2462=0,"",F2462/E2462-1)</f>
        <v/>
      </c>
      <c r="I2462" t="inlineStr"/>
    </row>
    <row r="2463">
      <c r="A2463" t="inlineStr">
        <is>
          <t>Base metals &amp; articles</t>
        </is>
      </c>
      <c r="B2463" t="inlineStr">
        <is>
          <t>83</t>
        </is>
      </c>
      <c r="C2463" t="inlineStr">
        <is>
          <t>83059090</t>
        </is>
      </c>
      <c r="D2463" t="inlineStr">
        <is>
          <t>OTHER FITTINGS ETC INCLUDING PARTS N.E.S.</t>
        </is>
      </c>
      <c r="E2463" s="3" t="n">
        <v>0.05</v>
      </c>
      <c r="F2463" s="3" t="n">
        <v>0.17</v>
      </c>
      <c r="G2463" s="3">
        <f>F2463-E2463</f>
        <v/>
      </c>
      <c r="H2463" s="4">
        <f>IF(E2463=0,"",F2463/E2463-1)</f>
        <v/>
      </c>
      <c r="I2463" t="inlineStr"/>
    </row>
    <row r="2464">
      <c r="A2464" t="inlineStr">
        <is>
          <t>Base metals &amp; articles</t>
        </is>
      </c>
      <c r="B2464" t="inlineStr">
        <is>
          <t>73</t>
        </is>
      </c>
      <c r="C2464" t="inlineStr">
        <is>
          <t>73012010</t>
        </is>
      </c>
      <c r="D2464" t="inlineStr">
        <is>
          <t>STEEL SLOTTED ANGLES</t>
        </is>
      </c>
      <c r="E2464" s="3" t="n">
        <v>0</v>
      </c>
      <c r="F2464" s="3" t="n">
        <v>0.16</v>
      </c>
      <c r="G2464" s="3">
        <f>F2464-E2464</f>
        <v/>
      </c>
      <c r="H2464" s="4">
        <f>IF(E2464=0,"",F2464/E2464-1)</f>
        <v/>
      </c>
      <c r="I2464" t="inlineStr"/>
    </row>
    <row r="2465">
      <c r="A2465" t="inlineStr">
        <is>
          <t>Base metals &amp; articles</t>
        </is>
      </c>
      <c r="B2465" t="inlineStr">
        <is>
          <t>73</t>
        </is>
      </c>
      <c r="C2465" t="inlineStr">
        <is>
          <t>73142010</t>
        </is>
      </c>
      <c r="D2465" t="inlineStr">
        <is>
          <t>WIRE NETTING</t>
        </is>
      </c>
      <c r="E2465" s="3" t="n">
        <v>0</v>
      </c>
      <c r="F2465" s="3" t="n">
        <v>0.16</v>
      </c>
      <c r="G2465" s="3">
        <f>F2465-E2465</f>
        <v/>
      </c>
      <c r="H2465" s="4">
        <f>IF(E2465=0,"",F2465/E2465-1)</f>
        <v/>
      </c>
      <c r="I2465" t="inlineStr"/>
    </row>
    <row r="2466">
      <c r="A2466" t="inlineStr">
        <is>
          <t>Base metals &amp; articles</t>
        </is>
      </c>
      <c r="B2466" t="inlineStr">
        <is>
          <t>74</t>
        </is>
      </c>
      <c r="C2466" t="inlineStr">
        <is>
          <t>74181021</t>
        </is>
      </c>
      <c r="D2466" t="inlineStr">
        <is>
          <t>OF BRASS</t>
        </is>
      </c>
      <c r="E2466" s="3" t="n">
        <v>0.42</v>
      </c>
      <c r="F2466" s="3" t="n">
        <v>0.16</v>
      </c>
      <c r="G2466" s="3">
        <f>F2466-E2466</f>
        <v/>
      </c>
      <c r="H2466" s="4">
        <f>IF(E2466=0,"",F2466/E2466-1)</f>
        <v/>
      </c>
      <c r="I2466" t="inlineStr"/>
    </row>
    <row r="2467">
      <c r="A2467" t="inlineStr">
        <is>
          <t>Base metals &amp; articles</t>
        </is>
      </c>
      <c r="B2467" t="inlineStr">
        <is>
          <t>76</t>
        </is>
      </c>
      <c r="C2467" t="inlineStr">
        <is>
          <t>76109030</t>
        </is>
      </c>
      <c r="D2467" t="inlineStr">
        <is>
          <t>ALUMINIUM PLATES , RODS, PROFILES, TUBES AND THE LIKE, FOR USE IN</t>
        </is>
      </c>
      <c r="E2467" s="3" t="n">
        <v>0.3</v>
      </c>
      <c r="F2467" s="3" t="n">
        <v>0.16</v>
      </c>
      <c r="G2467" s="3">
        <f>F2467-E2467</f>
        <v/>
      </c>
      <c r="H2467" s="4">
        <f>IF(E2467=0,"",F2467/E2467-1)</f>
        <v/>
      </c>
      <c r="I2467" t="inlineStr"/>
    </row>
    <row r="2468">
      <c r="A2468" t="inlineStr">
        <is>
          <t>Base metals &amp; articles</t>
        </is>
      </c>
      <c r="B2468" t="inlineStr">
        <is>
          <t>76</t>
        </is>
      </c>
      <c r="C2468" t="inlineStr">
        <is>
          <t>76169910</t>
        </is>
      </c>
      <c r="D2468" t="inlineStr">
        <is>
          <t>EXPND MTL OF ALMNM AND ALMNM ALLOYS</t>
        </is>
      </c>
      <c r="E2468" s="3" t="n">
        <v>0.01</v>
      </c>
      <c r="F2468" s="3" t="n">
        <v>0.16</v>
      </c>
      <c r="G2468" s="3">
        <f>F2468-E2468</f>
        <v/>
      </c>
      <c r="H2468" s="4">
        <f>IF(E2468=0,"",F2468/E2468-1)</f>
        <v/>
      </c>
      <c r="I2468" t="inlineStr"/>
    </row>
    <row r="2469">
      <c r="A2469" t="inlineStr">
        <is>
          <t>Base metals &amp; articles</t>
        </is>
      </c>
      <c r="B2469" t="inlineStr">
        <is>
          <t>82</t>
        </is>
      </c>
      <c r="C2469" t="inlineStr">
        <is>
          <t>82060090</t>
        </is>
      </c>
      <c r="D2469" t="inlineStr">
        <is>
          <t>OTHER TOOLS OF TWO OR MORE OF HDN NO. 8202TO 8205 PUT UP IN SETS FOR RETAIL SALE</t>
        </is>
      </c>
      <c r="E2469" s="3" t="n">
        <v>0.19</v>
      </c>
      <c r="F2469" s="3" t="n">
        <v>0.16</v>
      </c>
      <c r="G2469" s="3">
        <f>F2469-E2469</f>
        <v/>
      </c>
      <c r="H2469" s="4">
        <f>IF(E2469=0,"",F2469/E2469-1)</f>
        <v/>
      </c>
      <c r="I2469" t="inlineStr"/>
    </row>
    <row r="2470">
      <c r="A2470" t="inlineStr">
        <is>
          <t>Base metals &amp; articles</t>
        </is>
      </c>
      <c r="B2470" t="inlineStr">
        <is>
          <t>72</t>
        </is>
      </c>
      <c r="C2470" t="inlineStr">
        <is>
          <t>72169990</t>
        </is>
      </c>
      <c r="D2470" t="inlineStr">
        <is>
          <t>OTHER N.E.S.</t>
        </is>
      </c>
      <c r="E2470" s="3" t="n">
        <v>1.67</v>
      </c>
      <c r="F2470" s="3" t="n">
        <v>0.15</v>
      </c>
      <c r="G2470" s="3">
        <f>F2470-E2470</f>
        <v/>
      </c>
      <c r="H2470" s="4">
        <f>IF(E2470=0,"",F2470/E2470-1)</f>
        <v/>
      </c>
      <c r="I2470" t="inlineStr"/>
    </row>
    <row r="2471">
      <c r="A2471" t="inlineStr">
        <is>
          <t>Base metals &amp; articles</t>
        </is>
      </c>
      <c r="B2471" t="inlineStr">
        <is>
          <t>72</t>
        </is>
      </c>
      <c r="C2471" t="inlineStr">
        <is>
          <t>72172020</t>
        </is>
      </c>
      <c r="D2471" t="inlineStr">
        <is>
          <t>WIRE, THINNER THAN 18 SWG UPTO 26 SWG</t>
        </is>
      </c>
      <c r="E2471" s="3" t="n">
        <v>0.08</v>
      </c>
      <c r="F2471" s="3" t="n">
        <v>0.15</v>
      </c>
      <c r="G2471" s="3">
        <f>F2471-E2471</f>
        <v/>
      </c>
      <c r="H2471" s="4">
        <f>IF(E2471=0,"",F2471/E2471-1)</f>
        <v/>
      </c>
      <c r="I2471" t="inlineStr"/>
    </row>
    <row r="2472">
      <c r="A2472" t="inlineStr">
        <is>
          <t>Base metals &amp; articles</t>
        </is>
      </c>
      <c r="B2472" t="inlineStr">
        <is>
          <t>72</t>
        </is>
      </c>
      <c r="C2472" t="inlineStr">
        <is>
          <t>72193190</t>
        </is>
      </c>
      <c r="D2472" t="inlineStr">
        <is>
          <t>OTHR COLD-ROLD PRDCTS OF THCKNS &gt;= 4.75MM N.E.S.</t>
        </is>
      </c>
      <c r="E2472" s="3" t="n">
        <v>0</v>
      </c>
      <c r="F2472" s="3" t="n">
        <v>0.15</v>
      </c>
      <c r="G2472" s="3">
        <f>F2472-E2472</f>
        <v/>
      </c>
      <c r="H2472" s="4">
        <f>IF(E2472=0,"",F2472/E2472-1)</f>
        <v/>
      </c>
      <c r="I2472" t="inlineStr"/>
    </row>
    <row r="2473">
      <c r="A2473" t="inlineStr">
        <is>
          <t>Base metals &amp; articles</t>
        </is>
      </c>
      <c r="B2473" t="inlineStr">
        <is>
          <t>73</t>
        </is>
      </c>
      <c r="C2473" t="inlineStr">
        <is>
          <t>73066100</t>
        </is>
      </c>
      <c r="D2473" t="inlineStr">
        <is>
          <t>OF SQUARE OR RECTANGULAR CROSS-SECTION:</t>
        </is>
      </c>
      <c r="E2473" s="3" t="n">
        <v>0.19</v>
      </c>
      <c r="F2473" s="3" t="n">
        <v>0.15</v>
      </c>
      <c r="G2473" s="3">
        <f>F2473-E2473</f>
        <v/>
      </c>
      <c r="H2473" s="4">
        <f>IF(E2473=0,"",F2473/E2473-1)</f>
        <v/>
      </c>
      <c r="I2473" t="inlineStr"/>
    </row>
    <row r="2474">
      <c r="A2474" t="inlineStr">
        <is>
          <t>Base metals &amp; articles</t>
        </is>
      </c>
      <c r="B2474" t="inlineStr">
        <is>
          <t>74</t>
        </is>
      </c>
      <c r="C2474" t="inlineStr">
        <is>
          <t>74130000</t>
        </is>
      </c>
      <c r="D2474" t="inlineStr">
        <is>
          <t>STRANDED WIRE,CABLES,PLAITD BANDS AND LIKE OF COPPER,NOT ELECTRICALLY INSULATED</t>
        </is>
      </c>
      <c r="E2474" s="3" t="n">
        <v>2.19</v>
      </c>
      <c r="F2474" s="3" t="n">
        <v>0.15</v>
      </c>
      <c r="G2474" s="3">
        <f>F2474-E2474</f>
        <v/>
      </c>
      <c r="H2474" s="4">
        <f>IF(E2474=0,"",F2474/E2474-1)</f>
        <v/>
      </c>
      <c r="I2474" t="inlineStr"/>
    </row>
    <row r="2475">
      <c r="A2475" t="inlineStr">
        <is>
          <t>Base metals &amp; articles</t>
        </is>
      </c>
      <c r="B2475" t="inlineStr">
        <is>
          <t>82</t>
        </is>
      </c>
      <c r="C2475" t="inlineStr">
        <is>
          <t>82042000</t>
        </is>
      </c>
      <c r="D2475" t="inlineStr">
        <is>
          <t>INTRCHANGBLE SPANER SOKETS,WTH HANDL OR NT</t>
        </is>
      </c>
      <c r="E2475" s="3" t="n">
        <v>0.5</v>
      </c>
      <c r="F2475" s="3" t="n">
        <v>0.15</v>
      </c>
      <c r="G2475" s="3">
        <f>F2475-E2475</f>
        <v/>
      </c>
      <c r="H2475" s="4">
        <f>IF(E2475=0,"",F2475/E2475-1)</f>
        <v/>
      </c>
      <c r="I2475" t="inlineStr"/>
    </row>
    <row r="2476">
      <c r="A2476" t="inlineStr">
        <is>
          <t>Base metals &amp; articles</t>
        </is>
      </c>
      <c r="B2476" t="inlineStr">
        <is>
          <t>73</t>
        </is>
      </c>
      <c r="C2476" t="inlineStr">
        <is>
          <t>73042910</t>
        </is>
      </c>
      <c r="D2476" t="inlineStr">
        <is>
          <t>CASING, TUBING OF IRON</t>
        </is>
      </c>
      <c r="E2476" s="3" t="n">
        <v>0</v>
      </c>
      <c r="F2476" s="3" t="n">
        <v>0.14</v>
      </c>
      <c r="G2476" s="3">
        <f>F2476-E2476</f>
        <v/>
      </c>
      <c r="H2476" s="4">
        <f>IF(E2476=0,"",F2476/E2476-1)</f>
        <v/>
      </c>
      <c r="I2476" t="inlineStr"/>
    </row>
    <row r="2477">
      <c r="A2477" t="inlineStr">
        <is>
          <t>Base metals &amp; articles</t>
        </is>
      </c>
      <c r="B2477" t="inlineStr">
        <is>
          <t>73</t>
        </is>
      </c>
      <c r="C2477" t="inlineStr">
        <is>
          <t>73141490</t>
        </is>
      </c>
      <c r="D2477" t="inlineStr">
        <is>
          <t>OTHERS-OF-OTHER WOVEN CLOTH, OF STAINLESS STEEL :</t>
        </is>
      </c>
      <c r="E2477" s="3" t="n">
        <v>0.18</v>
      </c>
      <c r="F2477" s="3" t="n">
        <v>0.14</v>
      </c>
      <c r="G2477" s="3">
        <f>F2477-E2477</f>
        <v/>
      </c>
      <c r="H2477" s="4">
        <f>IF(E2477=0,"",F2477/E2477-1)</f>
        <v/>
      </c>
      <c r="I2477" t="inlineStr"/>
    </row>
    <row r="2478">
      <c r="A2478" t="inlineStr">
        <is>
          <t>Base metals &amp; articles</t>
        </is>
      </c>
      <c r="B2478" t="inlineStr">
        <is>
          <t>73</t>
        </is>
      </c>
      <c r="C2478" t="inlineStr">
        <is>
          <t>73239490</t>
        </is>
      </c>
      <c r="D2478" t="inlineStr">
        <is>
          <t>OTHER HOUSEHOLD ARTICLES OF IRON N.E.S. (OTHER THAN CAST IRON)OR STEEL,ENAMELLED</t>
        </is>
      </c>
      <c r="E2478" s="3" t="n">
        <v>0.37</v>
      </c>
      <c r="F2478" s="3" t="n">
        <v>0.14</v>
      </c>
      <c r="G2478" s="3">
        <f>F2478-E2478</f>
        <v/>
      </c>
      <c r="H2478" s="4">
        <f>IF(E2478=0,"",F2478/E2478-1)</f>
        <v/>
      </c>
      <c r="I2478" t="inlineStr"/>
    </row>
    <row r="2479">
      <c r="A2479" t="inlineStr">
        <is>
          <t>Base metals &amp; articles</t>
        </is>
      </c>
      <c r="B2479" t="inlineStr">
        <is>
          <t>73</t>
        </is>
      </c>
      <c r="C2479" t="inlineStr">
        <is>
          <t>73261910</t>
        </is>
      </c>
      <c r="D2479" t="inlineStr">
        <is>
          <t>OTHER ARTICLES FORGED OR STAMPED FOR AUTOMOBILES AND EARTH MOVING EQUIPMENTS</t>
        </is>
      </c>
      <c r="E2479" s="3" t="n">
        <v>0.42</v>
      </c>
      <c r="F2479" s="3" t="n">
        <v>0.14</v>
      </c>
      <c r="G2479" s="3">
        <f>F2479-E2479</f>
        <v/>
      </c>
      <c r="H2479" s="4">
        <f>IF(E2479=0,"",F2479/E2479-1)</f>
        <v/>
      </c>
      <c r="I2479" t="inlineStr"/>
    </row>
    <row r="2480">
      <c r="A2480" t="inlineStr">
        <is>
          <t>Base metals &amp; articles</t>
        </is>
      </c>
      <c r="B2480" t="inlineStr">
        <is>
          <t>76</t>
        </is>
      </c>
      <c r="C2480" t="inlineStr">
        <is>
          <t>76161000</t>
        </is>
      </c>
      <c r="D2480" t="inlineStr">
        <is>
          <t>NAILS,TACKS,STAPLES(EXCL HDG NO 8305) SCREWS,BOLTS,NUTS,SCREW,HOOKS,RIVETS ETC.</t>
        </is>
      </c>
      <c r="E2480" s="3" t="n">
        <v>0.07000000000000001</v>
      </c>
      <c r="F2480" s="3" t="n">
        <v>0.14</v>
      </c>
      <c r="G2480" s="3">
        <f>F2480-E2480</f>
        <v/>
      </c>
      <c r="H2480" s="4">
        <f>IF(E2480=0,"",F2480/E2480-1)</f>
        <v/>
      </c>
      <c r="I2480" t="inlineStr"/>
    </row>
    <row r="2481">
      <c r="A2481" t="inlineStr">
        <is>
          <t>Base metals &amp; articles</t>
        </is>
      </c>
      <c r="B2481" t="inlineStr">
        <is>
          <t>82</t>
        </is>
      </c>
      <c r="C2481" t="inlineStr">
        <is>
          <t>82130000</t>
        </is>
      </c>
      <c r="D2481" t="inlineStr">
        <is>
          <t>SCISORS TAILRS SHEARS AND SIMLR SHEARS AND BLADES THEREFOR</t>
        </is>
      </c>
      <c r="E2481" s="3" t="n">
        <v>0.09</v>
      </c>
      <c r="F2481" s="3" t="n">
        <v>0.14</v>
      </c>
      <c r="G2481" s="3">
        <f>F2481-E2481</f>
        <v/>
      </c>
      <c r="H2481" s="4">
        <f>IF(E2481=0,"",F2481/E2481-1)</f>
        <v/>
      </c>
      <c r="I2481" t="inlineStr"/>
    </row>
    <row r="2482">
      <c r="A2482" t="inlineStr">
        <is>
          <t>Base metals &amp; articles</t>
        </is>
      </c>
      <c r="B2482" t="inlineStr">
        <is>
          <t>72</t>
        </is>
      </c>
      <c r="C2482" t="inlineStr">
        <is>
          <t>72085220</t>
        </is>
      </c>
      <c r="D2482" t="inlineStr">
        <is>
          <t>UNVRSL PLATES OF FLAT-ROLD PRDCTS,NT IN COILS THCKNS&gt;=4.75MM BUT &lt;=10MM NOT FURTHR WRKD THN HOT ROLD PICKLED</t>
        </is>
      </c>
      <c r="E2482" s="3" t="n">
        <v>27.99</v>
      </c>
      <c r="F2482" s="3" t="n">
        <v>0.13</v>
      </c>
      <c r="G2482" s="3">
        <f>F2482-E2482</f>
        <v/>
      </c>
      <c r="H2482" s="4">
        <f>IF(E2482=0,"",F2482/E2482-1)</f>
        <v/>
      </c>
      <c r="I2482" t="inlineStr"/>
    </row>
    <row r="2483">
      <c r="A2483" t="inlineStr">
        <is>
          <t>Base metals &amp; articles</t>
        </is>
      </c>
      <c r="B2483" t="inlineStr">
        <is>
          <t>72</t>
        </is>
      </c>
      <c r="C2483" t="inlineStr">
        <is>
          <t>72091630</t>
        </is>
      </c>
      <c r="D2483" t="inlineStr">
        <is>
          <t>STRIPS OF FLT RLD PRDCTS IN COILS NT FRTHRWRKD THN COLD RLD OF THCKNS &gt;1MM BUT &lt;3MM</t>
        </is>
      </c>
      <c r="E2483" s="3" t="n">
        <v>0.09</v>
      </c>
      <c r="F2483" s="3" t="n">
        <v>0.13</v>
      </c>
      <c r="G2483" s="3">
        <f>F2483-E2483</f>
        <v/>
      </c>
      <c r="H2483" s="4">
        <f>IF(E2483=0,"",F2483/E2483-1)</f>
        <v/>
      </c>
      <c r="I2483" t="inlineStr"/>
    </row>
    <row r="2484">
      <c r="A2484" t="inlineStr">
        <is>
          <t>Base metals &amp; articles</t>
        </is>
      </c>
      <c r="B2484" t="inlineStr">
        <is>
          <t>72</t>
        </is>
      </c>
      <c r="C2484" t="inlineStr">
        <is>
          <t>72171010</t>
        </is>
      </c>
      <c r="D2484" t="inlineStr">
        <is>
          <t>WIRE, 18 SWG AND THICKER</t>
        </is>
      </c>
      <c r="E2484" s="3" t="n">
        <v>0.13</v>
      </c>
      <c r="F2484" s="3" t="n">
        <v>0.13</v>
      </c>
      <c r="G2484" s="3">
        <f>F2484-E2484</f>
        <v/>
      </c>
      <c r="H2484" s="4">
        <f>IF(E2484=0,"",F2484/E2484-1)</f>
        <v/>
      </c>
      <c r="I2484" t="inlineStr"/>
    </row>
    <row r="2485">
      <c r="A2485" t="inlineStr">
        <is>
          <t>Base metals &amp; articles</t>
        </is>
      </c>
      <c r="B2485" t="inlineStr">
        <is>
          <t>72</t>
        </is>
      </c>
      <c r="C2485" t="inlineStr">
        <is>
          <t>72222019</t>
        </is>
      </c>
      <c r="D2485" t="inlineStr">
        <is>
          <t>BARS AND RODS , COLD-FORMED OR COLD FINISHED OF OTHR TYPE</t>
        </is>
      </c>
      <c r="E2485" s="3" t="n">
        <v>0.04</v>
      </c>
      <c r="F2485" s="3" t="n">
        <v>0.13</v>
      </c>
      <c r="G2485" s="3">
        <f>F2485-E2485</f>
        <v/>
      </c>
      <c r="H2485" s="4">
        <f>IF(E2485=0,"",F2485/E2485-1)</f>
        <v/>
      </c>
      <c r="I2485" t="inlineStr"/>
    </row>
    <row r="2486">
      <c r="A2486" t="inlineStr">
        <is>
          <t>Base metals &amp; articles</t>
        </is>
      </c>
      <c r="B2486" t="inlineStr">
        <is>
          <t>72</t>
        </is>
      </c>
      <c r="C2486" t="inlineStr">
        <is>
          <t>72222099</t>
        </is>
      </c>
      <c r="D2486" t="inlineStr">
        <is>
          <t>BARS AND RODS , COLD-FORMED OR COLD FINISHEDN.E.S.</t>
        </is>
      </c>
      <c r="E2486" s="3" t="n">
        <v>0.36</v>
      </c>
      <c r="F2486" s="3" t="n">
        <v>0.13</v>
      </c>
      <c r="G2486" s="3">
        <f>F2486-E2486</f>
        <v/>
      </c>
      <c r="H2486" s="4">
        <f>IF(E2486=0,"",F2486/E2486-1)</f>
        <v/>
      </c>
      <c r="I2486" t="inlineStr"/>
    </row>
    <row r="2487">
      <c r="A2487" t="inlineStr">
        <is>
          <t>Base metals &amp; articles</t>
        </is>
      </c>
      <c r="B2487" t="inlineStr">
        <is>
          <t>73</t>
        </is>
      </c>
      <c r="C2487" t="inlineStr">
        <is>
          <t>73045920</t>
        </is>
      </c>
      <c r="D2487" t="inlineStr">
        <is>
          <t>TUBS/PIPS ETC OF CRCLR CRSS-SECTN WITH OUTR DIAMTR&gt;114.3 BUT&lt;=219.1 MM NT CLD RLD</t>
        </is>
      </c>
      <c r="E2487" s="3" t="n">
        <v>0.74</v>
      </c>
      <c r="F2487" s="3" t="n">
        <v>0.13</v>
      </c>
      <c r="G2487" s="3">
        <f>F2487-E2487</f>
        <v/>
      </c>
      <c r="H2487" s="4">
        <f>IF(E2487=0,"",F2487/E2487-1)</f>
        <v/>
      </c>
      <c r="I2487" t="inlineStr"/>
    </row>
    <row r="2488">
      <c r="A2488" t="inlineStr">
        <is>
          <t>Base metals &amp; articles</t>
        </is>
      </c>
      <c r="B2488" t="inlineStr">
        <is>
          <t>73</t>
        </is>
      </c>
      <c r="C2488" t="inlineStr">
        <is>
          <t>73082020</t>
        </is>
      </c>
      <c r="D2488" t="inlineStr">
        <is>
          <t>LATTICE MASTS</t>
        </is>
      </c>
      <c r="E2488" s="3" t="n">
        <v>0</v>
      </c>
      <c r="F2488" s="3" t="n">
        <v>0.13</v>
      </c>
      <c r="G2488" s="3">
        <f>F2488-E2488</f>
        <v/>
      </c>
      <c r="H2488" s="4">
        <f>IF(E2488=0,"",F2488/E2488-1)</f>
        <v/>
      </c>
      <c r="I2488" t="inlineStr"/>
    </row>
    <row r="2489">
      <c r="A2489" t="inlineStr">
        <is>
          <t>Base metals &amp; articles</t>
        </is>
      </c>
      <c r="B2489" t="inlineStr">
        <is>
          <t>73</t>
        </is>
      </c>
      <c r="C2489" t="inlineStr">
        <is>
          <t>73159000</t>
        </is>
      </c>
      <c r="D2489" t="inlineStr">
        <is>
          <t>PARTS OF CHAIN(EXCL ARTICULTD CHAIN)</t>
        </is>
      </c>
      <c r="E2489" s="3" t="n">
        <v>0.37</v>
      </c>
      <c r="F2489" s="3" t="n">
        <v>0.13</v>
      </c>
      <c r="G2489" s="3">
        <f>F2489-E2489</f>
        <v/>
      </c>
      <c r="H2489" s="4">
        <f>IF(E2489=0,"",F2489/E2489-1)</f>
        <v/>
      </c>
      <c r="I2489" t="inlineStr"/>
    </row>
    <row r="2490">
      <c r="A2490" t="inlineStr">
        <is>
          <t>Base metals &amp; articles</t>
        </is>
      </c>
      <c r="B2490" t="inlineStr">
        <is>
          <t>73</t>
        </is>
      </c>
      <c r="C2490" t="inlineStr">
        <is>
          <t>73211110</t>
        </is>
      </c>
      <c r="D2490" t="inlineStr">
        <is>
          <t>COOKERS AND KITCHEN STOVES</t>
        </is>
      </c>
      <c r="E2490" s="3" t="n">
        <v>0.08</v>
      </c>
      <c r="F2490" s="3" t="n">
        <v>0.13</v>
      </c>
      <c r="G2490" s="3">
        <f>F2490-E2490</f>
        <v/>
      </c>
      <c r="H2490" s="4">
        <f>IF(E2490=0,"",F2490/E2490-1)</f>
        <v/>
      </c>
      <c r="I2490" t="inlineStr"/>
    </row>
    <row r="2491">
      <c r="A2491" t="inlineStr">
        <is>
          <t>Base metals &amp; articles</t>
        </is>
      </c>
      <c r="B2491" t="inlineStr">
        <is>
          <t>73</t>
        </is>
      </c>
      <c r="C2491" t="inlineStr">
        <is>
          <t>73269030</t>
        </is>
      </c>
      <c r="D2491" t="inlineStr">
        <is>
          <t>DRAIN COVERS, PLATES, AND FRAMES FOR SEWAGES, WATER OR SIMILAR SYSTEM</t>
        </is>
      </c>
      <c r="E2491" s="3" t="n">
        <v>0.04</v>
      </c>
      <c r="F2491" s="3" t="n">
        <v>0.13</v>
      </c>
      <c r="G2491" s="3">
        <f>F2491-E2491</f>
        <v/>
      </c>
      <c r="H2491" s="4">
        <f>IF(E2491=0,"",F2491/E2491-1)</f>
        <v/>
      </c>
      <c r="I2491" t="inlineStr"/>
    </row>
    <row r="2492">
      <c r="A2492" t="inlineStr">
        <is>
          <t>Base metals &amp; articles</t>
        </is>
      </c>
      <c r="B2492" t="inlineStr">
        <is>
          <t>76</t>
        </is>
      </c>
      <c r="C2492" t="inlineStr">
        <is>
          <t>76011040</t>
        </is>
      </c>
      <c r="D2492" t="inlineStr">
        <is>
          <t>ALUMINIUM WIRE RODS -NOT ALLOYED</t>
        </is>
      </c>
      <c r="E2492" s="3" t="n">
        <v>0</v>
      </c>
      <c r="F2492" s="3" t="n">
        <v>0.13</v>
      </c>
      <c r="G2492" s="3">
        <f>F2492-E2492</f>
        <v/>
      </c>
      <c r="H2492" s="4">
        <f>IF(E2492=0,"",F2492/E2492-1)</f>
        <v/>
      </c>
      <c r="I2492" t="inlineStr"/>
    </row>
    <row r="2493">
      <c r="A2493" t="inlineStr">
        <is>
          <t>Base metals &amp; articles</t>
        </is>
      </c>
      <c r="B2493" t="inlineStr">
        <is>
          <t>76</t>
        </is>
      </c>
      <c r="C2493" t="inlineStr">
        <is>
          <t>76069290</t>
        </is>
      </c>
      <c r="D2493" t="inlineStr">
        <is>
          <t>OTHERS-OF-OTHER PLTS,STRIPS ETC OF ALUMINIUM ALLOYS</t>
        </is>
      </c>
      <c r="E2493" s="3" t="n">
        <v>0</v>
      </c>
      <c r="F2493" s="3" t="n">
        <v>0.13</v>
      </c>
      <c r="G2493" s="3">
        <f>F2493-E2493</f>
        <v/>
      </c>
      <c r="H2493" s="4">
        <f>IF(E2493=0,"",F2493/E2493-1)</f>
        <v/>
      </c>
      <c r="I2493" t="inlineStr"/>
    </row>
    <row r="2494">
      <c r="A2494" t="inlineStr">
        <is>
          <t>Base metals &amp; articles</t>
        </is>
      </c>
      <c r="B2494" t="inlineStr">
        <is>
          <t>76</t>
        </is>
      </c>
      <c r="C2494" t="inlineStr">
        <is>
          <t>76071910</t>
        </is>
      </c>
      <c r="D2494" t="inlineStr">
        <is>
          <t>ALMNM FOL FOR TEA CHEST LINING,NOT RLLD</t>
        </is>
      </c>
      <c r="E2494" s="3" t="n">
        <v>0</v>
      </c>
      <c r="F2494" s="3" t="n">
        <v>0.13</v>
      </c>
      <c r="G2494" s="3">
        <f>F2494-E2494</f>
        <v/>
      </c>
      <c r="H2494" s="4">
        <f>IF(E2494=0,"",F2494/E2494-1)</f>
        <v/>
      </c>
      <c r="I2494" t="inlineStr"/>
    </row>
    <row r="2495">
      <c r="A2495" t="inlineStr">
        <is>
          <t>Base metals &amp; articles</t>
        </is>
      </c>
      <c r="B2495" t="inlineStr">
        <is>
          <t>82</t>
        </is>
      </c>
      <c r="C2495" t="inlineStr">
        <is>
          <t>82032000</t>
        </is>
      </c>
      <c r="D2495" t="inlineStr">
        <is>
          <t>PLIERS,PINCERS,TWEEZERS AND SMRL TOOLS</t>
        </is>
      </c>
      <c r="E2495" s="3" t="n">
        <v>0.02</v>
      </c>
      <c r="F2495" s="3" t="n">
        <v>0.13</v>
      </c>
      <c r="G2495" s="3">
        <f>F2495-E2495</f>
        <v/>
      </c>
      <c r="H2495" s="4">
        <f>IF(E2495=0,"",F2495/E2495-1)</f>
        <v/>
      </c>
      <c r="I2495" t="inlineStr"/>
    </row>
    <row r="2496">
      <c r="A2496" t="inlineStr">
        <is>
          <t>Base metals &amp; articles</t>
        </is>
      </c>
      <c r="B2496" t="inlineStr">
        <is>
          <t>82</t>
        </is>
      </c>
      <c r="C2496" t="inlineStr">
        <is>
          <t>82119100</t>
        </is>
      </c>
      <c r="D2496" t="inlineStr">
        <is>
          <t>TABLES KNIVS HAVING FIXD BLADES</t>
        </is>
      </c>
      <c r="E2496" s="3" t="n">
        <v>0.05</v>
      </c>
      <c r="F2496" s="3" t="n">
        <v>0.13</v>
      </c>
      <c r="G2496" s="3">
        <f>F2496-E2496</f>
        <v/>
      </c>
      <c r="H2496" s="4">
        <f>IF(E2496=0,"",F2496/E2496-1)</f>
        <v/>
      </c>
      <c r="I2496" t="inlineStr"/>
    </row>
    <row r="2497">
      <c r="A2497" t="inlineStr">
        <is>
          <t>Base metals &amp; articles</t>
        </is>
      </c>
      <c r="B2497" t="inlineStr">
        <is>
          <t>83</t>
        </is>
      </c>
      <c r="C2497" t="inlineStr">
        <is>
          <t>83025000</t>
        </is>
      </c>
      <c r="D2497" t="inlineStr">
        <is>
          <t>HAT RACKS HAT PEGS BRACKETS AND SMLR FIXTRS</t>
        </is>
      </c>
      <c r="E2497" s="3" t="n">
        <v>0.1</v>
      </c>
      <c r="F2497" s="3" t="n">
        <v>0.13</v>
      </c>
      <c r="G2497" s="3">
        <f>F2497-E2497</f>
        <v/>
      </c>
      <c r="H2497" s="4">
        <f>IF(E2497=0,"",F2497/E2497-1)</f>
        <v/>
      </c>
      <c r="I2497" t="inlineStr"/>
    </row>
    <row r="2498">
      <c r="A2498" t="inlineStr">
        <is>
          <t>Base metals &amp; articles</t>
        </is>
      </c>
      <c r="B2498" t="inlineStr">
        <is>
          <t>72</t>
        </is>
      </c>
      <c r="C2498" t="inlineStr">
        <is>
          <t>72139190</t>
        </is>
      </c>
      <c r="D2498" t="inlineStr">
        <is>
          <t>OTHERS-OF-BARS AND RODS,HOT RLD OF IRON/NON ALOY STLOF CRCULR CRS SCTN MSRNG &lt;14 MM DIAMTR</t>
        </is>
      </c>
      <c r="E2498" s="3" t="n">
        <v>0</v>
      </c>
      <c r="F2498" s="3" t="n">
        <v>0.12</v>
      </c>
      <c r="G2498" s="3">
        <f>F2498-E2498</f>
        <v/>
      </c>
      <c r="H2498" s="4">
        <f>IF(E2498=0,"",F2498/E2498-1)</f>
        <v/>
      </c>
      <c r="I2498" t="inlineStr"/>
    </row>
    <row r="2499">
      <c r="A2499" t="inlineStr">
        <is>
          <t>Base metals &amp; articles</t>
        </is>
      </c>
      <c r="B2499" t="inlineStr">
        <is>
          <t>72</t>
        </is>
      </c>
      <c r="C2499" t="inlineStr">
        <is>
          <t>72149990</t>
        </is>
      </c>
      <c r="D2499" t="inlineStr">
        <is>
          <t>OTHERS-OF-BARS AND RODS OF IRON/NON ALOY STL OTHR THN RECTANGULAR (EXCL SQR)CRS SCTN</t>
        </is>
      </c>
      <c r="E2499" s="3" t="n">
        <v>0.2</v>
      </c>
      <c r="F2499" s="3" t="n">
        <v>0.12</v>
      </c>
      <c r="G2499" s="3">
        <f>F2499-E2499</f>
        <v/>
      </c>
      <c r="H2499" s="4">
        <f>IF(E2499=0,"",F2499/E2499-1)</f>
        <v/>
      </c>
      <c r="I2499" t="inlineStr"/>
    </row>
    <row r="2500">
      <c r="A2500" t="inlineStr">
        <is>
          <t>Base metals &amp; articles</t>
        </is>
      </c>
      <c r="B2500" t="inlineStr">
        <is>
          <t>72</t>
        </is>
      </c>
      <c r="C2500" t="inlineStr">
        <is>
          <t>72191190</t>
        </is>
      </c>
      <c r="D2500" t="inlineStr">
        <is>
          <t>OTHR CHROMIUM TYPE N.E.S.</t>
        </is>
      </c>
      <c r="E2500" s="3" t="n">
        <v>0.1</v>
      </c>
      <c r="F2500" s="3" t="n">
        <v>0.12</v>
      </c>
      <c r="G2500" s="3">
        <f>F2500-E2500</f>
        <v/>
      </c>
      <c r="H2500" s="4">
        <f>IF(E2500=0,"",F2500/E2500-1)</f>
        <v/>
      </c>
      <c r="I2500" t="inlineStr"/>
    </row>
    <row r="2501">
      <c r="A2501" t="inlineStr">
        <is>
          <t>Base metals &amp; articles</t>
        </is>
      </c>
      <c r="B2501" t="inlineStr">
        <is>
          <t>72</t>
        </is>
      </c>
      <c r="C2501" t="inlineStr">
        <is>
          <t>72193390</t>
        </is>
      </c>
      <c r="D2501" t="inlineStr">
        <is>
          <t>OTHR COLD ROLD PRDCTS OF THCKNS &gt;1MM BUT &lt; 3MM N.E.S.</t>
        </is>
      </c>
      <c r="E2501" s="3" t="n">
        <v>0.13</v>
      </c>
      <c r="F2501" s="3" t="n">
        <v>0.12</v>
      </c>
      <c r="G2501" s="3">
        <f>F2501-E2501</f>
        <v/>
      </c>
      <c r="H2501" s="4">
        <f>IF(E2501=0,"",F2501/E2501-1)</f>
        <v/>
      </c>
      <c r="I2501" t="inlineStr"/>
    </row>
    <row r="2502">
      <c r="A2502" t="inlineStr">
        <is>
          <t>Base metals &amp; articles</t>
        </is>
      </c>
      <c r="B2502" t="inlineStr">
        <is>
          <t>72</t>
        </is>
      </c>
      <c r="C2502" t="inlineStr">
        <is>
          <t>72221119</t>
        </is>
      </c>
      <c r="D2502" t="inlineStr">
        <is>
          <t>BRIGHT BARS OF OTHER TYPES</t>
        </is>
      </c>
      <c r="E2502" s="3" t="n">
        <v>0.33</v>
      </c>
      <c r="F2502" s="3" t="n">
        <v>0.12</v>
      </c>
      <c r="G2502" s="3">
        <f>F2502-E2502</f>
        <v/>
      </c>
      <c r="H2502" s="4">
        <f>IF(E2502=0,"",F2502/E2502-1)</f>
        <v/>
      </c>
      <c r="I2502" t="inlineStr"/>
    </row>
    <row r="2503">
      <c r="A2503" t="inlineStr">
        <is>
          <t>Base metals &amp; articles</t>
        </is>
      </c>
      <c r="B2503" t="inlineStr">
        <is>
          <t>73</t>
        </is>
      </c>
      <c r="C2503" t="inlineStr">
        <is>
          <t>73151900</t>
        </is>
      </c>
      <c r="D2503" t="inlineStr">
        <is>
          <t>PARTS OF ARTICULATED LINK CHAIN</t>
        </is>
      </c>
      <c r="E2503" s="3" t="n">
        <v>0.04</v>
      </c>
      <c r="F2503" s="3" t="n">
        <v>0.12</v>
      </c>
      <c r="G2503" s="3">
        <f>F2503-E2503</f>
        <v/>
      </c>
      <c r="H2503" s="4">
        <f>IF(E2503=0,"",F2503/E2503-1)</f>
        <v/>
      </c>
      <c r="I2503" t="inlineStr"/>
    </row>
    <row r="2504">
      <c r="A2504" t="inlineStr">
        <is>
          <t>Base metals &amp; articles</t>
        </is>
      </c>
      <c r="B2504" t="inlineStr">
        <is>
          <t>73</t>
        </is>
      </c>
      <c r="C2504" t="inlineStr">
        <is>
          <t>73181400</t>
        </is>
      </c>
      <c r="D2504" t="inlineStr">
        <is>
          <t>SELF-TAPPING SCREWS,THREADED</t>
        </is>
      </c>
      <c r="E2504" s="3" t="n">
        <v>0.24</v>
      </c>
      <c r="F2504" s="3" t="n">
        <v>0.12</v>
      </c>
      <c r="G2504" s="3">
        <f>F2504-E2504</f>
        <v/>
      </c>
      <c r="H2504" s="4">
        <f>IF(E2504=0,"",F2504/E2504-1)</f>
        <v/>
      </c>
      <c r="I2504" t="inlineStr"/>
    </row>
    <row r="2505">
      <c r="A2505" t="inlineStr">
        <is>
          <t>Base metals &amp; articles</t>
        </is>
      </c>
      <c r="B2505" t="inlineStr">
        <is>
          <t>73</t>
        </is>
      </c>
      <c r="C2505" t="inlineStr">
        <is>
          <t>73202000</t>
        </is>
      </c>
      <c r="D2505" t="inlineStr">
        <is>
          <t>HELICAL SPRINGS</t>
        </is>
      </c>
      <c r="E2505" s="3" t="n">
        <v>0.08</v>
      </c>
      <c r="F2505" s="3" t="n">
        <v>0.12</v>
      </c>
      <c r="G2505" s="3">
        <f>F2505-E2505</f>
        <v/>
      </c>
      <c r="H2505" s="4">
        <f>IF(E2505=0,"",F2505/E2505-1)</f>
        <v/>
      </c>
      <c r="I2505" t="inlineStr"/>
    </row>
    <row r="2506">
      <c r="A2506" t="inlineStr">
        <is>
          <t>Base metals &amp; articles</t>
        </is>
      </c>
      <c r="B2506" t="inlineStr">
        <is>
          <t>73</t>
        </is>
      </c>
      <c r="C2506" t="inlineStr">
        <is>
          <t>73239190</t>
        </is>
      </c>
      <c r="D2506" t="inlineStr">
        <is>
          <t>OTHER UTENSILS OF CAST IRON NT ENAMELD</t>
        </is>
      </c>
      <c r="E2506" s="3" t="n">
        <v>0.3</v>
      </c>
      <c r="F2506" s="3" t="n">
        <v>0.12</v>
      </c>
      <c r="G2506" s="3">
        <f>F2506-E2506</f>
        <v/>
      </c>
      <c r="H2506" s="4">
        <f>IF(E2506=0,"",F2506/E2506-1)</f>
        <v/>
      </c>
      <c r="I2506" t="inlineStr"/>
    </row>
    <row r="2507">
      <c r="A2507" t="inlineStr">
        <is>
          <t>Base metals &amp; articles</t>
        </is>
      </c>
      <c r="B2507" t="inlineStr">
        <is>
          <t>74</t>
        </is>
      </c>
      <c r="C2507" t="inlineStr">
        <is>
          <t>74094000</t>
        </is>
      </c>
      <c r="D2507" t="inlineStr">
        <is>
          <t>PLATS ETC.OF COPR-NCKL BASE ALOYS(CUPRO- NCKL)/COPR-NCKL-ZNC BASE ALOY(NCKL-SILVR)</t>
        </is>
      </c>
      <c r="E2507" s="3" t="n">
        <v>0</v>
      </c>
      <c r="F2507" s="3" t="n">
        <v>0.12</v>
      </c>
      <c r="G2507" s="3">
        <f>F2507-E2507</f>
        <v/>
      </c>
      <c r="H2507" s="4">
        <f>IF(E2507=0,"",F2507/E2507-1)</f>
        <v/>
      </c>
      <c r="I2507" t="inlineStr"/>
    </row>
    <row r="2508">
      <c r="A2508" t="inlineStr">
        <is>
          <t>Base metals &amp; articles</t>
        </is>
      </c>
      <c r="B2508" t="inlineStr">
        <is>
          <t>76</t>
        </is>
      </c>
      <c r="C2508" t="inlineStr">
        <is>
          <t>76129090</t>
        </is>
      </c>
      <c r="D2508" t="inlineStr">
        <is>
          <t>OTHER CONTAINERS : N. E. S.</t>
        </is>
      </c>
      <c r="E2508" s="3" t="n">
        <v>0.38</v>
      </c>
      <c r="F2508" s="3" t="n">
        <v>0.12</v>
      </c>
      <c r="G2508" s="3">
        <f>F2508-E2508</f>
        <v/>
      </c>
      <c r="H2508" s="4">
        <f>IF(E2508=0,"",F2508/E2508-1)</f>
        <v/>
      </c>
      <c r="I2508" t="inlineStr"/>
    </row>
    <row r="2509">
      <c r="A2509" t="inlineStr">
        <is>
          <t>Base metals &amp; articles</t>
        </is>
      </c>
      <c r="B2509" t="inlineStr">
        <is>
          <t>82</t>
        </is>
      </c>
      <c r="C2509" t="inlineStr">
        <is>
          <t>82029910</t>
        </is>
      </c>
      <c r="D2509" t="inlineStr">
        <is>
          <t>HACK SAW FRAMES</t>
        </is>
      </c>
      <c r="E2509" s="3" t="n">
        <v>0</v>
      </c>
      <c r="F2509" s="3" t="n">
        <v>0.12</v>
      </c>
      <c r="G2509" s="3">
        <f>F2509-E2509</f>
        <v/>
      </c>
      <c r="H2509" s="4">
        <f>IF(E2509=0,"",F2509/E2509-1)</f>
        <v/>
      </c>
      <c r="I2509" t="inlineStr"/>
    </row>
    <row r="2510">
      <c r="A2510" t="inlineStr">
        <is>
          <t>Base metals &amp; articles</t>
        </is>
      </c>
      <c r="B2510" t="inlineStr">
        <is>
          <t>83</t>
        </is>
      </c>
      <c r="C2510" t="inlineStr">
        <is>
          <t>83079000</t>
        </is>
      </c>
      <c r="D2510" t="inlineStr">
        <is>
          <t>FLXBL TUBNG OF OTHR BS MTL WTH/WTHUT FTNG</t>
        </is>
      </c>
      <c r="E2510" s="3" t="n">
        <v>0.17</v>
      </c>
      <c r="F2510" s="3" t="n">
        <v>0.12</v>
      </c>
      <c r="G2510" s="3">
        <f>F2510-E2510</f>
        <v/>
      </c>
      <c r="H2510" s="4">
        <f>IF(E2510=0,"",F2510/E2510-1)</f>
        <v/>
      </c>
      <c r="I2510" t="inlineStr"/>
    </row>
    <row r="2511">
      <c r="A2511" t="inlineStr">
        <is>
          <t>Base metals &amp; articles</t>
        </is>
      </c>
      <c r="B2511" t="inlineStr">
        <is>
          <t>72</t>
        </is>
      </c>
      <c r="C2511" t="inlineStr">
        <is>
          <t>72085210</t>
        </is>
      </c>
      <c r="D2511" t="inlineStr">
        <is>
          <t>PLATES OF FLAT-ROLD PRDCTS,NT IN COILS OF THCKNS&gt;=4.75MM BUT &lt;=10MM NOT FURTHR WRKD THN HOT ROLD PICKLED</t>
        </is>
      </c>
      <c r="E2511" s="3" t="n">
        <v>0.1</v>
      </c>
      <c r="F2511" s="3" t="n">
        <v>0.11</v>
      </c>
      <c r="G2511" s="3">
        <f>F2511-E2511</f>
        <v/>
      </c>
      <c r="H2511" s="4">
        <f>IF(E2511=0,"",F2511/E2511-1)</f>
        <v/>
      </c>
      <c r="I2511" t="inlineStr"/>
    </row>
    <row r="2512">
      <c r="A2512" t="inlineStr">
        <is>
          <t>Base metals &amp; articles</t>
        </is>
      </c>
      <c r="B2512" t="inlineStr">
        <is>
          <t>72</t>
        </is>
      </c>
      <c r="C2512" t="inlineStr">
        <is>
          <t>72085390</t>
        </is>
      </c>
      <c r="D2512" t="inlineStr">
        <is>
          <t>OTHR FLAT-ROLD PRDCTS,NT IN COILS OF THCKNS&gt;=3MM BUT &lt;4.75MM NOT FURTHR WRKD THN HOT ROLD PICKLED</t>
        </is>
      </c>
      <c r="E2512" s="3" t="n">
        <v>0</v>
      </c>
      <c r="F2512" s="3" t="n">
        <v>0.11</v>
      </c>
      <c r="G2512" s="3">
        <f>F2512-E2512</f>
        <v/>
      </c>
      <c r="H2512" s="4">
        <f>IF(E2512=0,"",F2512/E2512-1)</f>
        <v/>
      </c>
      <c r="I2512" t="inlineStr"/>
    </row>
    <row r="2513">
      <c r="A2513" t="inlineStr">
        <is>
          <t>Base metals &amp; articles</t>
        </is>
      </c>
      <c r="B2513" t="inlineStr">
        <is>
          <t>72</t>
        </is>
      </c>
      <c r="C2513" t="inlineStr">
        <is>
          <t>72085410</t>
        </is>
      </c>
      <c r="D2513" t="inlineStr">
        <is>
          <t>PLATES OF FLAT-ROLD PRDCTS,NT IN COILS OF THCKNS&lt;3MM NT FRTHR WRKD THN HOT RLD PICKL</t>
        </is>
      </c>
      <c r="E2513" s="3" t="n">
        <v>0</v>
      </c>
      <c r="F2513" s="3" t="n">
        <v>0.11</v>
      </c>
      <c r="G2513" s="3">
        <f>F2513-E2513</f>
        <v/>
      </c>
      <c r="H2513" s="4">
        <f>IF(E2513=0,"",F2513/E2513-1)</f>
        <v/>
      </c>
      <c r="I2513" t="inlineStr"/>
    </row>
    <row r="2514">
      <c r="A2514" t="inlineStr">
        <is>
          <t>Base metals &amp; articles</t>
        </is>
      </c>
      <c r="B2514" t="inlineStr">
        <is>
          <t>72</t>
        </is>
      </c>
      <c r="C2514" t="inlineStr">
        <is>
          <t>72192112</t>
        </is>
      </c>
      <c r="D2514" t="inlineStr">
        <is>
          <t>UNIVERSAL PLATES OF STAINLESS STEEL/HEAT RESISTNG STL AND CHROMIUM TYPE&gt;=14 MM</t>
        </is>
      </c>
      <c r="E2514" s="3" t="n">
        <v>0.06</v>
      </c>
      <c r="F2514" s="3" t="n">
        <v>0.11</v>
      </c>
      <c r="G2514" s="3">
        <f>F2514-E2514</f>
        <v/>
      </c>
      <c r="H2514" s="4">
        <f>IF(E2514=0,"",F2514/E2514-1)</f>
        <v/>
      </c>
      <c r="I2514" t="inlineStr"/>
    </row>
    <row r="2515">
      <c r="A2515" t="inlineStr">
        <is>
          <t>Base metals &amp; articles</t>
        </is>
      </c>
      <c r="B2515" t="inlineStr">
        <is>
          <t>73</t>
        </is>
      </c>
      <c r="C2515" t="inlineStr">
        <is>
          <t>73042400</t>
        </is>
      </c>
      <c r="D2515" t="inlineStr">
        <is>
          <t>OTHER, OF STAINLESS STEEL</t>
        </is>
      </c>
      <c r="E2515" s="3" t="n">
        <v>0.03</v>
      </c>
      <c r="F2515" s="3" t="n">
        <v>0.11</v>
      </c>
      <c r="G2515" s="3">
        <f>F2515-E2515</f>
        <v/>
      </c>
      <c r="H2515" s="4">
        <f>IF(E2515=0,"",F2515/E2515-1)</f>
        <v/>
      </c>
      <c r="I2515" t="inlineStr"/>
    </row>
    <row r="2516">
      <c r="A2516" t="inlineStr">
        <is>
          <t>Base metals &amp; articles</t>
        </is>
      </c>
      <c r="B2516" t="inlineStr">
        <is>
          <t>73</t>
        </is>
      </c>
      <c r="C2516" t="inlineStr">
        <is>
          <t>73110030</t>
        </is>
      </c>
      <c r="D2516" t="inlineStr">
        <is>
          <t>HGH PRSR CYLNDR(WRKNG PRSR&gt;35.2 KG/SQCM</t>
        </is>
      </c>
      <c r="E2516" s="3" t="n">
        <v>0</v>
      </c>
      <c r="F2516" s="3" t="n">
        <v>0.11</v>
      </c>
      <c r="G2516" s="3">
        <f>F2516-E2516</f>
        <v/>
      </c>
      <c r="H2516" s="4">
        <f>IF(E2516=0,"",F2516/E2516-1)</f>
        <v/>
      </c>
      <c r="I2516" t="inlineStr"/>
    </row>
    <row r="2517">
      <c r="A2517" t="inlineStr">
        <is>
          <t>Base metals &amp; articles</t>
        </is>
      </c>
      <c r="B2517" t="inlineStr">
        <is>
          <t>81</t>
        </is>
      </c>
      <c r="C2517" t="inlineStr">
        <is>
          <t>81089090</t>
        </is>
      </c>
      <c r="D2517" t="inlineStr">
        <is>
          <t>ARTICLES OF TITANIUM</t>
        </is>
      </c>
      <c r="E2517" s="3" t="n">
        <v>0.25</v>
      </c>
      <c r="F2517" s="3" t="n">
        <v>0.11</v>
      </c>
      <c r="G2517" s="3">
        <f>F2517-E2517</f>
        <v/>
      </c>
      <c r="H2517" s="4">
        <f>IF(E2517=0,"",F2517/E2517-1)</f>
        <v/>
      </c>
      <c r="I2517" t="inlineStr"/>
    </row>
    <row r="2518">
      <c r="A2518" t="inlineStr">
        <is>
          <t>Base metals &amp; articles</t>
        </is>
      </c>
      <c r="B2518" t="inlineStr">
        <is>
          <t>81</t>
        </is>
      </c>
      <c r="C2518" t="inlineStr">
        <is>
          <t>81110010</t>
        </is>
      </c>
      <c r="D2518" t="inlineStr">
        <is>
          <t>MANGANESE AND MANGANESE BASE ALLOYS UNWRGHT</t>
        </is>
      </c>
      <c r="E2518" s="3" t="n">
        <v>0.14</v>
      </c>
      <c r="F2518" s="3" t="n">
        <v>0.11</v>
      </c>
      <c r="G2518" s="3">
        <f>F2518-E2518</f>
        <v/>
      </c>
      <c r="H2518" s="4">
        <f>IF(E2518=0,"",F2518/E2518-1)</f>
        <v/>
      </c>
      <c r="I2518" t="inlineStr"/>
    </row>
    <row r="2519">
      <c r="A2519" t="inlineStr">
        <is>
          <t>Base metals &amp; articles</t>
        </is>
      </c>
      <c r="B2519" t="inlineStr">
        <is>
          <t>82</t>
        </is>
      </c>
      <c r="C2519" t="inlineStr">
        <is>
          <t>82151000</t>
        </is>
      </c>
      <c r="D2519" t="inlineStr">
        <is>
          <t>SETS OF ASORTD ARTICLS CONTNG ONE ARTICLE PLATED WTH PRECIOUS METAL</t>
        </is>
      </c>
      <c r="E2519" s="3" t="n">
        <v>0.11</v>
      </c>
      <c r="F2519" s="3" t="n">
        <v>0.11</v>
      </c>
      <c r="G2519" s="3">
        <f>F2519-E2519</f>
        <v/>
      </c>
      <c r="H2519" s="4">
        <f>IF(E2519=0,"",F2519/E2519-1)</f>
        <v/>
      </c>
      <c r="I2519" t="inlineStr"/>
    </row>
    <row r="2520">
      <c r="A2520" t="inlineStr">
        <is>
          <t>Base metals &amp; articles</t>
        </is>
      </c>
      <c r="B2520" t="inlineStr">
        <is>
          <t>72</t>
        </is>
      </c>
      <c r="C2520" t="inlineStr">
        <is>
          <t>72071190</t>
        </is>
      </c>
      <c r="D2520" t="inlineStr">
        <is>
          <t>OTHERS-OF-PRDCTS CONTNG BY WT&lt;0.25% CRBN,OF RCTNGLR (INCL SQR)CRS-SCTN;WDTH&lt;TWICE THE THCKNS</t>
        </is>
      </c>
      <c r="E2520" s="3" t="n">
        <v>0</v>
      </c>
      <c r="F2520" s="3" t="n">
        <v>0.1</v>
      </c>
      <c r="G2520" s="3">
        <f>F2520-E2520</f>
        <v/>
      </c>
      <c r="H2520" s="4">
        <f>IF(E2520=0,"",F2520/E2520-1)</f>
        <v/>
      </c>
      <c r="I2520" t="inlineStr"/>
    </row>
    <row r="2521">
      <c r="A2521" t="inlineStr">
        <is>
          <t>Base metals &amp; articles</t>
        </is>
      </c>
      <c r="B2521" t="inlineStr">
        <is>
          <t>72</t>
        </is>
      </c>
      <c r="C2521" t="inlineStr">
        <is>
          <t>72105000</t>
        </is>
      </c>
      <c r="D2521" t="inlineStr">
        <is>
          <t>PRDCTS PLTD/COATD WTH CHROMIUM OXIDES OR WITH CHROMIUM AND CHROMIUM OXIDE</t>
        </is>
      </c>
      <c r="E2521" s="3" t="n">
        <v>0.33</v>
      </c>
      <c r="F2521" s="3" t="n">
        <v>0.1</v>
      </c>
      <c r="G2521" s="3">
        <f>F2521-E2521</f>
        <v/>
      </c>
      <c r="H2521" s="4">
        <f>IF(E2521=0,"",F2521/E2521-1)</f>
        <v/>
      </c>
      <c r="I2521" t="inlineStr"/>
    </row>
    <row r="2522">
      <c r="A2522" t="inlineStr">
        <is>
          <t>Base metals &amp; articles</t>
        </is>
      </c>
      <c r="B2522" t="inlineStr">
        <is>
          <t>72</t>
        </is>
      </c>
      <c r="C2522" t="inlineStr">
        <is>
          <t>72201110</t>
        </is>
      </c>
      <c r="D2522" t="inlineStr">
        <is>
          <t>SKELP(STRIPS FOR PIPES AND TUBES)</t>
        </is>
      </c>
      <c r="E2522" s="3" t="n">
        <v>0</v>
      </c>
      <c r="F2522" s="3" t="n">
        <v>0.1</v>
      </c>
      <c r="G2522" s="3">
        <f>F2522-E2522</f>
        <v/>
      </c>
      <c r="H2522" s="4">
        <f>IF(E2522=0,"",F2522/E2522-1)</f>
        <v/>
      </c>
      <c r="I2522" t="inlineStr"/>
    </row>
    <row r="2523">
      <c r="A2523" t="inlineStr">
        <is>
          <t>Base metals &amp; articles</t>
        </is>
      </c>
      <c r="B2523" t="inlineStr">
        <is>
          <t>72</t>
        </is>
      </c>
      <c r="C2523" t="inlineStr">
        <is>
          <t>72221191</t>
        </is>
      </c>
      <c r="D2523" t="inlineStr">
        <is>
          <t>OTHERS-CHROMIUM TYPE</t>
        </is>
      </c>
      <c r="E2523" s="3" t="n">
        <v>0</v>
      </c>
      <c r="F2523" s="3" t="n">
        <v>0.1</v>
      </c>
      <c r="G2523" s="3">
        <f>F2523-E2523</f>
        <v/>
      </c>
      <c r="H2523" s="4">
        <f>IF(E2523=0,"",F2523/E2523-1)</f>
        <v/>
      </c>
      <c r="I2523" t="inlineStr"/>
    </row>
    <row r="2524">
      <c r="A2524" t="inlineStr">
        <is>
          <t>Base metals &amp; articles</t>
        </is>
      </c>
      <c r="B2524" t="inlineStr">
        <is>
          <t>72</t>
        </is>
      </c>
      <c r="C2524" t="inlineStr">
        <is>
          <t>72281090</t>
        </is>
      </c>
      <c r="D2524" t="inlineStr">
        <is>
          <t>OTHERS-OF-BARS AND RODS OF HIGH SPEED STEEL</t>
        </is>
      </c>
      <c r="E2524" s="3" t="n">
        <v>0</v>
      </c>
      <c r="F2524" s="3" t="n">
        <v>0.1</v>
      </c>
      <c r="G2524" s="3">
        <f>F2524-E2524</f>
        <v/>
      </c>
      <c r="H2524" s="4">
        <f>IF(E2524=0,"",F2524/E2524-1)</f>
        <v/>
      </c>
      <c r="I2524" t="inlineStr"/>
    </row>
    <row r="2525">
      <c r="A2525" t="inlineStr">
        <is>
          <t>Base metals &amp; articles</t>
        </is>
      </c>
      <c r="B2525" t="inlineStr">
        <is>
          <t>73</t>
        </is>
      </c>
      <c r="C2525" t="inlineStr">
        <is>
          <t>73029090</t>
        </is>
      </c>
      <c r="D2525" t="inlineStr">
        <is>
          <t>OTHERS-OF-OTHR RLY/TRAMWAY TRACK CNSTRCTN MATRLS</t>
        </is>
      </c>
      <c r="E2525" s="3" t="n">
        <v>0.09</v>
      </c>
      <c r="F2525" s="3" t="n">
        <v>0.1</v>
      </c>
      <c r="G2525" s="3">
        <f>F2525-E2525</f>
        <v/>
      </c>
      <c r="H2525" s="4">
        <f>IF(E2525=0,"",F2525/E2525-1)</f>
        <v/>
      </c>
      <c r="I2525" t="inlineStr"/>
    </row>
    <row r="2526">
      <c r="A2526" t="inlineStr">
        <is>
          <t>Base metals &amp; articles</t>
        </is>
      </c>
      <c r="B2526" t="inlineStr">
        <is>
          <t>73</t>
        </is>
      </c>
      <c r="C2526" t="inlineStr">
        <is>
          <t>73043111</t>
        </is>
      </c>
      <c r="D2526" t="inlineStr">
        <is>
          <t>IRON MADE UPTO 114.3 MM OUTER DIAMETER</t>
        </is>
      </c>
      <c r="E2526" s="3" t="n">
        <v>1.07</v>
      </c>
      <c r="F2526" s="3" t="n">
        <v>0.1</v>
      </c>
      <c r="G2526" s="3">
        <f>F2526-E2526</f>
        <v/>
      </c>
      <c r="H2526" s="4">
        <f>IF(E2526=0,"",F2526/E2526-1)</f>
        <v/>
      </c>
      <c r="I2526" t="inlineStr"/>
    </row>
    <row r="2527">
      <c r="A2527" t="inlineStr">
        <is>
          <t>Base metals &amp; articles</t>
        </is>
      </c>
      <c r="B2527" t="inlineStr">
        <is>
          <t>73</t>
        </is>
      </c>
      <c r="C2527" t="inlineStr">
        <is>
          <t>73053990</t>
        </is>
      </c>
      <c r="D2527" t="inlineStr">
        <is>
          <t>*OTHER TUBES PIPES ETC,OTHERWISE WELDED MADE UO OF OTHER</t>
        </is>
      </c>
      <c r="E2527" s="3" t="n">
        <v>0</v>
      </c>
      <c r="F2527" s="3" t="n">
        <v>0.1</v>
      </c>
      <c r="G2527" s="3">
        <f>F2527-E2527</f>
        <v/>
      </c>
      <c r="H2527" s="4">
        <f>IF(E2527=0,"",F2527/E2527-1)</f>
        <v/>
      </c>
      <c r="I2527" t="inlineStr"/>
    </row>
    <row r="2528">
      <c r="A2528" t="inlineStr">
        <is>
          <t>Base metals &amp; articles</t>
        </is>
      </c>
      <c r="B2528" t="inlineStr">
        <is>
          <t>73</t>
        </is>
      </c>
      <c r="C2528" t="inlineStr">
        <is>
          <t>73269010</t>
        </is>
      </c>
      <c r="D2528" t="inlineStr">
        <is>
          <t>BELT LACING OF STEEL</t>
        </is>
      </c>
      <c r="E2528" s="3" t="n">
        <v>0.01</v>
      </c>
      <c r="F2528" s="3" t="n">
        <v>0.1</v>
      </c>
      <c r="G2528" s="3">
        <f>F2528-E2528</f>
        <v/>
      </c>
      <c r="H2528" s="4">
        <f>IF(E2528=0,"",F2528/E2528-1)</f>
        <v/>
      </c>
      <c r="I2528" t="inlineStr"/>
    </row>
    <row r="2529">
      <c r="A2529" t="inlineStr">
        <is>
          <t>Base metals &amp; articles</t>
        </is>
      </c>
      <c r="B2529" t="inlineStr">
        <is>
          <t>75</t>
        </is>
      </c>
      <c r="C2529" t="inlineStr">
        <is>
          <t>75051220</t>
        </is>
      </c>
      <c r="D2529" t="inlineStr">
        <is>
          <t>BARS,RODS AND PROFILES OF NICKEL ALLOYS</t>
        </is>
      </c>
      <c r="E2529" s="3" t="n">
        <v>0.14</v>
      </c>
      <c r="F2529" s="3" t="n">
        <v>0.1</v>
      </c>
      <c r="G2529" s="3">
        <f>F2529-E2529</f>
        <v/>
      </c>
      <c r="H2529" s="4">
        <f>IF(E2529=0,"",F2529/E2529-1)</f>
        <v/>
      </c>
      <c r="I2529" t="inlineStr"/>
    </row>
    <row r="2530">
      <c r="A2530" t="inlineStr">
        <is>
          <t>Base metals &amp; articles</t>
        </is>
      </c>
      <c r="B2530" t="inlineStr">
        <is>
          <t>78</t>
        </is>
      </c>
      <c r="C2530" t="inlineStr">
        <is>
          <t>78011000</t>
        </is>
      </c>
      <c r="D2530" t="inlineStr">
        <is>
          <t>REFINED LEAD</t>
        </is>
      </c>
      <c r="E2530" s="3" t="n">
        <v>0.63</v>
      </c>
      <c r="F2530" s="3" t="n">
        <v>0.1</v>
      </c>
      <c r="G2530" s="3">
        <f>F2530-E2530</f>
        <v/>
      </c>
      <c r="H2530" s="4">
        <f>IF(E2530=0,"",F2530/E2530-1)</f>
        <v/>
      </c>
      <c r="I2530" t="inlineStr"/>
    </row>
    <row r="2531">
      <c r="A2531" t="inlineStr">
        <is>
          <t>Base metals &amp; articles</t>
        </is>
      </c>
      <c r="B2531" t="inlineStr">
        <is>
          <t>82</t>
        </is>
      </c>
      <c r="C2531" t="inlineStr">
        <is>
          <t>82041110</t>
        </is>
      </c>
      <c r="D2531" t="inlineStr">
        <is>
          <t>HND-OPRTED SPANERS NON ADJUSTABLE</t>
        </is>
      </c>
      <c r="E2531" s="3" t="n">
        <v>0.21</v>
      </c>
      <c r="F2531" s="3" t="n">
        <v>0.1</v>
      </c>
      <c r="G2531" s="3">
        <f>F2531-E2531</f>
        <v/>
      </c>
      <c r="H2531" s="4">
        <f>IF(E2531=0,"",F2531/E2531-1)</f>
        <v/>
      </c>
      <c r="I2531" t="inlineStr"/>
    </row>
    <row r="2532">
      <c r="A2532" t="inlineStr">
        <is>
          <t>Base metals &amp; articles</t>
        </is>
      </c>
      <c r="B2532" t="inlineStr">
        <is>
          <t>82</t>
        </is>
      </c>
      <c r="C2532" t="inlineStr">
        <is>
          <t>82041210</t>
        </is>
      </c>
      <c r="D2532" t="inlineStr">
        <is>
          <t>HND-OPRTED SPANERS-ADJUSTABLE</t>
        </is>
      </c>
      <c r="E2532" s="3" t="n">
        <v>0.02</v>
      </c>
      <c r="F2532" s="3" t="n">
        <v>0.1</v>
      </c>
      <c r="G2532" s="3">
        <f>F2532-E2532</f>
        <v/>
      </c>
      <c r="H2532" s="4">
        <f>IF(E2532=0,"",F2532/E2532-1)</f>
        <v/>
      </c>
      <c r="I2532" t="inlineStr"/>
    </row>
    <row r="2533">
      <c r="A2533" t="inlineStr">
        <is>
          <t>Base metals &amp; articles</t>
        </is>
      </c>
      <c r="B2533" t="inlineStr">
        <is>
          <t>82</t>
        </is>
      </c>
      <c r="C2533" t="inlineStr">
        <is>
          <t>82041220</t>
        </is>
      </c>
      <c r="D2533" t="inlineStr">
        <is>
          <t>HND-OPRTED WRENCHS(EX TAPE WRENCHS)ADJSTBL</t>
        </is>
      </c>
      <c r="E2533" s="3" t="n">
        <v>0.06</v>
      </c>
      <c r="F2533" s="3" t="n">
        <v>0.1</v>
      </c>
      <c r="G2533" s="3">
        <f>F2533-E2533</f>
        <v/>
      </c>
      <c r="H2533" s="4">
        <f>IF(E2533=0,"",F2533/E2533-1)</f>
        <v/>
      </c>
      <c r="I2533" t="inlineStr"/>
    </row>
    <row r="2534">
      <c r="A2534" t="inlineStr">
        <is>
          <t>Base metals &amp; articles</t>
        </is>
      </c>
      <c r="B2534" t="inlineStr">
        <is>
          <t>82</t>
        </is>
      </c>
      <c r="C2534" t="inlineStr">
        <is>
          <t>82051000</t>
        </is>
      </c>
      <c r="D2534" t="inlineStr">
        <is>
          <t>DRILLING THREADING OR TAPING TOOLS</t>
        </is>
      </c>
      <c r="E2534" s="3" t="n">
        <v>0.12</v>
      </c>
      <c r="F2534" s="3" t="n">
        <v>0.1</v>
      </c>
      <c r="G2534" s="3">
        <f>F2534-E2534</f>
        <v/>
      </c>
      <c r="H2534" s="4">
        <f>IF(E2534=0,"",F2534/E2534-1)</f>
        <v/>
      </c>
      <c r="I2534" t="inlineStr"/>
    </row>
    <row r="2535">
      <c r="A2535" t="inlineStr">
        <is>
          <t>Base metals &amp; articles</t>
        </is>
      </c>
      <c r="B2535" t="inlineStr">
        <is>
          <t>82</t>
        </is>
      </c>
      <c r="C2535" t="inlineStr">
        <is>
          <t>82055930</t>
        </is>
      </c>
      <c r="D2535" t="inlineStr">
        <is>
          <t>HAND T00LS F0R SPECIFIED USES, SUCH AS,WATCH MAKNG T00LS,G0LDSMITH TOOLS</t>
        </is>
      </c>
      <c r="E2535" s="3" t="n">
        <v>0</v>
      </c>
      <c r="F2535" s="3" t="n">
        <v>0.1</v>
      </c>
      <c r="G2535" s="3">
        <f>F2535-E2535</f>
        <v/>
      </c>
      <c r="H2535" s="4">
        <f>IF(E2535=0,"",F2535/E2535-1)</f>
        <v/>
      </c>
      <c r="I2535" t="inlineStr"/>
    </row>
    <row r="2536">
      <c r="A2536" t="inlineStr">
        <is>
          <t>Base metals &amp; articles</t>
        </is>
      </c>
      <c r="B2536" t="inlineStr">
        <is>
          <t>72</t>
        </is>
      </c>
      <c r="C2536" t="inlineStr">
        <is>
          <t>72193290</t>
        </is>
      </c>
      <c r="D2536" t="inlineStr">
        <is>
          <t>OTHR COLD-ROLD PRDCTS OF THCKNS&gt;=3MM BUT &lt; 4.75MM N.E.S.</t>
        </is>
      </c>
      <c r="E2536" s="3" t="n">
        <v>0.22</v>
      </c>
      <c r="F2536" s="3" t="n">
        <v>0.09</v>
      </c>
      <c r="G2536" s="3">
        <f>F2536-E2536</f>
        <v/>
      </c>
      <c r="H2536" s="4">
        <f>IF(E2536=0,"",F2536/E2536-1)</f>
        <v/>
      </c>
      <c r="I2536" t="inlineStr"/>
    </row>
    <row r="2537">
      <c r="A2537" t="inlineStr">
        <is>
          <t>Base metals &amp; articles</t>
        </is>
      </c>
      <c r="B2537" t="inlineStr">
        <is>
          <t>73</t>
        </is>
      </c>
      <c r="C2537" t="inlineStr">
        <is>
          <t>73045930</t>
        </is>
      </c>
      <c r="D2537" t="inlineStr">
        <is>
          <t>TUBS/PIPS ETC OF CRCLR CRSS-SECTN WITH OUTR DIAMTR&gt;219.1 MM,NT CLD RLD</t>
        </is>
      </c>
      <c r="E2537" s="3" t="n">
        <v>0.2</v>
      </c>
      <c r="F2537" s="3" t="n">
        <v>0.09</v>
      </c>
      <c r="G2537" s="3">
        <f>F2537-E2537</f>
        <v/>
      </c>
      <c r="H2537" s="4">
        <f>IF(E2537=0,"",F2537/E2537-1)</f>
        <v/>
      </c>
      <c r="I2537" t="inlineStr"/>
    </row>
    <row r="2538">
      <c r="A2538" t="inlineStr">
        <is>
          <t>Base metals &amp; articles</t>
        </is>
      </c>
      <c r="B2538" t="inlineStr">
        <is>
          <t>73</t>
        </is>
      </c>
      <c r="C2538" t="inlineStr">
        <is>
          <t>73079110</t>
        </is>
      </c>
      <c r="D2538" t="inlineStr">
        <is>
          <t>GALVANISED</t>
        </is>
      </c>
      <c r="E2538" s="3" t="n">
        <v>0.04</v>
      </c>
      <c r="F2538" s="3" t="n">
        <v>0.09</v>
      </c>
      <c r="G2538" s="3">
        <f>F2538-E2538</f>
        <v/>
      </c>
      <c r="H2538" s="4">
        <f>IF(E2538=0,"",F2538/E2538-1)</f>
        <v/>
      </c>
      <c r="I2538" t="inlineStr"/>
    </row>
    <row r="2539">
      <c r="A2539" t="inlineStr">
        <is>
          <t>Base metals &amp; articles</t>
        </is>
      </c>
      <c r="B2539" t="inlineStr">
        <is>
          <t>73</t>
        </is>
      </c>
      <c r="C2539" t="inlineStr">
        <is>
          <t>73145000</t>
        </is>
      </c>
      <c r="D2539" t="inlineStr">
        <is>
          <t>EXPANDED METAL OF IRON OR STEEL</t>
        </is>
      </c>
      <c r="E2539" s="3" t="n">
        <v>0</v>
      </c>
      <c r="F2539" s="3" t="n">
        <v>0.09</v>
      </c>
      <c r="G2539" s="3">
        <f>F2539-E2539</f>
        <v/>
      </c>
      <c r="H2539" s="4">
        <f>IF(E2539=0,"",F2539/E2539-1)</f>
        <v/>
      </c>
      <c r="I2539" t="inlineStr"/>
    </row>
    <row r="2540">
      <c r="A2540" t="inlineStr">
        <is>
          <t>Base metals &amp; articles</t>
        </is>
      </c>
      <c r="B2540" t="inlineStr">
        <is>
          <t>73</t>
        </is>
      </c>
      <c r="C2540" t="inlineStr">
        <is>
          <t>73151210</t>
        </is>
      </c>
      <c r="D2540" t="inlineStr">
        <is>
          <t>LIFTING AND HOISTING CHAIN</t>
        </is>
      </c>
      <c r="E2540" s="3" t="n">
        <v>0.02</v>
      </c>
      <c r="F2540" s="3" t="n">
        <v>0.09</v>
      </c>
      <c r="G2540" s="3">
        <f>F2540-E2540</f>
        <v/>
      </c>
      <c r="H2540" s="4">
        <f>IF(E2540=0,"",F2540/E2540-1)</f>
        <v/>
      </c>
      <c r="I2540" t="inlineStr"/>
    </row>
    <row r="2541">
      <c r="A2541" t="inlineStr">
        <is>
          <t>Base metals &amp; articles</t>
        </is>
      </c>
      <c r="B2541" t="inlineStr">
        <is>
          <t>82</t>
        </is>
      </c>
      <c r="C2541" t="inlineStr">
        <is>
          <t>82014000</t>
        </is>
      </c>
      <c r="D2541" t="inlineStr">
        <is>
          <t>AXES BILLHOOKS AND SIMLR HEWING TOOLS</t>
        </is>
      </c>
      <c r="E2541" s="3" t="n">
        <v>0</v>
      </c>
      <c r="F2541" s="3" t="n">
        <v>0.09</v>
      </c>
      <c r="G2541" s="3">
        <f>F2541-E2541</f>
        <v/>
      </c>
      <c r="H2541" s="4">
        <f>IF(E2541=0,"",F2541/E2541-1)</f>
        <v/>
      </c>
      <c r="I2541" t="inlineStr"/>
    </row>
    <row r="2542">
      <c r="A2542" t="inlineStr">
        <is>
          <t>Base metals &amp; articles</t>
        </is>
      </c>
      <c r="B2542" t="inlineStr">
        <is>
          <t>82</t>
        </is>
      </c>
      <c r="C2542" t="inlineStr">
        <is>
          <t>82022000</t>
        </is>
      </c>
      <c r="D2542" t="inlineStr">
        <is>
          <t>BAND SAW BLADES</t>
        </is>
      </c>
      <c r="E2542" s="3" t="n">
        <v>0.1</v>
      </c>
      <c r="F2542" s="3" t="n">
        <v>0.09</v>
      </c>
      <c r="G2542" s="3">
        <f>F2542-E2542</f>
        <v/>
      </c>
      <c r="H2542" s="4">
        <f>IF(E2542=0,"",F2542/E2542-1)</f>
        <v/>
      </c>
      <c r="I2542" t="inlineStr"/>
    </row>
    <row r="2543">
      <c r="A2543" t="inlineStr">
        <is>
          <t>Base metals &amp; articles</t>
        </is>
      </c>
      <c r="B2543" t="inlineStr">
        <is>
          <t>82</t>
        </is>
      </c>
      <c r="C2543" t="inlineStr">
        <is>
          <t>82055920</t>
        </is>
      </c>
      <c r="D2543" t="inlineStr">
        <is>
          <t>METAL WORKING HND TOOLS</t>
        </is>
      </c>
      <c r="E2543" s="3" t="n">
        <v>0.14</v>
      </c>
      <c r="F2543" s="3" t="n">
        <v>0.09</v>
      </c>
      <c r="G2543" s="3">
        <f>F2543-E2543</f>
        <v/>
      </c>
      <c r="H2543" s="4">
        <f>IF(E2543=0,"",F2543/E2543-1)</f>
        <v/>
      </c>
      <c r="I2543" t="inlineStr"/>
    </row>
    <row r="2544">
      <c r="A2544" t="inlineStr">
        <is>
          <t>Base metals &amp; articles</t>
        </is>
      </c>
      <c r="B2544" t="inlineStr">
        <is>
          <t>82</t>
        </is>
      </c>
      <c r="C2544" t="inlineStr">
        <is>
          <t>82152000</t>
        </is>
      </c>
      <c r="D2544" t="inlineStr">
        <is>
          <t>OTHR SETS OF ASORTD ARTICLS</t>
        </is>
      </c>
      <c r="E2544" s="3" t="n">
        <v>0.31</v>
      </c>
      <c r="F2544" s="3" t="n">
        <v>0.09</v>
      </c>
      <c r="G2544" s="3">
        <f>F2544-E2544</f>
        <v/>
      </c>
      <c r="H2544" s="4">
        <f>IF(E2544=0,"",F2544/E2544-1)</f>
        <v/>
      </c>
      <c r="I2544" t="inlineStr"/>
    </row>
    <row r="2545">
      <c r="A2545" t="inlineStr">
        <is>
          <t>Base metals &amp; articles</t>
        </is>
      </c>
      <c r="B2545" t="inlineStr">
        <is>
          <t>72</t>
        </is>
      </c>
      <c r="C2545" t="inlineStr">
        <is>
          <t>72083640</t>
        </is>
      </c>
      <c r="D2545" t="inlineStr">
        <is>
          <t>STRIPS OF FLAT-ROLD PRDCTS IN COILS OF A THCKNS&lt; 10MM HOT-ROLD,EXCL. PICKLD</t>
        </is>
      </c>
      <c r="E2545" s="3" t="n">
        <v>0.16</v>
      </c>
      <c r="F2545" s="3" t="n">
        <v>0.08</v>
      </c>
      <c r="G2545" s="3">
        <f>F2545-E2545</f>
        <v/>
      </c>
      <c r="H2545" s="4">
        <f>IF(E2545=0,"",F2545/E2545-1)</f>
        <v/>
      </c>
      <c r="I2545" t="inlineStr"/>
    </row>
    <row r="2546">
      <c r="A2546" t="inlineStr">
        <is>
          <t>Base metals &amp; articles</t>
        </is>
      </c>
      <c r="B2546" t="inlineStr">
        <is>
          <t>72</t>
        </is>
      </c>
      <c r="C2546" t="inlineStr">
        <is>
          <t>72199013</t>
        </is>
      </c>
      <c r="D2546" t="inlineStr">
        <is>
          <t>SHEETS AND PLATES&lt;3 MM,WORKED</t>
        </is>
      </c>
      <c r="E2546" s="3" t="n">
        <v>0.19</v>
      </c>
      <c r="F2546" s="3" t="n">
        <v>0.08</v>
      </c>
      <c r="G2546" s="3">
        <f>F2546-E2546</f>
        <v/>
      </c>
      <c r="H2546" s="4">
        <f>IF(E2546=0,"",F2546/E2546-1)</f>
        <v/>
      </c>
      <c r="I2546" t="inlineStr"/>
    </row>
    <row r="2547">
      <c r="A2547" t="inlineStr">
        <is>
          <t>Base metals &amp; articles</t>
        </is>
      </c>
      <c r="B2547" t="inlineStr">
        <is>
          <t>72</t>
        </is>
      </c>
      <c r="C2547" t="inlineStr">
        <is>
          <t>72224010</t>
        </is>
      </c>
      <c r="D2547" t="inlineStr">
        <is>
          <t>ANGLES ETC.OF 80 MM OR MORE</t>
        </is>
      </c>
      <c r="E2547" s="3" t="n">
        <v>0.14</v>
      </c>
      <c r="F2547" s="3" t="n">
        <v>0.08</v>
      </c>
      <c r="G2547" s="3">
        <f>F2547-E2547</f>
        <v/>
      </c>
      <c r="H2547" s="4">
        <f>IF(E2547=0,"",F2547/E2547-1)</f>
        <v/>
      </c>
      <c r="I2547" t="inlineStr"/>
    </row>
    <row r="2548">
      <c r="A2548" t="inlineStr">
        <is>
          <t>Base metals &amp; articles</t>
        </is>
      </c>
      <c r="B2548" t="inlineStr">
        <is>
          <t>73</t>
        </is>
      </c>
      <c r="C2548" t="inlineStr">
        <is>
          <t>73043929</t>
        </is>
      </c>
      <c r="D2548" t="inlineStr">
        <is>
          <t>OTHER &gt; 114.3 MM AND &lt;= 219.1 MM OUTER DIA</t>
        </is>
      </c>
      <c r="E2548" s="3" t="n">
        <v>0.17</v>
      </c>
      <c r="F2548" s="3" t="n">
        <v>0.08</v>
      </c>
      <c r="G2548" s="3">
        <f>F2548-E2548</f>
        <v/>
      </c>
      <c r="H2548" s="4">
        <f>IF(E2548=0,"",F2548/E2548-1)</f>
        <v/>
      </c>
      <c r="I2548" t="inlineStr"/>
    </row>
    <row r="2549">
      <c r="A2549" t="inlineStr">
        <is>
          <t>Base metals &amp; articles</t>
        </is>
      </c>
      <c r="B2549" t="inlineStr">
        <is>
          <t>73</t>
        </is>
      </c>
      <c r="C2549" t="inlineStr">
        <is>
          <t>73259991</t>
        </is>
      </c>
      <c r="D2549" t="inlineStr">
        <is>
          <t>RUDDERS EQUIPMENT FOR SHIPS OR BOATS</t>
        </is>
      </c>
      <c r="E2549" s="3" t="n">
        <v>0.04</v>
      </c>
      <c r="F2549" s="3" t="n">
        <v>0.08</v>
      </c>
      <c r="G2549" s="3">
        <f>F2549-E2549</f>
        <v/>
      </c>
      <c r="H2549" s="4">
        <f>IF(E2549=0,"",F2549/E2549-1)</f>
        <v/>
      </c>
      <c r="I2549" t="inlineStr"/>
    </row>
    <row r="2550">
      <c r="A2550" t="inlineStr">
        <is>
          <t>Base metals &amp; articles</t>
        </is>
      </c>
      <c r="B2550" t="inlineStr">
        <is>
          <t>74</t>
        </is>
      </c>
      <c r="C2550" t="inlineStr">
        <is>
          <t>74122090</t>
        </is>
      </c>
      <c r="D2550" t="inlineStr">
        <is>
          <t>FITTINGS OF BRNZ AND SMLR ALOYS OF COPR NES</t>
        </is>
      </c>
      <c r="E2550" s="3" t="n">
        <v>0.28</v>
      </c>
      <c r="F2550" s="3" t="n">
        <v>0.08</v>
      </c>
      <c r="G2550" s="3">
        <f>F2550-E2550</f>
        <v/>
      </c>
      <c r="H2550" s="4">
        <f>IF(E2550=0,"",F2550/E2550-1)</f>
        <v/>
      </c>
      <c r="I2550" t="inlineStr"/>
    </row>
    <row r="2551">
      <c r="A2551" t="inlineStr">
        <is>
          <t>Base metals &amp; articles</t>
        </is>
      </c>
      <c r="B2551" t="inlineStr">
        <is>
          <t>76</t>
        </is>
      </c>
      <c r="C2551" t="inlineStr">
        <is>
          <t>76011010</t>
        </is>
      </c>
      <c r="D2551" t="inlineStr">
        <is>
          <t>ALUMINIUM INGOTS-NOT ALLOYED</t>
        </is>
      </c>
      <c r="E2551" s="3" t="n">
        <v>0</v>
      </c>
      <c r="F2551" s="3" t="n">
        <v>0.08</v>
      </c>
      <c r="G2551" s="3">
        <f>F2551-E2551</f>
        <v/>
      </c>
      <c r="H2551" s="4">
        <f>IF(E2551=0,"",F2551/E2551-1)</f>
        <v/>
      </c>
      <c r="I2551" t="inlineStr"/>
    </row>
    <row r="2552">
      <c r="A2552" t="inlineStr">
        <is>
          <t>Base metals &amp; articles</t>
        </is>
      </c>
      <c r="B2552" t="inlineStr">
        <is>
          <t>76</t>
        </is>
      </c>
      <c r="C2552" t="inlineStr">
        <is>
          <t>76130099</t>
        </is>
      </c>
      <c r="D2552" t="inlineStr">
        <is>
          <t>OTHER CYLINDER N.E.S.</t>
        </is>
      </c>
      <c r="E2552" s="3" t="n">
        <v>0.04</v>
      </c>
      <c r="F2552" s="3" t="n">
        <v>0.08</v>
      </c>
      <c r="G2552" s="3">
        <f>F2552-E2552</f>
        <v/>
      </c>
      <c r="H2552" s="4">
        <f>IF(E2552=0,"",F2552/E2552-1)</f>
        <v/>
      </c>
      <c r="I2552" t="inlineStr"/>
    </row>
    <row r="2553">
      <c r="A2553" t="inlineStr">
        <is>
          <t>Base metals &amp; articles</t>
        </is>
      </c>
      <c r="B2553" t="inlineStr">
        <is>
          <t>82</t>
        </is>
      </c>
      <c r="C2553" t="inlineStr">
        <is>
          <t>82041120</t>
        </is>
      </c>
      <c r="D2553" t="inlineStr">
        <is>
          <t>HND-OPRTED WRENCHS(EXCLD TAP WRENCHS) NON-ADJUSTABLE</t>
        </is>
      </c>
      <c r="E2553" s="3" t="n">
        <v>0.21</v>
      </c>
      <c r="F2553" s="3" t="n">
        <v>0.08</v>
      </c>
      <c r="G2553" s="3">
        <f>F2553-E2553</f>
        <v/>
      </c>
      <c r="H2553" s="4">
        <f>IF(E2553=0,"",F2553/E2553-1)</f>
        <v/>
      </c>
      <c r="I2553" t="inlineStr"/>
    </row>
    <row r="2554">
      <c r="A2554" t="inlineStr">
        <is>
          <t>Base metals &amp; articles</t>
        </is>
      </c>
      <c r="B2554" t="inlineStr">
        <is>
          <t>83</t>
        </is>
      </c>
      <c r="C2554" t="inlineStr">
        <is>
          <t>83016000</t>
        </is>
      </c>
      <c r="D2554" t="inlineStr">
        <is>
          <t>PARTS OF ARTICLES IN HDG 8301</t>
        </is>
      </c>
      <c r="E2554" s="3" t="n">
        <v>0.01</v>
      </c>
      <c r="F2554" s="3" t="n">
        <v>0.08</v>
      </c>
      <c r="G2554" s="3">
        <f>F2554-E2554</f>
        <v/>
      </c>
      <c r="H2554" s="4">
        <f>IF(E2554=0,"",F2554/E2554-1)</f>
        <v/>
      </c>
      <c r="I2554" t="inlineStr"/>
    </row>
    <row r="2555">
      <c r="A2555" t="inlineStr">
        <is>
          <t>Base metals &amp; articles</t>
        </is>
      </c>
      <c r="B2555" t="inlineStr">
        <is>
          <t>83</t>
        </is>
      </c>
      <c r="C2555" t="inlineStr">
        <is>
          <t>83024110</t>
        </is>
      </c>
      <c r="D2555" t="inlineStr">
        <is>
          <t>FITTINGS FOR DOORS AND WINDOWS</t>
        </is>
      </c>
      <c r="E2555" s="3" t="n">
        <v>0.13</v>
      </c>
      <c r="F2555" s="3" t="n">
        <v>0.08</v>
      </c>
      <c r="G2555" s="3">
        <f>F2555-E2555</f>
        <v/>
      </c>
      <c r="H2555" s="4">
        <f>IF(E2555=0,"",F2555/E2555-1)</f>
        <v/>
      </c>
      <c r="I2555" t="inlineStr"/>
    </row>
    <row r="2556">
      <c r="A2556" t="inlineStr">
        <is>
          <t>Base metals &amp; articles</t>
        </is>
      </c>
      <c r="B2556" t="inlineStr">
        <is>
          <t>72</t>
        </is>
      </c>
      <c r="C2556" t="inlineStr">
        <is>
          <t>72104100</t>
        </is>
      </c>
      <c r="D2556" t="inlineStr">
        <is>
          <t>CORUGATD PRDCTS,OTHRWS PLTD/COATD WTH ZINC</t>
        </is>
      </c>
      <c r="E2556" s="3" t="n">
        <v>0</v>
      </c>
      <c r="F2556" s="3" t="n">
        <v>0.07000000000000001</v>
      </c>
      <c r="G2556" s="3">
        <f>F2556-E2556</f>
        <v/>
      </c>
      <c r="H2556" s="4">
        <f>IF(E2556=0,"",F2556/E2556-1)</f>
        <v/>
      </c>
      <c r="I2556" t="inlineStr"/>
    </row>
    <row r="2557">
      <c r="A2557" t="inlineStr">
        <is>
          <t>Base metals &amp; articles</t>
        </is>
      </c>
      <c r="B2557" t="inlineStr">
        <is>
          <t>72</t>
        </is>
      </c>
      <c r="C2557" t="inlineStr">
        <is>
          <t>72192299</t>
        </is>
      </c>
      <c r="D2557" t="inlineStr">
        <is>
          <t>OTHR UNVRSL PLATS OF STAINLESS STL OR HEATRESISTANCE STL OF OTHR N.E.S.</t>
        </is>
      </c>
      <c r="E2557" s="3" t="n">
        <v>3.05</v>
      </c>
      <c r="F2557" s="3" t="n">
        <v>0.07000000000000001</v>
      </c>
      <c r="G2557" s="3">
        <f>F2557-E2557</f>
        <v/>
      </c>
      <c r="H2557" s="4">
        <f>IF(E2557=0,"",F2557/E2557-1)</f>
        <v/>
      </c>
      <c r="I2557" t="inlineStr"/>
    </row>
    <row r="2558">
      <c r="A2558" t="inlineStr">
        <is>
          <t>Base metals &amp; articles</t>
        </is>
      </c>
      <c r="B2558" t="inlineStr">
        <is>
          <t>73</t>
        </is>
      </c>
      <c r="C2558" t="inlineStr">
        <is>
          <t>73045130</t>
        </is>
      </c>
      <c r="D2558" t="inlineStr">
        <is>
          <t>TUBES,PIPES ETC OF CRCLR CRSS-SECTN WITH OUTR DIAMTR&gt;219.1 MM,CLD RLD</t>
        </is>
      </c>
      <c r="E2558" s="3" t="n">
        <v>0</v>
      </c>
      <c r="F2558" s="3" t="n">
        <v>0.07000000000000001</v>
      </c>
      <c r="G2558" s="3">
        <f>F2558-E2558</f>
        <v/>
      </c>
      <c r="H2558" s="4">
        <f>IF(E2558=0,"",F2558/E2558-1)</f>
        <v/>
      </c>
      <c r="I2558" t="inlineStr"/>
    </row>
    <row r="2559">
      <c r="A2559" t="inlineStr">
        <is>
          <t>Base metals &amp; articles</t>
        </is>
      </c>
      <c r="B2559" t="inlineStr">
        <is>
          <t>73</t>
        </is>
      </c>
      <c r="C2559" t="inlineStr">
        <is>
          <t>73079210</t>
        </is>
      </c>
      <c r="D2559" t="inlineStr">
        <is>
          <t>GALVANISED</t>
        </is>
      </c>
      <c r="E2559" s="3" t="n">
        <v>0.08</v>
      </c>
      <c r="F2559" s="3" t="n">
        <v>0.07000000000000001</v>
      </c>
      <c r="G2559" s="3">
        <f>F2559-E2559</f>
        <v/>
      </c>
      <c r="H2559" s="4">
        <f>IF(E2559=0,"",F2559/E2559-1)</f>
        <v/>
      </c>
      <c r="I2559" t="inlineStr"/>
    </row>
    <row r="2560">
      <c r="A2560" t="inlineStr">
        <is>
          <t>Base metals &amp; articles</t>
        </is>
      </c>
      <c r="B2560" t="inlineStr">
        <is>
          <t>73</t>
        </is>
      </c>
      <c r="C2560" t="inlineStr">
        <is>
          <t>73160090</t>
        </is>
      </c>
      <c r="D2560" t="inlineStr">
        <is>
          <t>PARTS</t>
        </is>
      </c>
      <c r="E2560" s="3" t="n">
        <v>0.17</v>
      </c>
      <c r="F2560" s="3" t="n">
        <v>0.07000000000000001</v>
      </c>
      <c r="G2560" s="3">
        <f>F2560-E2560</f>
        <v/>
      </c>
      <c r="H2560" s="4">
        <f>IF(E2560=0,"",F2560/E2560-1)</f>
        <v/>
      </c>
      <c r="I2560" t="inlineStr"/>
    </row>
    <row r="2561">
      <c r="A2561" t="inlineStr">
        <is>
          <t>Base metals &amp; articles</t>
        </is>
      </c>
      <c r="B2561" t="inlineStr">
        <is>
          <t>76</t>
        </is>
      </c>
      <c r="C2561" t="inlineStr">
        <is>
          <t>76012010</t>
        </is>
      </c>
      <c r="D2561" t="inlineStr">
        <is>
          <t>ALUMINIUM INGOTS -ALLOYED</t>
        </is>
      </c>
      <c r="E2561" s="3" t="n">
        <v>0</v>
      </c>
      <c r="F2561" s="3" t="n">
        <v>0.07000000000000001</v>
      </c>
      <c r="G2561" s="3">
        <f>F2561-E2561</f>
        <v/>
      </c>
      <c r="H2561" s="4">
        <f>IF(E2561=0,"",F2561/E2561-1)</f>
        <v/>
      </c>
      <c r="I2561" t="inlineStr"/>
    </row>
    <row r="2562">
      <c r="A2562" t="inlineStr">
        <is>
          <t>Base metals &amp; articles</t>
        </is>
      </c>
      <c r="B2562" t="inlineStr">
        <is>
          <t>82</t>
        </is>
      </c>
      <c r="C2562" t="inlineStr">
        <is>
          <t>82055190</t>
        </is>
      </c>
      <c r="D2562" t="inlineStr">
        <is>
          <t>OTHER HOUSEHOLD HAND TOOLS</t>
        </is>
      </c>
      <c r="E2562" s="3" t="n">
        <v>0.03</v>
      </c>
      <c r="F2562" s="3" t="n">
        <v>0.07000000000000001</v>
      </c>
      <c r="G2562" s="3">
        <f>F2562-E2562</f>
        <v/>
      </c>
      <c r="H2562" s="4">
        <f>IF(E2562=0,"",F2562/E2562-1)</f>
        <v/>
      </c>
      <c r="I2562" t="inlineStr"/>
    </row>
    <row r="2563">
      <c r="A2563" t="inlineStr">
        <is>
          <t>Base metals &amp; articles</t>
        </is>
      </c>
      <c r="B2563" t="inlineStr">
        <is>
          <t>82</t>
        </is>
      </c>
      <c r="C2563" t="inlineStr">
        <is>
          <t>82090090</t>
        </is>
      </c>
      <c r="D2563" t="inlineStr">
        <is>
          <t>OTHERS-OF-PLTES STIKS TIPS AND LIKE FOR TLS,UNMOUNTDOF CERMETS</t>
        </is>
      </c>
      <c r="E2563" s="3" t="n">
        <v>0.21</v>
      </c>
      <c r="F2563" s="3" t="n">
        <v>0.07000000000000001</v>
      </c>
      <c r="G2563" s="3">
        <f>F2563-E2563</f>
        <v/>
      </c>
      <c r="H2563" s="4">
        <f>IF(E2563=0,"",F2563/E2563-1)</f>
        <v/>
      </c>
      <c r="I2563" t="inlineStr"/>
    </row>
    <row r="2564">
      <c r="A2564" t="inlineStr">
        <is>
          <t>Base metals &amp; articles</t>
        </is>
      </c>
      <c r="B2564" t="inlineStr">
        <is>
          <t>83</t>
        </is>
      </c>
      <c r="C2564" t="inlineStr">
        <is>
          <t>83100010</t>
        </is>
      </c>
      <c r="D2564" t="inlineStr">
        <is>
          <t>ENAMEL IRON SIGNBOARD</t>
        </is>
      </c>
      <c r="E2564" s="3" t="n">
        <v>0.05</v>
      </c>
      <c r="F2564" s="3" t="n">
        <v>0.07000000000000001</v>
      </c>
      <c r="G2564" s="3">
        <f>F2564-E2564</f>
        <v/>
      </c>
      <c r="H2564" s="4">
        <f>IF(E2564=0,"",F2564/E2564-1)</f>
        <v/>
      </c>
      <c r="I2564" t="inlineStr"/>
    </row>
    <row r="2565">
      <c r="A2565" t="inlineStr">
        <is>
          <t>Base metals &amp; articles</t>
        </is>
      </c>
      <c r="B2565" t="inlineStr">
        <is>
          <t>72</t>
        </is>
      </c>
      <c r="C2565" t="inlineStr">
        <is>
          <t>72071920</t>
        </is>
      </c>
      <c r="D2565" t="inlineStr">
        <is>
          <t>MILD STEEL (M.S.) BILLETS</t>
        </is>
      </c>
      <c r="E2565" s="3" t="n">
        <v>0.09</v>
      </c>
      <c r="F2565" s="3" t="n">
        <v>0.06</v>
      </c>
      <c r="G2565" s="3">
        <f>F2565-E2565</f>
        <v/>
      </c>
      <c r="H2565" s="4">
        <f>IF(E2565=0,"",F2565/E2565-1)</f>
        <v/>
      </c>
      <c r="I2565" t="inlineStr"/>
    </row>
    <row r="2566">
      <c r="A2566" t="inlineStr">
        <is>
          <t>Base metals &amp; articles</t>
        </is>
      </c>
      <c r="B2566" t="inlineStr">
        <is>
          <t>72</t>
        </is>
      </c>
      <c r="C2566" t="inlineStr">
        <is>
          <t>72083630</t>
        </is>
      </c>
      <c r="D2566" t="inlineStr">
        <is>
          <t>SHEETS OF FLAT-ROLD PRDCTS IN COILS OF A THCKNS&lt; 10MM HOT-ROLD,EXCL. PICKLD</t>
        </is>
      </c>
      <c r="E2566" s="3" t="n">
        <v>0.01</v>
      </c>
      <c r="F2566" s="3" t="n">
        <v>0.06</v>
      </c>
      <c r="G2566" s="3">
        <f>F2566-E2566</f>
        <v/>
      </c>
      <c r="H2566" s="4">
        <f>IF(E2566=0,"",F2566/E2566-1)</f>
        <v/>
      </c>
      <c r="I2566" t="inlineStr"/>
    </row>
    <row r="2567">
      <c r="A2567" t="inlineStr">
        <is>
          <t>Base metals &amp; articles</t>
        </is>
      </c>
      <c r="B2567" t="inlineStr">
        <is>
          <t>72</t>
        </is>
      </c>
      <c r="C2567" t="inlineStr">
        <is>
          <t>72192211</t>
        </is>
      </c>
      <c r="D2567" t="inlineStr">
        <is>
          <t>CHROMIUM TYPE,OF THCKNS &gt;=4.75 BUT&lt;10MM</t>
        </is>
      </c>
      <c r="E2567" s="3" t="n">
        <v>0.06</v>
      </c>
      <c r="F2567" s="3" t="n">
        <v>0.06</v>
      </c>
      <c r="G2567" s="3">
        <f>F2567-E2567</f>
        <v/>
      </c>
      <c r="H2567" s="4">
        <f>IF(E2567=0,"",F2567/E2567-1)</f>
        <v/>
      </c>
      <c r="I2567" t="inlineStr"/>
    </row>
    <row r="2568">
      <c r="A2568" t="inlineStr">
        <is>
          <t>Base metals &amp; articles</t>
        </is>
      </c>
      <c r="B2568" t="inlineStr">
        <is>
          <t>72</t>
        </is>
      </c>
      <c r="C2568" t="inlineStr">
        <is>
          <t>72201210</t>
        </is>
      </c>
      <c r="D2568" t="inlineStr">
        <is>
          <t>SKELP(STRIPS FOR PIPES AND TUBES)</t>
        </is>
      </c>
      <c r="E2568" s="3" t="n">
        <v>0</v>
      </c>
      <c r="F2568" s="3" t="n">
        <v>0.06</v>
      </c>
      <c r="G2568" s="3">
        <f>F2568-E2568</f>
        <v/>
      </c>
      <c r="H2568" s="4">
        <f>IF(E2568=0,"",F2568/E2568-1)</f>
        <v/>
      </c>
      <c r="I2568" t="inlineStr"/>
    </row>
    <row r="2569">
      <c r="A2569" t="inlineStr">
        <is>
          <t>Base metals &amp; articles</t>
        </is>
      </c>
      <c r="B2569" t="inlineStr">
        <is>
          <t>72</t>
        </is>
      </c>
      <c r="C2569" t="inlineStr">
        <is>
          <t>72288090</t>
        </is>
      </c>
      <c r="D2569" t="inlineStr">
        <is>
          <t>OTHER HOLLOW DRILL BARS AND RODS</t>
        </is>
      </c>
      <c r="E2569" s="3" t="n">
        <v>0.01</v>
      </c>
      <c r="F2569" s="3" t="n">
        <v>0.06</v>
      </c>
      <c r="G2569" s="3">
        <f>F2569-E2569</f>
        <v/>
      </c>
      <c r="H2569" s="4">
        <f>IF(E2569=0,"",F2569/E2569-1)</f>
        <v/>
      </c>
      <c r="I2569" t="inlineStr"/>
    </row>
    <row r="2570">
      <c r="A2570" t="inlineStr">
        <is>
          <t>Base metals &amp; articles</t>
        </is>
      </c>
      <c r="B2570" t="inlineStr">
        <is>
          <t>73</t>
        </is>
      </c>
      <c r="C2570" t="inlineStr">
        <is>
          <t>73158200</t>
        </is>
      </c>
      <c r="D2570" t="inlineStr">
        <is>
          <t>OTHER CHAIN, WELDED LINK</t>
        </is>
      </c>
      <c r="E2570" s="3" t="n">
        <v>0.01</v>
      </c>
      <c r="F2570" s="3" t="n">
        <v>0.06</v>
      </c>
      <c r="G2570" s="3">
        <f>F2570-E2570</f>
        <v/>
      </c>
      <c r="H2570" s="4">
        <f>IF(E2570=0,"",F2570/E2570-1)</f>
        <v/>
      </c>
      <c r="I2570" t="inlineStr"/>
    </row>
    <row r="2571">
      <c r="A2571" t="inlineStr">
        <is>
          <t>Base metals &amp; articles</t>
        </is>
      </c>
      <c r="B2571" t="inlineStr">
        <is>
          <t>74</t>
        </is>
      </c>
      <c r="C2571" t="inlineStr">
        <is>
          <t>74040012</t>
        </is>
      </c>
      <c r="D2571" t="inlineStr">
        <is>
          <t>COPPER SCRAP COVERED BY ISRI CODE BARLEY, BERRY ,BIRCH,CANDY,CLIFF,CLOBE,COBRA, COCOADREAM AND PALMS</t>
        </is>
      </c>
      <c r="E2571" s="3" t="n">
        <v>0</v>
      </c>
      <c r="F2571" s="3" t="n">
        <v>0.06</v>
      </c>
      <c r="G2571" s="3">
        <f>F2571-E2571</f>
        <v/>
      </c>
      <c r="H2571" s="4">
        <f>IF(E2571=0,"",F2571/E2571-1)</f>
        <v/>
      </c>
      <c r="I2571" t="inlineStr"/>
    </row>
    <row r="2572">
      <c r="A2572" t="inlineStr">
        <is>
          <t>Base metals &amp; articles</t>
        </is>
      </c>
      <c r="B2572" t="inlineStr">
        <is>
          <t>74</t>
        </is>
      </c>
      <c r="C2572" t="inlineStr">
        <is>
          <t>74092900</t>
        </is>
      </c>
      <c r="D2572" t="inlineStr">
        <is>
          <t>PLATES,SHEETSANDSTRIP OF COPPER-ZINC BASE (ALLOYS BRASS) NOT IN COILS</t>
        </is>
      </c>
      <c r="E2572" s="3" t="n">
        <v>0.04</v>
      </c>
      <c r="F2572" s="3" t="n">
        <v>0.06</v>
      </c>
      <c r="G2572" s="3">
        <f>F2572-E2572</f>
        <v/>
      </c>
      <c r="H2572" s="4">
        <f>IF(E2572=0,"",F2572/E2572-1)</f>
        <v/>
      </c>
      <c r="I2572" t="inlineStr"/>
    </row>
    <row r="2573">
      <c r="A2573" t="inlineStr">
        <is>
          <t>Base metals &amp; articles</t>
        </is>
      </c>
      <c r="B2573" t="inlineStr">
        <is>
          <t>74</t>
        </is>
      </c>
      <c r="C2573" t="inlineStr">
        <is>
          <t>74182010</t>
        </is>
      </c>
      <c r="D2573" t="inlineStr">
        <is>
          <t>SANITARY WARE</t>
        </is>
      </c>
      <c r="E2573" s="3" t="n">
        <v>0.17</v>
      </c>
      <c r="F2573" s="3" t="n">
        <v>0.06</v>
      </c>
      <c r="G2573" s="3">
        <f>F2573-E2573</f>
        <v/>
      </c>
      <c r="H2573" s="4">
        <f>IF(E2573=0,"",F2573/E2573-1)</f>
        <v/>
      </c>
      <c r="I2573" t="inlineStr"/>
    </row>
    <row r="2574">
      <c r="A2574" t="inlineStr">
        <is>
          <t>Base metals &amp; articles</t>
        </is>
      </c>
      <c r="B2574" t="inlineStr">
        <is>
          <t>74</t>
        </is>
      </c>
      <c r="C2574" t="inlineStr">
        <is>
          <t>74192000</t>
        </is>
      </c>
      <c r="D2574" t="inlineStr">
        <is>
          <t>CAST, MOULDED, STAMPED OR FORGED, BUT NOT FURTHER WORKED</t>
        </is>
      </c>
      <c r="E2574" s="3" t="n">
        <v>0</v>
      </c>
      <c r="F2574" s="3" t="n">
        <v>0.06</v>
      </c>
      <c r="G2574" s="3">
        <f>F2574-E2574</f>
        <v/>
      </c>
      <c r="H2574" s="4">
        <f>IF(E2574=0,"",F2574/E2574-1)</f>
        <v/>
      </c>
      <c r="I2574" t="inlineStr"/>
    </row>
    <row r="2575">
      <c r="A2575" t="inlineStr">
        <is>
          <t>Base metals &amp; articles</t>
        </is>
      </c>
      <c r="B2575" t="inlineStr">
        <is>
          <t>75</t>
        </is>
      </c>
      <c r="C2575" t="inlineStr">
        <is>
          <t>75040000</t>
        </is>
      </c>
      <c r="D2575" t="inlineStr">
        <is>
          <t>NICKEL POWDERS AND FLAKES</t>
        </is>
      </c>
      <c r="E2575" s="3" t="n">
        <v>6.69</v>
      </c>
      <c r="F2575" s="3" t="n">
        <v>0.06</v>
      </c>
      <c r="G2575" s="3">
        <f>F2575-E2575</f>
        <v/>
      </c>
      <c r="H2575" s="4">
        <f>IF(E2575=0,"",F2575/E2575-1)</f>
        <v/>
      </c>
      <c r="I2575" t="inlineStr"/>
    </row>
    <row r="2576">
      <c r="A2576" t="inlineStr">
        <is>
          <t>Base metals &amp; articles</t>
        </is>
      </c>
      <c r="B2576" t="inlineStr">
        <is>
          <t>76</t>
        </is>
      </c>
      <c r="C2576" t="inlineStr">
        <is>
          <t>76121010</t>
        </is>
      </c>
      <c r="D2576" t="inlineStr">
        <is>
          <t>COLLAPSIBLE TUBULAR CONTAINERS :PLAIN</t>
        </is>
      </c>
      <c r="E2576" s="3" t="n">
        <v>0</v>
      </c>
      <c r="F2576" s="3" t="n">
        <v>0.06</v>
      </c>
      <c r="G2576" s="3">
        <f>F2576-E2576</f>
        <v/>
      </c>
      <c r="H2576" s="4">
        <f>IF(E2576=0,"",F2576/E2576-1)</f>
        <v/>
      </c>
      <c r="I2576" t="inlineStr"/>
    </row>
    <row r="2577">
      <c r="A2577" t="inlineStr">
        <is>
          <t>Base metals &amp; articles</t>
        </is>
      </c>
      <c r="B2577" t="inlineStr">
        <is>
          <t>83</t>
        </is>
      </c>
      <c r="C2577" t="inlineStr">
        <is>
          <t>83012000</t>
        </is>
      </c>
      <c r="D2577" t="inlineStr">
        <is>
          <t>LOCKS OF A KIND USED FOR MOTOR VEHICLS</t>
        </is>
      </c>
      <c r="E2577" s="3" t="n">
        <v>0</v>
      </c>
      <c r="F2577" s="3" t="n">
        <v>0.06</v>
      </c>
      <c r="G2577" s="3">
        <f>F2577-E2577</f>
        <v/>
      </c>
      <c r="H2577" s="4">
        <f>IF(E2577=0,"",F2577/E2577-1)</f>
        <v/>
      </c>
      <c r="I2577" t="inlineStr"/>
    </row>
    <row r="2578">
      <c r="A2578" t="inlineStr">
        <is>
          <t>Base metals &amp; articles</t>
        </is>
      </c>
      <c r="B2578" t="inlineStr">
        <is>
          <t>83</t>
        </is>
      </c>
      <c r="C2578" t="inlineStr">
        <is>
          <t>83024190</t>
        </is>
      </c>
      <c r="D2578" t="inlineStr">
        <is>
          <t>OTHR MOUNTINGS FITTINGS AND SMLR ARTCLS SUITABLE FOR BUILDINGS N.E.S.</t>
        </is>
      </c>
      <c r="E2578" s="3" t="n">
        <v>0.07000000000000001</v>
      </c>
      <c r="F2578" s="3" t="n">
        <v>0.06</v>
      </c>
      <c r="G2578" s="3">
        <f>F2578-E2578</f>
        <v/>
      </c>
      <c r="H2578" s="4">
        <f>IF(E2578=0,"",F2578/E2578-1)</f>
        <v/>
      </c>
      <c r="I2578" t="inlineStr"/>
    </row>
    <row r="2579">
      <c r="A2579" t="inlineStr">
        <is>
          <t>Base metals &amp; articles</t>
        </is>
      </c>
      <c r="B2579" t="inlineStr">
        <is>
          <t>83</t>
        </is>
      </c>
      <c r="C2579" t="inlineStr">
        <is>
          <t>83062190</t>
        </is>
      </c>
      <c r="D2579" t="inlineStr">
        <is>
          <t>OTHER ORNMNT PLTED WITH PRCS METAL</t>
        </is>
      </c>
      <c r="E2579" s="3" t="n">
        <v>0</v>
      </c>
      <c r="F2579" s="3" t="n">
        <v>0.06</v>
      </c>
      <c r="G2579" s="3">
        <f>F2579-E2579</f>
        <v/>
      </c>
      <c r="H2579" s="4">
        <f>IF(E2579=0,"",F2579/E2579-1)</f>
        <v/>
      </c>
      <c r="I2579" t="inlineStr"/>
    </row>
    <row r="2580">
      <c r="A2580" t="inlineStr">
        <is>
          <t>Base metals &amp; articles</t>
        </is>
      </c>
      <c r="B2580" t="inlineStr">
        <is>
          <t>72</t>
        </is>
      </c>
      <c r="C2580" t="inlineStr">
        <is>
          <t>72042190</t>
        </is>
      </c>
      <c r="D2580" t="inlineStr">
        <is>
          <t>OTHR WST AND SCRP OF STAINLESS STEEL</t>
        </is>
      </c>
      <c r="E2580" s="3" t="n">
        <v>0</v>
      </c>
      <c r="F2580" s="3" t="n">
        <v>0.05</v>
      </c>
      <c r="G2580" s="3">
        <f>F2580-E2580</f>
        <v/>
      </c>
      <c r="H2580" s="4">
        <f>IF(E2580=0,"",F2580/E2580-1)</f>
        <v/>
      </c>
      <c r="I2580" t="inlineStr"/>
    </row>
    <row r="2581">
      <c r="A2581" t="inlineStr">
        <is>
          <t>Base metals &amp; articles</t>
        </is>
      </c>
      <c r="B2581" t="inlineStr">
        <is>
          <t>72</t>
        </is>
      </c>
      <c r="C2581" t="inlineStr">
        <is>
          <t>72112990</t>
        </is>
      </c>
      <c r="D2581" t="inlineStr">
        <is>
          <t>OTHR FLT-RLD PRDCTS OF IRON/NON ALOY STL NT FRTHR WRKD THN COLD-RLD (EXCL 7211.23)</t>
        </is>
      </c>
      <c r="E2581" s="3" t="n">
        <v>0</v>
      </c>
      <c r="F2581" s="3" t="n">
        <v>0.05</v>
      </c>
      <c r="G2581" s="3">
        <f>F2581-E2581</f>
        <v/>
      </c>
      <c r="H2581" s="4">
        <f>IF(E2581=0,"",F2581/E2581-1)</f>
        <v/>
      </c>
      <c r="I2581" t="inlineStr"/>
    </row>
    <row r="2582">
      <c r="A2582" t="inlineStr">
        <is>
          <t>Base metals &amp; articles</t>
        </is>
      </c>
      <c r="B2582" t="inlineStr">
        <is>
          <t>72</t>
        </is>
      </c>
      <c r="C2582" t="inlineStr">
        <is>
          <t>72161000</t>
        </is>
      </c>
      <c r="D2582" t="inlineStr">
        <is>
          <t>U,I OR H SECTIONS,HOT-ROLLED,HOT-DRAWN EXTRUDED,OF A HEIGHT OF LESS THAN 80 MM</t>
        </is>
      </c>
      <c r="E2582" s="3" t="n">
        <v>0.28</v>
      </c>
      <c r="F2582" s="3" t="n">
        <v>0.05</v>
      </c>
      <c r="G2582" s="3">
        <f>F2582-E2582</f>
        <v/>
      </c>
      <c r="H2582" s="4">
        <f>IF(E2582=0,"",F2582/E2582-1)</f>
        <v/>
      </c>
      <c r="I2582" t="inlineStr"/>
    </row>
    <row r="2583">
      <c r="A2583" t="inlineStr">
        <is>
          <t>Base metals &amp; articles</t>
        </is>
      </c>
      <c r="B2583" t="inlineStr">
        <is>
          <t>72</t>
        </is>
      </c>
      <c r="C2583" t="inlineStr">
        <is>
          <t>72201122</t>
        </is>
      </c>
      <c r="D2583" t="inlineStr">
        <is>
          <t>STRIPS FOR PIPES AND TUBES (OTHR THN SKELP) NCKL CHRM AUSTNTC TYPE THCKNS&gt;=4.75MM</t>
        </is>
      </c>
      <c r="E2583" s="3" t="n">
        <v>0</v>
      </c>
      <c r="F2583" s="3" t="n">
        <v>0.05</v>
      </c>
      <c r="G2583" s="3">
        <f>F2583-E2583</f>
        <v/>
      </c>
      <c r="H2583" s="4">
        <f>IF(E2583=0,"",F2583/E2583-1)</f>
        <v/>
      </c>
      <c r="I2583" t="inlineStr"/>
    </row>
    <row r="2584">
      <c r="A2584" t="inlineStr">
        <is>
          <t>Base metals &amp; articles</t>
        </is>
      </c>
      <c r="B2584" t="inlineStr">
        <is>
          <t>72</t>
        </is>
      </c>
      <c r="C2584" t="inlineStr">
        <is>
          <t>72221112</t>
        </is>
      </c>
      <c r="D2584" t="inlineStr">
        <is>
          <t>BRIGHT BARS-NCKL CHROMIUM AUSTENITIC TYPE</t>
        </is>
      </c>
      <c r="E2584" s="3" t="n">
        <v>0.05</v>
      </c>
      <c r="F2584" s="3" t="n">
        <v>0.05</v>
      </c>
      <c r="G2584" s="3">
        <f>F2584-E2584</f>
        <v/>
      </c>
      <c r="H2584" s="4">
        <f>IF(E2584=0,"",F2584/E2584-1)</f>
        <v/>
      </c>
      <c r="I2584" t="inlineStr"/>
    </row>
    <row r="2585">
      <c r="A2585" t="inlineStr">
        <is>
          <t>Base metals &amp; articles</t>
        </is>
      </c>
      <c r="B2585" t="inlineStr">
        <is>
          <t>73</t>
        </is>
      </c>
      <c r="C2585" t="inlineStr">
        <is>
          <t>73071110</t>
        </is>
      </c>
      <c r="D2585" t="inlineStr">
        <is>
          <t>SPONGE IRON CAST FITTINGS</t>
        </is>
      </c>
      <c r="E2585" s="3" t="n">
        <v>0.03</v>
      </c>
      <c r="F2585" s="3" t="n">
        <v>0.05</v>
      </c>
      <c r="G2585" s="3">
        <f>F2585-E2585</f>
        <v/>
      </c>
      <c r="H2585" s="4">
        <f>IF(E2585=0,"",F2585/E2585-1)</f>
        <v/>
      </c>
      <c r="I2585" t="inlineStr"/>
    </row>
    <row r="2586">
      <c r="A2586" t="inlineStr">
        <is>
          <t>Base metals &amp; articles</t>
        </is>
      </c>
      <c r="B2586" t="inlineStr">
        <is>
          <t>73</t>
        </is>
      </c>
      <c r="C2586" t="inlineStr">
        <is>
          <t>73211190</t>
        </is>
      </c>
      <c r="D2586" t="inlineStr">
        <is>
          <t>OTHER COOKING APPARATUS OF IRON OR STEEL</t>
        </is>
      </c>
      <c r="E2586" s="3" t="n">
        <v>0.05</v>
      </c>
      <c r="F2586" s="3" t="n">
        <v>0.05</v>
      </c>
      <c r="G2586" s="3">
        <f>F2586-E2586</f>
        <v/>
      </c>
      <c r="H2586" s="4">
        <f>IF(E2586=0,"",F2586/E2586-1)</f>
        <v/>
      </c>
      <c r="I2586" t="inlineStr"/>
    </row>
    <row r="2587">
      <c r="A2587" t="inlineStr">
        <is>
          <t>Base metals &amp; articles</t>
        </is>
      </c>
      <c r="B2587" t="inlineStr">
        <is>
          <t>74</t>
        </is>
      </c>
      <c r="C2587" t="inlineStr">
        <is>
          <t>74072190</t>
        </is>
      </c>
      <c r="D2587" t="inlineStr">
        <is>
          <t>OTHER BARS AND RODS OF BRASS</t>
        </is>
      </c>
      <c r="E2587" s="3" t="n">
        <v>0.15</v>
      </c>
      <c r="F2587" s="3" t="n">
        <v>0.05</v>
      </c>
      <c r="G2587" s="3">
        <f>F2587-E2587</f>
        <v/>
      </c>
      <c r="H2587" s="4">
        <f>IF(E2587=0,"",F2587/E2587-1)</f>
        <v/>
      </c>
      <c r="I2587" t="inlineStr"/>
    </row>
    <row r="2588">
      <c r="A2588" t="inlineStr">
        <is>
          <t>Base metals &amp; articles</t>
        </is>
      </c>
      <c r="B2588" t="inlineStr">
        <is>
          <t>75</t>
        </is>
      </c>
      <c r="C2588" t="inlineStr">
        <is>
          <t>75052200</t>
        </is>
      </c>
      <c r="D2588" t="inlineStr">
        <is>
          <t>WIRE OFNICKEL ALLOYS</t>
        </is>
      </c>
      <c r="E2588" s="3" t="n">
        <v>0.17</v>
      </c>
      <c r="F2588" s="3" t="n">
        <v>0.05</v>
      </c>
      <c r="G2588" s="3">
        <f>F2588-E2588</f>
        <v/>
      </c>
      <c r="H2588" s="4">
        <f>IF(E2588=0,"",F2588/E2588-1)</f>
        <v/>
      </c>
      <c r="I2588" t="inlineStr"/>
    </row>
    <row r="2589">
      <c r="A2589" t="inlineStr">
        <is>
          <t>Base metals &amp; articles</t>
        </is>
      </c>
      <c r="B2589" t="inlineStr">
        <is>
          <t>76</t>
        </is>
      </c>
      <c r="C2589" t="inlineStr">
        <is>
          <t>76041020</t>
        </is>
      </c>
      <c r="D2589" t="inlineStr">
        <is>
          <t>BARS AND RODS, OTHER THAN WIRE RODS OF ALUMINIUM-NOT ALLOYED</t>
        </is>
      </c>
      <c r="E2589" s="3" t="n">
        <v>0</v>
      </c>
      <c r="F2589" s="3" t="n">
        <v>0.05</v>
      </c>
      <c r="G2589" s="3">
        <f>F2589-E2589</f>
        <v/>
      </c>
      <c r="H2589" s="4">
        <f>IF(E2589=0,"",F2589/E2589-1)</f>
        <v/>
      </c>
      <c r="I2589" t="inlineStr"/>
    </row>
    <row r="2590">
      <c r="A2590" t="inlineStr">
        <is>
          <t>Base metals &amp; articles</t>
        </is>
      </c>
      <c r="B2590" t="inlineStr">
        <is>
          <t>78</t>
        </is>
      </c>
      <c r="C2590" t="inlineStr">
        <is>
          <t>78041990</t>
        </is>
      </c>
      <c r="D2590" t="inlineStr">
        <is>
          <t>OTHER SHEETS, STRIP AND FOIL OF THICKNS (EXCL ANY BACKING) EXCDNG 0.2MM</t>
        </is>
      </c>
      <c r="E2590" s="3" t="n">
        <v>0.01</v>
      </c>
      <c r="F2590" s="3" t="n">
        <v>0.05</v>
      </c>
      <c r="G2590" s="3">
        <f>F2590-E2590</f>
        <v/>
      </c>
      <c r="H2590" s="4">
        <f>IF(E2590=0,"",F2590/E2590-1)</f>
        <v/>
      </c>
      <c r="I2590" t="inlineStr"/>
    </row>
    <row r="2591">
      <c r="A2591" t="inlineStr">
        <is>
          <t>Base metals &amp; articles</t>
        </is>
      </c>
      <c r="B2591" t="inlineStr">
        <is>
          <t>83</t>
        </is>
      </c>
      <c r="C2591" t="inlineStr">
        <is>
          <t>83081029</t>
        </is>
      </c>
      <c r="D2591" t="inlineStr">
        <is>
          <t>OTHER EYELETS</t>
        </is>
      </c>
      <c r="E2591" s="3" t="n">
        <v>0.06</v>
      </c>
      <c r="F2591" s="3" t="n">
        <v>0.05</v>
      </c>
      <c r="G2591" s="3">
        <f>F2591-E2591</f>
        <v/>
      </c>
      <c r="H2591" s="4">
        <f>IF(E2591=0,"",F2591/E2591-1)</f>
        <v/>
      </c>
      <c r="I2591" t="inlineStr"/>
    </row>
    <row r="2592">
      <c r="A2592" t="inlineStr">
        <is>
          <t>Base metals &amp; articles</t>
        </is>
      </c>
      <c r="B2592" t="inlineStr">
        <is>
          <t>72</t>
        </is>
      </c>
      <c r="C2592" t="inlineStr">
        <is>
          <t>72024900</t>
        </is>
      </c>
      <c r="D2592" t="inlineStr">
        <is>
          <t>OTHER FERRO-CHROMIUM</t>
        </is>
      </c>
      <c r="E2592" s="3" t="n">
        <v>0.01</v>
      </c>
      <c r="F2592" s="3" t="n">
        <v>0.04</v>
      </c>
      <c r="G2592" s="3">
        <f>F2592-E2592</f>
        <v/>
      </c>
      <c r="H2592" s="4">
        <f>IF(E2592=0,"",F2592/E2592-1)</f>
        <v/>
      </c>
      <c r="I2592" t="inlineStr"/>
    </row>
    <row r="2593">
      <c r="A2593" t="inlineStr">
        <is>
          <t>Base metals &amp; articles</t>
        </is>
      </c>
      <c r="B2593" t="inlineStr">
        <is>
          <t>72</t>
        </is>
      </c>
      <c r="C2593" t="inlineStr">
        <is>
          <t>72051011</t>
        </is>
      </c>
      <c r="D2593" t="inlineStr">
        <is>
          <t>SHOT AND ANGULAR GRIT</t>
        </is>
      </c>
      <c r="E2593" s="3" t="n">
        <v>0.12</v>
      </c>
      <c r="F2593" s="3" t="n">
        <v>0.04</v>
      </c>
      <c r="G2593" s="3">
        <f>F2593-E2593</f>
        <v/>
      </c>
      <c r="H2593" s="4">
        <f>IF(E2593=0,"",F2593/E2593-1)</f>
        <v/>
      </c>
      <c r="I2593" t="inlineStr"/>
    </row>
    <row r="2594">
      <c r="A2594" t="inlineStr">
        <is>
          <t>Base metals &amp; articles</t>
        </is>
      </c>
      <c r="B2594" t="inlineStr">
        <is>
          <t>72</t>
        </is>
      </c>
      <c r="C2594" t="inlineStr">
        <is>
          <t>72141090</t>
        </is>
      </c>
      <c r="D2594" t="inlineStr">
        <is>
          <t>OTHER FORGED BARS AND RODS</t>
        </is>
      </c>
      <c r="E2594" s="3" t="n">
        <v>0.05</v>
      </c>
      <c r="F2594" s="3" t="n">
        <v>0.04</v>
      </c>
      <c r="G2594" s="3">
        <f>F2594-E2594</f>
        <v/>
      </c>
      <c r="H2594" s="4">
        <f>IF(E2594=0,"",F2594/E2594-1)</f>
        <v/>
      </c>
      <c r="I2594" t="inlineStr"/>
    </row>
    <row r="2595">
      <c r="A2595" t="inlineStr">
        <is>
          <t>Base metals &amp; articles</t>
        </is>
      </c>
      <c r="B2595" t="inlineStr">
        <is>
          <t>72</t>
        </is>
      </c>
      <c r="C2595" t="inlineStr">
        <is>
          <t>72142090</t>
        </is>
      </c>
      <c r="D2595" t="inlineStr">
        <is>
          <t>OTHERS-OF-BARS AND RODS CONTNG INDENTATIONS,RIBS, GROOVES/OTHR DEFORMATION PRDCD DURNGROLLING PRCSS/TWSTD AFTER ROLLING</t>
        </is>
      </c>
      <c r="E2595" s="3" t="n">
        <v>0</v>
      </c>
      <c r="F2595" s="3" t="n">
        <v>0.04</v>
      </c>
      <c r="G2595" s="3">
        <f>F2595-E2595</f>
        <v/>
      </c>
      <c r="H2595" s="4">
        <f>IF(E2595=0,"",F2595/E2595-1)</f>
        <v/>
      </c>
      <c r="I2595" t="inlineStr"/>
    </row>
    <row r="2596">
      <c r="A2596" t="inlineStr">
        <is>
          <t>Base metals &amp; articles</t>
        </is>
      </c>
      <c r="B2596" t="inlineStr">
        <is>
          <t>72</t>
        </is>
      </c>
      <c r="C2596" t="inlineStr">
        <is>
          <t>72172010</t>
        </is>
      </c>
      <c r="D2596" t="inlineStr">
        <is>
          <t>WIRE, 18 SWG AND THICKER</t>
        </is>
      </c>
      <c r="E2596" s="3" t="n">
        <v>0.26</v>
      </c>
      <c r="F2596" s="3" t="n">
        <v>0.04</v>
      </c>
      <c r="G2596" s="3">
        <f>F2596-E2596</f>
        <v/>
      </c>
      <c r="H2596" s="4">
        <f>IF(E2596=0,"",F2596/E2596-1)</f>
        <v/>
      </c>
      <c r="I2596" t="inlineStr"/>
    </row>
    <row r="2597">
      <c r="A2597" t="inlineStr">
        <is>
          <t>Base metals &amp; articles</t>
        </is>
      </c>
      <c r="B2597" t="inlineStr">
        <is>
          <t>72</t>
        </is>
      </c>
      <c r="C2597" t="inlineStr">
        <is>
          <t>72191400</t>
        </is>
      </c>
      <c r="D2597" t="inlineStr">
        <is>
          <t>HT-RLLD PRDCTS IN COILS OF THCKNS&lt;3 MM</t>
        </is>
      </c>
      <c r="E2597" s="3" t="n">
        <v>0.07000000000000001</v>
      </c>
      <c r="F2597" s="3" t="n">
        <v>0.04</v>
      </c>
      <c r="G2597" s="3">
        <f>F2597-E2597</f>
        <v/>
      </c>
      <c r="H2597" s="4">
        <f>IF(E2597=0,"",F2597/E2597-1)</f>
        <v/>
      </c>
      <c r="I2597" t="inlineStr"/>
    </row>
    <row r="2598">
      <c r="A2598" t="inlineStr">
        <is>
          <t>Base metals &amp; articles</t>
        </is>
      </c>
      <c r="B2598" t="inlineStr">
        <is>
          <t>72</t>
        </is>
      </c>
      <c r="C2598" t="inlineStr">
        <is>
          <t>72223099</t>
        </is>
      </c>
      <c r="D2598" t="inlineStr">
        <is>
          <t>OTHR BARS AND RODS N.E.S.</t>
        </is>
      </c>
      <c r="E2598" s="3" t="n">
        <v>0.99</v>
      </c>
      <c r="F2598" s="3" t="n">
        <v>0.04</v>
      </c>
      <c r="G2598" s="3">
        <f>F2598-E2598</f>
        <v/>
      </c>
      <c r="H2598" s="4">
        <f>IF(E2598=0,"",F2598/E2598-1)</f>
        <v/>
      </c>
      <c r="I2598" t="inlineStr"/>
    </row>
    <row r="2599">
      <c r="A2599" t="inlineStr">
        <is>
          <t>Base metals &amp; articles</t>
        </is>
      </c>
      <c r="B2599" t="inlineStr">
        <is>
          <t>73</t>
        </is>
      </c>
      <c r="C2599" t="inlineStr">
        <is>
          <t>73023000</t>
        </is>
      </c>
      <c r="D2599" t="inlineStr">
        <is>
          <t>SWITCH BLADES,CROSSING FROGS,POINT RODS AND OTHER CROSSING PIECES</t>
        </is>
      </c>
      <c r="E2599" s="3" t="n">
        <v>0</v>
      </c>
      <c r="F2599" s="3" t="n">
        <v>0.04</v>
      </c>
      <c r="G2599" s="3">
        <f>F2599-E2599</f>
        <v/>
      </c>
      <c r="H2599" s="4">
        <f>IF(E2599=0,"",F2599/E2599-1)</f>
        <v/>
      </c>
      <c r="I2599" t="inlineStr"/>
    </row>
    <row r="2600">
      <c r="A2600" t="inlineStr">
        <is>
          <t>Base metals &amp; articles</t>
        </is>
      </c>
      <c r="B2600" t="inlineStr">
        <is>
          <t>73</t>
        </is>
      </c>
      <c r="C2600" t="inlineStr">
        <is>
          <t>73059010</t>
        </is>
      </c>
      <c r="D2600" t="inlineStr">
        <is>
          <t>HIGH PRSSR HYDRELCTRC CONDUITS OF STL</t>
        </is>
      </c>
      <c r="E2600" s="3" t="n">
        <v>0.13</v>
      </c>
      <c r="F2600" s="3" t="n">
        <v>0.04</v>
      </c>
      <c r="G2600" s="3">
        <f>F2600-E2600</f>
        <v/>
      </c>
      <c r="H2600" s="4">
        <f>IF(E2600=0,"",F2600/E2600-1)</f>
        <v/>
      </c>
      <c r="I2600" t="inlineStr"/>
    </row>
    <row r="2601">
      <c r="A2601" t="inlineStr">
        <is>
          <t>Base metals &amp; articles</t>
        </is>
      </c>
      <c r="B2601" t="inlineStr">
        <is>
          <t>73</t>
        </is>
      </c>
      <c r="C2601" t="inlineStr">
        <is>
          <t>73102990</t>
        </is>
      </c>
      <c r="D2601" t="inlineStr">
        <is>
          <t>OTHERS-OF-OTHR TNKS,CASKS AND SMLR CNTNRS OF CPCTY&lt;50L</t>
        </is>
      </c>
      <c r="E2601" s="3" t="n">
        <v>0.28</v>
      </c>
      <c r="F2601" s="3" t="n">
        <v>0.04</v>
      </c>
      <c r="G2601" s="3">
        <f>F2601-E2601</f>
        <v/>
      </c>
      <c r="H2601" s="4">
        <f>IF(E2601=0,"",F2601/E2601-1)</f>
        <v/>
      </c>
      <c r="I2601" t="inlineStr"/>
    </row>
    <row r="2602">
      <c r="A2602" t="inlineStr">
        <is>
          <t>Base metals &amp; articles</t>
        </is>
      </c>
      <c r="B2602" t="inlineStr">
        <is>
          <t>73</t>
        </is>
      </c>
      <c r="C2602" t="inlineStr">
        <is>
          <t>73211210</t>
        </is>
      </c>
      <c r="D2602" t="inlineStr">
        <is>
          <t>COOKERS AND KITCHEN STOVES</t>
        </is>
      </c>
      <c r="E2602" s="3" t="n">
        <v>0</v>
      </c>
      <c r="F2602" s="3" t="n">
        <v>0.04</v>
      </c>
      <c r="G2602" s="3">
        <f>F2602-E2602</f>
        <v/>
      </c>
      <c r="H2602" s="4">
        <f>IF(E2602=0,"",F2602/E2602-1)</f>
        <v/>
      </c>
      <c r="I2602" t="inlineStr"/>
    </row>
    <row r="2603">
      <c r="A2603" t="inlineStr">
        <is>
          <t>Base metals &amp; articles</t>
        </is>
      </c>
      <c r="B2603" t="inlineStr">
        <is>
          <t>73</t>
        </is>
      </c>
      <c r="C2603" t="inlineStr">
        <is>
          <t>73239110</t>
        </is>
      </c>
      <c r="D2603" t="inlineStr">
        <is>
          <t>CAST IRON PANS,NT ENAMELD</t>
        </is>
      </c>
      <c r="E2603" s="3" t="n">
        <v>0.04</v>
      </c>
      <c r="F2603" s="3" t="n">
        <v>0.04</v>
      </c>
      <c r="G2603" s="3">
        <f>F2603-E2603</f>
        <v/>
      </c>
      <c r="H2603" s="4">
        <f>IF(E2603=0,"",F2603/E2603-1)</f>
        <v/>
      </c>
      <c r="I2603" t="inlineStr"/>
    </row>
    <row r="2604">
      <c r="A2604" t="inlineStr">
        <is>
          <t>Base metals &amp; articles</t>
        </is>
      </c>
      <c r="B2604" t="inlineStr">
        <is>
          <t>74</t>
        </is>
      </c>
      <c r="C2604" t="inlineStr">
        <is>
          <t>74032210</t>
        </is>
      </c>
      <c r="D2604" t="inlineStr">
        <is>
          <t>PHOSPHOR BRONZE</t>
        </is>
      </c>
      <c r="E2604" s="3" t="n">
        <v>0</v>
      </c>
      <c r="F2604" s="3" t="n">
        <v>0.04</v>
      </c>
      <c r="G2604" s="3">
        <f>F2604-E2604</f>
        <v/>
      </c>
      <c r="H2604" s="4">
        <f>IF(E2604=0,"",F2604/E2604-1)</f>
        <v/>
      </c>
      <c r="I2604" t="inlineStr"/>
    </row>
    <row r="2605">
      <c r="A2605" t="inlineStr">
        <is>
          <t>Base metals &amp; articles</t>
        </is>
      </c>
      <c r="B2605" t="inlineStr">
        <is>
          <t>74</t>
        </is>
      </c>
      <c r="C2605" t="inlineStr">
        <is>
          <t>74072910</t>
        </is>
      </c>
      <c r="D2605" t="inlineStr">
        <is>
          <t>RODS OF BRONZE AND SIMILAR ALLOYS</t>
        </is>
      </c>
      <c r="E2605" s="3" t="n">
        <v>0.06</v>
      </c>
      <c r="F2605" s="3" t="n">
        <v>0.04</v>
      </c>
      <c r="G2605" s="3">
        <f>F2605-E2605</f>
        <v/>
      </c>
      <c r="H2605" s="4">
        <f>IF(E2605=0,"",F2605/E2605-1)</f>
        <v/>
      </c>
      <c r="I2605" t="inlineStr"/>
    </row>
    <row r="2606">
      <c r="A2606" t="inlineStr">
        <is>
          <t>Base metals &amp; articles</t>
        </is>
      </c>
      <c r="B2606" t="inlineStr">
        <is>
          <t>74</t>
        </is>
      </c>
      <c r="C2606" t="inlineStr">
        <is>
          <t>74112900</t>
        </is>
      </c>
      <c r="D2606" t="inlineStr">
        <is>
          <t>TUBES AND PIPES OF OTHER COPPER ALLOYS</t>
        </is>
      </c>
      <c r="E2606" s="3" t="n">
        <v>0.01</v>
      </c>
      <c r="F2606" s="3" t="n">
        <v>0.04</v>
      </c>
      <c r="G2606" s="3">
        <f>F2606-E2606</f>
        <v/>
      </c>
      <c r="H2606" s="4">
        <f>IF(E2606=0,"",F2606/E2606-1)</f>
        <v/>
      </c>
      <c r="I2606" t="inlineStr"/>
    </row>
    <row r="2607">
      <c r="A2607" t="inlineStr">
        <is>
          <t>Base metals &amp; articles</t>
        </is>
      </c>
      <c r="B2607" t="inlineStr">
        <is>
          <t>76</t>
        </is>
      </c>
      <c r="C2607" t="inlineStr">
        <is>
          <t>76081000</t>
        </is>
      </c>
      <c r="D2607" t="inlineStr">
        <is>
          <t>TUBES ANDPIPES OF NON-ALLOYED ALUMINIUM</t>
        </is>
      </c>
      <c r="E2607" s="3" t="n">
        <v>0.3</v>
      </c>
      <c r="F2607" s="3" t="n">
        <v>0.04</v>
      </c>
      <c r="G2607" s="3">
        <f>F2607-E2607</f>
        <v/>
      </c>
      <c r="H2607" s="4">
        <f>IF(E2607=0,"",F2607/E2607-1)</f>
        <v/>
      </c>
      <c r="I2607" t="inlineStr"/>
    </row>
    <row r="2608">
      <c r="A2608" t="inlineStr">
        <is>
          <t>Base metals &amp; articles</t>
        </is>
      </c>
      <c r="B2608" t="inlineStr">
        <is>
          <t>76</t>
        </is>
      </c>
      <c r="C2608" t="inlineStr">
        <is>
          <t>76151090</t>
        </is>
      </c>
      <c r="D2608" t="inlineStr">
        <is>
          <t>PARTS</t>
        </is>
      </c>
      <c r="E2608" s="3" t="n">
        <v>0.02</v>
      </c>
      <c r="F2608" s="3" t="n">
        <v>0.04</v>
      </c>
      <c r="G2608" s="3">
        <f>F2608-E2608</f>
        <v/>
      </c>
      <c r="H2608" s="4">
        <f>IF(E2608=0,"",F2608/E2608-1)</f>
        <v/>
      </c>
      <c r="I2608" t="inlineStr"/>
    </row>
    <row r="2609">
      <c r="A2609" t="inlineStr">
        <is>
          <t>Base metals &amp; articles</t>
        </is>
      </c>
      <c r="B2609" t="inlineStr">
        <is>
          <t>79</t>
        </is>
      </c>
      <c r="C2609" t="inlineStr">
        <is>
          <t>79070010</t>
        </is>
      </c>
      <c r="D2609" t="inlineStr">
        <is>
          <t>SANITARY FIXTURES OF ZINC</t>
        </is>
      </c>
      <c r="E2609" s="3" t="n">
        <v>0.01</v>
      </c>
      <c r="F2609" s="3" t="n">
        <v>0.04</v>
      </c>
      <c r="G2609" s="3">
        <f>F2609-E2609</f>
        <v/>
      </c>
      <c r="H2609" s="4">
        <f>IF(E2609=0,"",F2609/E2609-1)</f>
        <v/>
      </c>
      <c r="I2609" t="inlineStr"/>
    </row>
    <row r="2610">
      <c r="A2610" t="inlineStr">
        <is>
          <t>Base metals &amp; articles</t>
        </is>
      </c>
      <c r="B2610" t="inlineStr">
        <is>
          <t>82</t>
        </is>
      </c>
      <c r="C2610" t="inlineStr">
        <is>
          <t>82013000</t>
        </is>
      </c>
      <c r="D2610" t="inlineStr">
        <is>
          <t>MATTOCKS PICKS HOES AND RAKES</t>
        </is>
      </c>
      <c r="E2610" s="3" t="n">
        <v>0</v>
      </c>
      <c r="F2610" s="3" t="n">
        <v>0.04</v>
      </c>
      <c r="G2610" s="3">
        <f>F2610-E2610</f>
        <v/>
      </c>
      <c r="H2610" s="4">
        <f>IF(E2610=0,"",F2610/E2610-1)</f>
        <v/>
      </c>
      <c r="I2610" t="inlineStr"/>
    </row>
    <row r="2611">
      <c r="A2611" t="inlineStr">
        <is>
          <t>Base metals &amp; articles</t>
        </is>
      </c>
      <c r="B2611" t="inlineStr">
        <is>
          <t>82</t>
        </is>
      </c>
      <c r="C2611" t="inlineStr">
        <is>
          <t>82033000</t>
        </is>
      </c>
      <c r="D2611" t="inlineStr">
        <is>
          <t>METAL CUTTING SHEARS AND SIMLR TOOLS</t>
        </is>
      </c>
      <c r="E2611" s="3" t="n">
        <v>0.15</v>
      </c>
      <c r="F2611" s="3" t="n">
        <v>0.04</v>
      </c>
      <c r="G2611" s="3">
        <f>F2611-E2611</f>
        <v/>
      </c>
      <c r="H2611" s="4">
        <f>IF(E2611=0,"",F2611/E2611-1)</f>
        <v/>
      </c>
      <c r="I2611" t="inlineStr"/>
    </row>
    <row r="2612">
      <c r="A2612" t="inlineStr">
        <is>
          <t>Base metals &amp; articles</t>
        </is>
      </c>
      <c r="B2612" t="inlineStr">
        <is>
          <t>82</t>
        </is>
      </c>
      <c r="C2612" t="inlineStr">
        <is>
          <t>82054000</t>
        </is>
      </c>
      <c r="D2612" t="inlineStr">
        <is>
          <t>SCREWDRIVERS</t>
        </is>
      </c>
      <c r="E2612" s="3" t="n">
        <v>0</v>
      </c>
      <c r="F2612" s="3" t="n">
        <v>0.04</v>
      </c>
      <c r="G2612" s="3">
        <f>F2612-E2612</f>
        <v/>
      </c>
      <c r="H2612" s="4">
        <f>IF(E2612=0,"",F2612/E2612-1)</f>
        <v/>
      </c>
      <c r="I2612" t="inlineStr"/>
    </row>
    <row r="2613">
      <c r="A2613" t="inlineStr">
        <is>
          <t>Base metals &amp; articles</t>
        </is>
      </c>
      <c r="B2613" t="inlineStr">
        <is>
          <t>82</t>
        </is>
      </c>
      <c r="C2613" t="inlineStr">
        <is>
          <t>82119400</t>
        </is>
      </c>
      <c r="D2613" t="inlineStr">
        <is>
          <t>BLADES OF HDG 8211</t>
        </is>
      </c>
      <c r="E2613" s="3" t="n">
        <v>0.02</v>
      </c>
      <c r="F2613" s="3" t="n">
        <v>0.04</v>
      </c>
      <c r="G2613" s="3">
        <f>F2613-E2613</f>
        <v/>
      </c>
      <c r="H2613" s="4">
        <f>IF(E2613=0,"",F2613/E2613-1)</f>
        <v/>
      </c>
      <c r="I2613" t="inlineStr"/>
    </row>
    <row r="2614">
      <c r="A2614" t="inlineStr">
        <is>
          <t>Base metals &amp; articles</t>
        </is>
      </c>
      <c r="B2614" t="inlineStr">
        <is>
          <t>82</t>
        </is>
      </c>
      <c r="C2614" t="inlineStr">
        <is>
          <t>82149090</t>
        </is>
      </c>
      <c r="D2614" t="inlineStr">
        <is>
          <t>OTHR ARTICLS OF CUTLERY N.E.S.</t>
        </is>
      </c>
      <c r="E2614" s="3" t="n">
        <v>0.01</v>
      </c>
      <c r="F2614" s="3" t="n">
        <v>0.04</v>
      </c>
      <c r="G2614" s="3">
        <f>F2614-E2614</f>
        <v/>
      </c>
      <c r="H2614" s="4">
        <f>IF(E2614=0,"",F2614/E2614-1)</f>
        <v/>
      </c>
      <c r="I2614" t="inlineStr"/>
    </row>
    <row r="2615">
      <c r="A2615" t="inlineStr">
        <is>
          <t>Base metals &amp; articles</t>
        </is>
      </c>
      <c r="B2615" t="inlineStr">
        <is>
          <t>83</t>
        </is>
      </c>
      <c r="C2615" t="inlineStr">
        <is>
          <t>83013000</t>
        </is>
      </c>
      <c r="D2615" t="inlineStr">
        <is>
          <t>LOCKS OF A KIND USED FOR FURNITURE</t>
        </is>
      </c>
      <c r="E2615" s="3" t="n">
        <v>0.03</v>
      </c>
      <c r="F2615" s="3" t="n">
        <v>0.04</v>
      </c>
      <c r="G2615" s="3">
        <f>F2615-E2615</f>
        <v/>
      </c>
      <c r="H2615" s="4">
        <f>IF(E2615=0,"",F2615/E2615-1)</f>
        <v/>
      </c>
      <c r="I2615" t="inlineStr"/>
    </row>
    <row r="2616">
      <c r="A2616" t="inlineStr">
        <is>
          <t>Base metals &amp; articles</t>
        </is>
      </c>
      <c r="B2616" t="inlineStr">
        <is>
          <t>83</t>
        </is>
      </c>
      <c r="C2616" t="inlineStr">
        <is>
          <t>83017000</t>
        </is>
      </c>
      <c r="D2616" t="inlineStr">
        <is>
          <t>KEYS PRESENTED SEPARATELY</t>
        </is>
      </c>
      <c r="E2616" s="3" t="n">
        <v>0.01</v>
      </c>
      <c r="F2616" s="3" t="n">
        <v>0.04</v>
      </c>
      <c r="G2616" s="3">
        <f>F2616-E2616</f>
        <v/>
      </c>
      <c r="H2616" s="4">
        <f>IF(E2616=0,"",F2616/E2616-1)</f>
        <v/>
      </c>
      <c r="I2616" t="inlineStr"/>
    </row>
    <row r="2617">
      <c r="A2617" t="inlineStr">
        <is>
          <t>Base metals &amp; articles</t>
        </is>
      </c>
      <c r="B2617" t="inlineStr">
        <is>
          <t>72</t>
        </is>
      </c>
      <c r="C2617" t="inlineStr">
        <is>
          <t>72029990</t>
        </is>
      </c>
      <c r="D2617" t="inlineStr">
        <is>
          <t>OTHERS-OF-OTHER FERRO-ALLOYS</t>
        </is>
      </c>
      <c r="E2617" s="3" t="n">
        <v>0.22</v>
      </c>
      <c r="F2617" s="3" t="n">
        <v>0.03</v>
      </c>
      <c r="G2617" s="3">
        <f>F2617-E2617</f>
        <v/>
      </c>
      <c r="H2617" s="4">
        <f>IF(E2617=0,"",F2617/E2617-1)</f>
        <v/>
      </c>
      <c r="I2617" t="inlineStr"/>
    </row>
    <row r="2618">
      <c r="A2618" t="inlineStr">
        <is>
          <t>Base metals &amp; articles</t>
        </is>
      </c>
      <c r="B2618" t="inlineStr">
        <is>
          <t>72</t>
        </is>
      </c>
      <c r="C2618" t="inlineStr">
        <is>
          <t>72071990</t>
        </is>
      </c>
      <c r="D2618" t="inlineStr">
        <is>
          <t>OTHERS-OF-OTHR PRDCTS CONTNG BY WT&lt;0.25% OF CARBON</t>
        </is>
      </c>
      <c r="E2618" s="3" t="n">
        <v>0</v>
      </c>
      <c r="F2618" s="3" t="n">
        <v>0.03</v>
      </c>
      <c r="G2618" s="3">
        <f>F2618-E2618</f>
        <v/>
      </c>
      <c r="H2618" s="4">
        <f>IF(E2618=0,"",F2618/E2618-1)</f>
        <v/>
      </c>
      <c r="I2618" t="inlineStr"/>
    </row>
    <row r="2619">
      <c r="A2619" t="inlineStr">
        <is>
          <t>Base metals &amp; articles</t>
        </is>
      </c>
      <c r="B2619" t="inlineStr">
        <is>
          <t>72</t>
        </is>
      </c>
      <c r="C2619" t="inlineStr">
        <is>
          <t>72082510</t>
        </is>
      </c>
      <c r="D2619" t="inlineStr">
        <is>
          <t>PLATES OF FLAT-ROLD PRDCTS IN COILS OF A THCKNS&gt;= 4.75MM ONLY HOT-ROLD,PICKLD</t>
        </is>
      </c>
      <c r="E2619" s="3" t="n">
        <v>0.47</v>
      </c>
      <c r="F2619" s="3" t="n">
        <v>0.03</v>
      </c>
      <c r="G2619" s="3">
        <f>F2619-E2619</f>
        <v/>
      </c>
      <c r="H2619" s="4">
        <f>IF(E2619=0,"",F2619/E2619-1)</f>
        <v/>
      </c>
      <c r="I2619" t="inlineStr"/>
    </row>
    <row r="2620">
      <c r="A2620" t="inlineStr">
        <is>
          <t>Base metals &amp; articles</t>
        </is>
      </c>
      <c r="B2620" t="inlineStr">
        <is>
          <t>72</t>
        </is>
      </c>
      <c r="C2620" t="inlineStr">
        <is>
          <t>72191111</t>
        </is>
      </c>
      <c r="D2620" t="inlineStr">
        <is>
          <t>CHROMIUM TYPE BELOW 14 MM BUT&gt;10MM</t>
        </is>
      </c>
      <c r="E2620" s="3" t="n">
        <v>0.2</v>
      </c>
      <c r="F2620" s="3" t="n">
        <v>0.03</v>
      </c>
      <c r="G2620" s="3">
        <f>F2620-E2620</f>
        <v/>
      </c>
      <c r="H2620" s="4">
        <f>IF(E2620=0,"",F2620/E2620-1)</f>
        <v/>
      </c>
      <c r="I2620" t="inlineStr"/>
    </row>
    <row r="2621">
      <c r="A2621" t="inlineStr">
        <is>
          <t>Base metals &amp; articles</t>
        </is>
      </c>
      <c r="B2621" t="inlineStr">
        <is>
          <t>72</t>
        </is>
      </c>
      <c r="C2621" t="inlineStr">
        <is>
          <t>72193420</t>
        </is>
      </c>
      <c r="D2621" t="inlineStr">
        <is>
          <t>NICKEL CHROMIUM AUSTENITIC TYPE</t>
        </is>
      </c>
      <c r="E2621" s="3" t="n">
        <v>0</v>
      </c>
      <c r="F2621" s="3" t="n">
        <v>0.03</v>
      </c>
      <c r="G2621" s="3">
        <f>F2621-E2621</f>
        <v/>
      </c>
      <c r="H2621" s="4">
        <f>IF(E2621=0,"",F2621/E2621-1)</f>
        <v/>
      </c>
      <c r="I2621" t="inlineStr"/>
    </row>
    <row r="2622">
      <c r="A2622" t="inlineStr">
        <is>
          <t>Base metals &amp; articles</t>
        </is>
      </c>
      <c r="B2622" t="inlineStr">
        <is>
          <t>72</t>
        </is>
      </c>
      <c r="C2622" t="inlineStr">
        <is>
          <t>72221192</t>
        </is>
      </c>
      <c r="D2622" t="inlineStr">
        <is>
          <t>OTHERS-NICKEL CHROMIUM AUSTENITIC TYPE</t>
        </is>
      </c>
      <c r="E2622" s="3" t="n">
        <v>0</v>
      </c>
      <c r="F2622" s="3" t="n">
        <v>0.03</v>
      </c>
      <c r="G2622" s="3">
        <f>F2622-E2622</f>
        <v/>
      </c>
      <c r="H2622" s="4">
        <f>IF(E2622=0,"",F2622/E2622-1)</f>
        <v/>
      </c>
      <c r="I2622" t="inlineStr"/>
    </row>
    <row r="2623">
      <c r="A2623" t="inlineStr">
        <is>
          <t>Base metals &amp; articles</t>
        </is>
      </c>
      <c r="B2623" t="inlineStr">
        <is>
          <t>72</t>
        </is>
      </c>
      <c r="C2623" t="inlineStr">
        <is>
          <t>72221992</t>
        </is>
      </c>
      <c r="D2623" t="inlineStr">
        <is>
          <t>OTHERS NICKEL CHROMIUM AUSTENITIC TYPE</t>
        </is>
      </c>
      <c r="E2623" s="3" t="n">
        <v>0</v>
      </c>
      <c r="F2623" s="3" t="n">
        <v>0.03</v>
      </c>
      <c r="G2623" s="3">
        <f>F2623-E2623</f>
        <v/>
      </c>
      <c r="H2623" s="4">
        <f>IF(E2623=0,"",F2623/E2623-1)</f>
        <v/>
      </c>
      <c r="I2623" t="inlineStr"/>
    </row>
    <row r="2624">
      <c r="A2624" t="inlineStr">
        <is>
          <t>Base metals &amp; articles</t>
        </is>
      </c>
      <c r="B2624" t="inlineStr">
        <is>
          <t>72</t>
        </is>
      </c>
      <c r="C2624" t="inlineStr">
        <is>
          <t>72249030</t>
        </is>
      </c>
      <c r="D2624" t="inlineStr">
        <is>
          <t>COBALT BEARING HIGH SPEED STEEL QUALITY</t>
        </is>
      </c>
      <c r="E2624" s="3" t="n">
        <v>0</v>
      </c>
      <c r="F2624" s="3" t="n">
        <v>0.03</v>
      </c>
      <c r="G2624" s="3">
        <f>F2624-E2624</f>
        <v/>
      </c>
      <c r="H2624" s="4">
        <f>IF(E2624=0,"",F2624/E2624-1)</f>
        <v/>
      </c>
      <c r="I2624" t="inlineStr"/>
    </row>
    <row r="2625">
      <c r="A2625" t="inlineStr">
        <is>
          <t>Base metals &amp; articles</t>
        </is>
      </c>
      <c r="B2625" t="inlineStr">
        <is>
          <t>73</t>
        </is>
      </c>
      <c r="C2625" t="inlineStr">
        <is>
          <t>73090010</t>
        </is>
      </c>
      <c r="D2625" t="inlineStr">
        <is>
          <t>G.I.TANKS</t>
        </is>
      </c>
      <c r="E2625" s="3" t="n">
        <v>3.1</v>
      </c>
      <c r="F2625" s="3" t="n">
        <v>0.03</v>
      </c>
      <c r="G2625" s="3">
        <f>F2625-E2625</f>
        <v/>
      </c>
      <c r="H2625" s="4">
        <f>IF(E2625=0,"",F2625/E2625-1)</f>
        <v/>
      </c>
      <c r="I2625" t="inlineStr"/>
    </row>
    <row r="2626">
      <c r="A2626" t="inlineStr">
        <is>
          <t>Base metals &amp; articles</t>
        </is>
      </c>
      <c r="B2626" t="inlineStr">
        <is>
          <t>73</t>
        </is>
      </c>
      <c r="C2626" t="inlineStr">
        <is>
          <t>73199000</t>
        </is>
      </c>
      <c r="D2626" t="inlineStr">
        <is>
          <t>OTHER ARTICLES OF 7319</t>
        </is>
      </c>
      <c r="E2626" s="3" t="n">
        <v>0</v>
      </c>
      <c r="F2626" s="3" t="n">
        <v>0.03</v>
      </c>
      <c r="G2626" s="3">
        <f>F2626-E2626</f>
        <v/>
      </c>
      <c r="H2626" s="4">
        <f>IF(E2626=0,"",F2626/E2626-1)</f>
        <v/>
      </c>
      <c r="I2626" t="inlineStr"/>
    </row>
    <row r="2627">
      <c r="A2627" t="inlineStr">
        <is>
          <t>Base metals &amp; articles</t>
        </is>
      </c>
      <c r="B2627" t="inlineStr">
        <is>
          <t>73</t>
        </is>
      </c>
      <c r="C2627" t="inlineStr">
        <is>
          <t>73219000</t>
        </is>
      </c>
      <c r="D2627" t="inlineStr">
        <is>
          <t>PARTS FOR APPLIANCES OF IRON OR STEEL OF HDG.NO.7321</t>
        </is>
      </c>
      <c r="E2627" s="3" t="n">
        <v>0.07000000000000001</v>
      </c>
      <c r="F2627" s="3" t="n">
        <v>0.03</v>
      </c>
      <c r="G2627" s="3">
        <f>F2627-E2627</f>
        <v/>
      </c>
      <c r="H2627" s="4">
        <f>IF(E2627=0,"",F2627/E2627-1)</f>
        <v/>
      </c>
      <c r="I2627" t="inlineStr"/>
    </row>
    <row r="2628">
      <c r="A2628" t="inlineStr">
        <is>
          <t>Base metals &amp; articles</t>
        </is>
      </c>
      <c r="B2628" t="inlineStr">
        <is>
          <t>73</t>
        </is>
      </c>
      <c r="C2628" t="inlineStr">
        <is>
          <t>73221100</t>
        </is>
      </c>
      <c r="D2628" t="inlineStr">
        <is>
          <t>RADIATORS AND ITS PARTS,OF CAST IRON</t>
        </is>
      </c>
      <c r="E2628" s="3" t="n">
        <v>0</v>
      </c>
      <c r="F2628" s="3" t="n">
        <v>0.03</v>
      </c>
      <c r="G2628" s="3">
        <f>F2628-E2628</f>
        <v/>
      </c>
      <c r="H2628" s="4">
        <f>IF(E2628=0,"",F2628/E2628-1)</f>
        <v/>
      </c>
      <c r="I2628" t="inlineStr"/>
    </row>
    <row r="2629">
      <c r="A2629" t="inlineStr">
        <is>
          <t>Base metals &amp; articles</t>
        </is>
      </c>
      <c r="B2629" t="inlineStr">
        <is>
          <t>74</t>
        </is>
      </c>
      <c r="C2629" t="inlineStr">
        <is>
          <t>74082190</t>
        </is>
      </c>
      <c r="D2629" t="inlineStr">
        <is>
          <t>WIRE OF COPPER-ZINC BASE ALLOYS(BRASS) CROSS-SECTIONAL DIMENSION &lt;= 6MM</t>
        </is>
      </c>
      <c r="E2629" s="3" t="n">
        <v>0.02</v>
      </c>
      <c r="F2629" s="3" t="n">
        <v>0.03</v>
      </c>
      <c r="G2629" s="3">
        <f>F2629-E2629</f>
        <v/>
      </c>
      <c r="H2629" s="4">
        <f>IF(E2629=0,"",F2629/E2629-1)</f>
        <v/>
      </c>
      <c r="I2629" t="inlineStr"/>
    </row>
    <row r="2630">
      <c r="A2630" t="inlineStr">
        <is>
          <t>Base metals &amp; articles</t>
        </is>
      </c>
      <c r="B2630" t="inlineStr">
        <is>
          <t>74</t>
        </is>
      </c>
      <c r="C2630" t="inlineStr">
        <is>
          <t>74153990</t>
        </is>
      </c>
      <c r="D2630" t="inlineStr">
        <is>
          <t>OTHER THREADED ARTICLES N.E.S.</t>
        </is>
      </c>
      <c r="E2630" s="3" t="n">
        <v>0.8</v>
      </c>
      <c r="F2630" s="3" t="n">
        <v>0.03</v>
      </c>
      <c r="G2630" s="3">
        <f>F2630-E2630</f>
        <v/>
      </c>
      <c r="H2630" s="4">
        <f>IF(E2630=0,"",F2630/E2630-1)</f>
        <v/>
      </c>
      <c r="I2630" t="inlineStr"/>
    </row>
    <row r="2631">
      <c r="A2631" t="inlineStr">
        <is>
          <t>Base metals &amp; articles</t>
        </is>
      </c>
      <c r="B2631" t="inlineStr">
        <is>
          <t>74</t>
        </is>
      </c>
      <c r="C2631" t="inlineStr">
        <is>
          <t>74181039</t>
        </is>
      </c>
      <c r="D2631" t="inlineStr">
        <is>
          <t>OTHER UTENSILS</t>
        </is>
      </c>
      <c r="E2631" s="3" t="n">
        <v>0.06</v>
      </c>
      <c r="F2631" s="3" t="n">
        <v>0.03</v>
      </c>
      <c r="G2631" s="3">
        <f>F2631-E2631</f>
        <v/>
      </c>
      <c r="H2631" s="4">
        <f>IF(E2631=0,"",F2631/E2631-1)</f>
        <v/>
      </c>
      <c r="I2631" t="inlineStr"/>
    </row>
    <row r="2632">
      <c r="A2632" t="inlineStr">
        <is>
          <t>Base metals &amp; articles</t>
        </is>
      </c>
      <c r="B2632" t="inlineStr">
        <is>
          <t>75</t>
        </is>
      </c>
      <c r="C2632" t="inlineStr">
        <is>
          <t>75030010</t>
        </is>
      </c>
      <c r="D2632" t="inlineStr">
        <is>
          <t>NICKLE SCRAP COVERED BY ISRI CODE AROMA, BARLY,DANDY,DAUNT,DELTA,DECOY,DEPTH,HITCH,HOUSE, IDEAL,INDIAN,JUNTO,LEMON,LEMU</t>
        </is>
      </c>
      <c r="E2632" s="3" t="n">
        <v>0</v>
      </c>
      <c r="F2632" s="3" t="n">
        <v>0.03</v>
      </c>
      <c r="G2632" s="3">
        <f>F2632-E2632</f>
        <v/>
      </c>
      <c r="H2632" s="4">
        <f>IF(E2632=0,"",F2632/E2632-1)</f>
        <v/>
      </c>
      <c r="I2632" t="inlineStr"/>
    </row>
    <row r="2633">
      <c r="A2633" t="inlineStr">
        <is>
          <t>Base metals &amp; articles</t>
        </is>
      </c>
      <c r="B2633" t="inlineStr">
        <is>
          <t>76</t>
        </is>
      </c>
      <c r="C2633" t="inlineStr">
        <is>
          <t>76011090</t>
        </is>
      </c>
      <c r="D2633" t="inlineStr">
        <is>
          <t>OTHER ALUMINIUM-NOT ALLOYED</t>
        </is>
      </c>
      <c r="E2633" s="3" t="n">
        <v>0</v>
      </c>
      <c r="F2633" s="3" t="n">
        <v>0.03</v>
      </c>
      <c r="G2633" s="3">
        <f>F2633-E2633</f>
        <v/>
      </c>
      <c r="H2633" s="4">
        <f>IF(E2633=0,"",F2633/E2633-1)</f>
        <v/>
      </c>
      <c r="I2633" t="inlineStr"/>
    </row>
    <row r="2634">
      <c r="A2634" t="inlineStr">
        <is>
          <t>Base metals &amp; articles</t>
        </is>
      </c>
      <c r="B2634" t="inlineStr">
        <is>
          <t>76</t>
        </is>
      </c>
      <c r="C2634" t="inlineStr">
        <is>
          <t>76020090</t>
        </is>
      </c>
      <c r="D2634" t="inlineStr">
        <is>
          <t>OTHER ALUMINIUM WASTE AND SCRAP</t>
        </is>
      </c>
      <c r="E2634" s="3" t="n">
        <v>0</v>
      </c>
      <c r="F2634" s="3" t="n">
        <v>0.03</v>
      </c>
      <c r="G2634" s="3">
        <f>F2634-E2634</f>
        <v/>
      </c>
      <c r="H2634" s="4">
        <f>IF(E2634=0,"",F2634/E2634-1)</f>
        <v/>
      </c>
      <c r="I2634" t="inlineStr"/>
    </row>
    <row r="2635">
      <c r="A2635" t="inlineStr">
        <is>
          <t>Base metals &amp; articles</t>
        </is>
      </c>
      <c r="B2635" t="inlineStr">
        <is>
          <t>76</t>
        </is>
      </c>
      <c r="C2635" t="inlineStr">
        <is>
          <t>76052100</t>
        </is>
      </c>
      <c r="D2635" t="inlineStr">
        <is>
          <t>WIRE OF ALUMINIUM ALLOYS OF WHICH MAXIMUM CROSS-SCTNL DIMENSION EXCEEDS 7 MM</t>
        </is>
      </c>
      <c r="E2635" s="3" t="n">
        <v>0</v>
      </c>
      <c r="F2635" s="3" t="n">
        <v>0.03</v>
      </c>
      <c r="G2635" s="3">
        <f>F2635-E2635</f>
        <v/>
      </c>
      <c r="H2635" s="4">
        <f>IF(E2635=0,"",F2635/E2635-1)</f>
        <v/>
      </c>
      <c r="I2635" t="inlineStr"/>
    </row>
    <row r="2636">
      <c r="A2636" t="inlineStr">
        <is>
          <t>Base metals &amp; articles</t>
        </is>
      </c>
      <c r="B2636" t="inlineStr">
        <is>
          <t>76</t>
        </is>
      </c>
      <c r="C2636" t="inlineStr">
        <is>
          <t>76152090</t>
        </is>
      </c>
      <c r="D2636" t="inlineStr">
        <is>
          <t>OTHER SANITARY WAREANDPARTS THEREOF OF ALUMN</t>
        </is>
      </c>
      <c r="E2636" s="3" t="n">
        <v>0.9399999999999999</v>
      </c>
      <c r="F2636" s="3" t="n">
        <v>0.03</v>
      </c>
      <c r="G2636" s="3">
        <f>F2636-E2636</f>
        <v/>
      </c>
      <c r="H2636" s="4">
        <f>IF(E2636=0,"",F2636/E2636-1)</f>
        <v/>
      </c>
      <c r="I2636" t="inlineStr"/>
    </row>
    <row r="2637">
      <c r="A2637" t="inlineStr">
        <is>
          <t>Base metals &amp; articles</t>
        </is>
      </c>
      <c r="B2637" t="inlineStr">
        <is>
          <t>79</t>
        </is>
      </c>
      <c r="C2637" t="inlineStr">
        <is>
          <t>79011200</t>
        </is>
      </c>
      <c r="D2637" t="inlineStr">
        <is>
          <t>ZINC,NOT ALLOYED,CONTNG BY WT&lt;99.99% ZINC</t>
        </is>
      </c>
      <c r="E2637" s="3" t="n">
        <v>0</v>
      </c>
      <c r="F2637" s="3" t="n">
        <v>0.03</v>
      </c>
      <c r="G2637" s="3">
        <f>F2637-E2637</f>
        <v/>
      </c>
      <c r="H2637" s="4">
        <f>IF(E2637=0,"",F2637/E2637-1)</f>
        <v/>
      </c>
      <c r="I2637" t="inlineStr"/>
    </row>
    <row r="2638">
      <c r="A2638" t="inlineStr">
        <is>
          <t>Base metals &amp; articles</t>
        </is>
      </c>
      <c r="B2638" t="inlineStr">
        <is>
          <t>79</t>
        </is>
      </c>
      <c r="C2638" t="inlineStr">
        <is>
          <t>79050030</t>
        </is>
      </c>
      <c r="D2638" t="inlineStr">
        <is>
          <t>SHEETS, STRIP AND CIRCLES OF ZINC</t>
        </is>
      </c>
      <c r="E2638" s="3" t="n">
        <v>0</v>
      </c>
      <c r="F2638" s="3" t="n">
        <v>0.03</v>
      </c>
      <c r="G2638" s="3">
        <f>F2638-E2638</f>
        <v/>
      </c>
      <c r="H2638" s="4">
        <f>IF(E2638=0,"",F2638/E2638-1)</f>
        <v/>
      </c>
      <c r="I2638" t="inlineStr"/>
    </row>
    <row r="2639">
      <c r="A2639" t="inlineStr">
        <is>
          <t>Base metals &amp; articles</t>
        </is>
      </c>
      <c r="B2639" t="inlineStr">
        <is>
          <t>82</t>
        </is>
      </c>
      <c r="C2639" t="inlineStr">
        <is>
          <t>82089010</t>
        </is>
      </c>
      <c r="D2639" t="inlineStr">
        <is>
          <t>KNIVS AND CUTNG BLADES FR PAPR CUTNG MACHINS</t>
        </is>
      </c>
      <c r="E2639" s="3" t="n">
        <v>0.02</v>
      </c>
      <c r="F2639" s="3" t="n">
        <v>0.03</v>
      </c>
      <c r="G2639" s="3">
        <f>F2639-E2639</f>
        <v/>
      </c>
      <c r="H2639" s="4">
        <f>IF(E2639=0,"",F2639/E2639-1)</f>
        <v/>
      </c>
      <c r="I2639" t="inlineStr"/>
    </row>
    <row r="2640">
      <c r="A2640" t="inlineStr">
        <is>
          <t>Base metals &amp; articles</t>
        </is>
      </c>
      <c r="B2640" t="inlineStr">
        <is>
          <t>82</t>
        </is>
      </c>
      <c r="C2640" t="inlineStr">
        <is>
          <t>82100000</t>
        </is>
      </c>
      <c r="D2640" t="inlineStr">
        <is>
          <t>HND-OPRETD MCHNCL APPLNCS WEIGHNG &lt;=10KG. USED IN PRPRNG,CONDITNG,SERVNG FOOD/DRINK</t>
        </is>
      </c>
      <c r="E2640" s="3" t="n">
        <v>0.09</v>
      </c>
      <c r="F2640" s="3" t="n">
        <v>0.03</v>
      </c>
      <c r="G2640" s="3">
        <f>F2640-E2640</f>
        <v/>
      </c>
      <c r="H2640" s="4">
        <f>IF(E2640=0,"",F2640/E2640-1)</f>
        <v/>
      </c>
      <c r="I2640" t="inlineStr"/>
    </row>
    <row r="2641">
      <c r="A2641" t="inlineStr">
        <is>
          <t>Base metals &amp; articles</t>
        </is>
      </c>
      <c r="B2641" t="inlineStr">
        <is>
          <t>82</t>
        </is>
      </c>
      <c r="C2641" t="inlineStr">
        <is>
          <t>82119200</t>
        </is>
      </c>
      <c r="D2641" t="inlineStr">
        <is>
          <t>OTHR KNIVS HAVING FIXD BLADES</t>
        </is>
      </c>
      <c r="E2641" s="3" t="n">
        <v>0.03</v>
      </c>
      <c r="F2641" s="3" t="n">
        <v>0.03</v>
      </c>
      <c r="G2641" s="3">
        <f>F2641-E2641</f>
        <v/>
      </c>
      <c r="H2641" s="4">
        <f>IF(E2641=0,"",F2641/E2641-1)</f>
        <v/>
      </c>
      <c r="I2641" t="inlineStr"/>
    </row>
    <row r="2642">
      <c r="A2642" t="inlineStr">
        <is>
          <t>Base metals &amp; articles</t>
        </is>
      </c>
      <c r="B2642" t="inlineStr">
        <is>
          <t>83</t>
        </is>
      </c>
      <c r="C2642" t="inlineStr">
        <is>
          <t>83015000</t>
        </is>
      </c>
      <c r="D2642" t="inlineStr">
        <is>
          <t>CLASPS AND FRAMES WTH CLASPS,INCRPRTNG LCKS</t>
        </is>
      </c>
      <c r="E2642" s="3" t="n">
        <v>0.14</v>
      </c>
      <c r="F2642" s="3" t="n">
        <v>0.03</v>
      </c>
      <c r="G2642" s="3">
        <f>F2642-E2642</f>
        <v/>
      </c>
      <c r="H2642" s="4">
        <f>IF(E2642=0,"",F2642/E2642-1)</f>
        <v/>
      </c>
      <c r="I2642" t="inlineStr"/>
    </row>
    <row r="2643">
      <c r="A2643" t="inlineStr">
        <is>
          <t>Base metals &amp; articles</t>
        </is>
      </c>
      <c r="B2643" t="inlineStr">
        <is>
          <t>72</t>
        </is>
      </c>
      <c r="C2643" t="inlineStr">
        <is>
          <t>72083610</t>
        </is>
      </c>
      <c r="D2643" t="inlineStr">
        <is>
          <t>PLATES OF FLAT-ROLD PRDCTS IN COILS OF A THCKNS&lt; 10MM HOT-ROLD,EXCL. PICKLD</t>
        </is>
      </c>
      <c r="E2643" s="3" t="n">
        <v>0.05</v>
      </c>
      <c r="F2643" s="3" t="n">
        <v>0.02</v>
      </c>
      <c r="G2643" s="3">
        <f>F2643-E2643</f>
        <v/>
      </c>
      <c r="H2643" s="4">
        <f>IF(E2643=0,"",F2643/E2643-1)</f>
        <v/>
      </c>
      <c r="I2643" t="inlineStr"/>
    </row>
    <row r="2644">
      <c r="A2644" t="inlineStr">
        <is>
          <t>Base metals &amp; articles</t>
        </is>
      </c>
      <c r="B2644" t="inlineStr">
        <is>
          <t>72</t>
        </is>
      </c>
      <c r="C2644" t="inlineStr">
        <is>
          <t>72111990</t>
        </is>
      </c>
      <c r="D2644" t="inlineStr">
        <is>
          <t>OTHR PRDCTS,HOT RLD,OF THCKNS&lt;4.75MM</t>
        </is>
      </c>
      <c r="E2644" s="3" t="n">
        <v>1.3</v>
      </c>
      <c r="F2644" s="3" t="n">
        <v>0.02</v>
      </c>
      <c r="G2644" s="3">
        <f>F2644-E2644</f>
        <v/>
      </c>
      <c r="H2644" s="4">
        <f>IF(E2644=0,"",F2644/E2644-1)</f>
        <v/>
      </c>
      <c r="I2644" t="inlineStr"/>
    </row>
    <row r="2645">
      <c r="A2645" t="inlineStr">
        <is>
          <t>Base metals &amp; articles</t>
        </is>
      </c>
      <c r="B2645" t="inlineStr">
        <is>
          <t>72</t>
        </is>
      </c>
      <c r="C2645" t="inlineStr">
        <is>
          <t>72163100</t>
        </is>
      </c>
      <c r="D2645" t="inlineStr">
        <is>
          <t>U-SCTNS,HT-RLLD,HT-DRWN OF HEIGHT&gt;=80 MM</t>
        </is>
      </c>
      <c r="E2645" s="3" t="n">
        <v>2.15</v>
      </c>
      <c r="F2645" s="3" t="n">
        <v>0.02</v>
      </c>
      <c r="G2645" s="3">
        <f>F2645-E2645</f>
        <v/>
      </c>
      <c r="H2645" s="4">
        <f>IF(E2645=0,"",F2645/E2645-1)</f>
        <v/>
      </c>
      <c r="I2645" t="inlineStr"/>
    </row>
    <row r="2646">
      <c r="A2646" t="inlineStr">
        <is>
          <t>Base metals &amp; articles</t>
        </is>
      </c>
      <c r="B2646" t="inlineStr">
        <is>
          <t>72</t>
        </is>
      </c>
      <c r="C2646" t="inlineStr">
        <is>
          <t>72179019</t>
        </is>
      </c>
      <c r="D2646" t="inlineStr">
        <is>
          <t>SHPD AND PRFLD WIRE OF CRSS SCTN-OTHR SHPS</t>
        </is>
      </c>
      <c r="E2646" s="3" t="n">
        <v>0</v>
      </c>
      <c r="F2646" s="3" t="n">
        <v>0.02</v>
      </c>
      <c r="G2646" s="3">
        <f>F2646-E2646</f>
        <v/>
      </c>
      <c r="H2646" s="4">
        <f>IF(E2646=0,"",F2646/E2646-1)</f>
        <v/>
      </c>
      <c r="I2646" t="inlineStr"/>
    </row>
    <row r="2647">
      <c r="A2647" t="inlineStr">
        <is>
          <t>Base metals &amp; articles</t>
        </is>
      </c>
      <c r="B2647" t="inlineStr">
        <is>
          <t>72</t>
        </is>
      </c>
      <c r="C2647" t="inlineStr">
        <is>
          <t>72193320</t>
        </is>
      </c>
      <c r="D2647" t="inlineStr">
        <is>
          <t>NICKEL CHROMIUM AUSTENITIC TYPE</t>
        </is>
      </c>
      <c r="E2647" s="3" t="n">
        <v>0.09</v>
      </c>
      <c r="F2647" s="3" t="n">
        <v>0.02</v>
      </c>
      <c r="G2647" s="3">
        <f>F2647-E2647</f>
        <v/>
      </c>
      <c r="H2647" s="4">
        <f>IF(E2647=0,"",F2647/E2647-1)</f>
        <v/>
      </c>
      <c r="I2647" t="inlineStr"/>
    </row>
    <row r="2648">
      <c r="A2648" t="inlineStr">
        <is>
          <t>Base metals &amp; articles</t>
        </is>
      </c>
      <c r="B2648" t="inlineStr">
        <is>
          <t>72</t>
        </is>
      </c>
      <c r="C2648" t="inlineStr">
        <is>
          <t>72210019</t>
        </is>
      </c>
      <c r="D2648" t="inlineStr">
        <is>
          <t>OTHERS-OF-BARS AND RODS,HT-ROLLD,IN IRRGLRLY WOUNDCOILS,OF STNLS STL</t>
        </is>
      </c>
      <c r="E2648" s="3" t="n">
        <v>0</v>
      </c>
      <c r="F2648" s="3" t="n">
        <v>0.02</v>
      </c>
      <c r="G2648" s="3">
        <f>F2648-E2648</f>
        <v/>
      </c>
      <c r="H2648" s="4">
        <f>IF(E2648=0,"",F2648/E2648-1)</f>
        <v/>
      </c>
      <c r="I2648" t="inlineStr"/>
    </row>
    <row r="2649">
      <c r="A2649" t="inlineStr">
        <is>
          <t>Base metals &amp; articles</t>
        </is>
      </c>
      <c r="B2649" t="inlineStr">
        <is>
          <t>72</t>
        </is>
      </c>
      <c r="C2649" t="inlineStr">
        <is>
          <t>72210090</t>
        </is>
      </c>
      <c r="D2649" t="inlineStr">
        <is>
          <t>BRGHT BARS N.E.S.</t>
        </is>
      </c>
      <c r="E2649" s="3" t="n">
        <v>0.01</v>
      </c>
      <c r="F2649" s="3" t="n">
        <v>0.02</v>
      </c>
      <c r="G2649" s="3">
        <f>F2649-E2649</f>
        <v/>
      </c>
      <c r="H2649" s="4">
        <f>IF(E2649=0,"",F2649/E2649-1)</f>
        <v/>
      </c>
      <c r="I2649" t="inlineStr"/>
    </row>
    <row r="2650">
      <c r="A2650" t="inlineStr">
        <is>
          <t>Base metals &amp; articles</t>
        </is>
      </c>
      <c r="B2650" t="inlineStr">
        <is>
          <t>72</t>
        </is>
      </c>
      <c r="C2650" t="inlineStr">
        <is>
          <t>72223019</t>
        </is>
      </c>
      <c r="D2650" t="inlineStr">
        <is>
          <t>OTHR BARS AND RODS OF OTHR TYPE</t>
        </is>
      </c>
      <c r="E2650" s="3" t="n">
        <v>0.19</v>
      </c>
      <c r="F2650" s="3" t="n">
        <v>0.02</v>
      </c>
      <c r="G2650" s="3">
        <f>F2650-E2650</f>
        <v/>
      </c>
      <c r="H2650" s="4">
        <f>IF(E2650=0,"",F2650/E2650-1)</f>
        <v/>
      </c>
      <c r="I2650" t="inlineStr"/>
    </row>
    <row r="2651">
      <c r="A2651" t="inlineStr">
        <is>
          <t>Base metals &amp; articles</t>
        </is>
      </c>
      <c r="B2651" t="inlineStr">
        <is>
          <t>72</t>
        </is>
      </c>
      <c r="C2651" t="inlineStr">
        <is>
          <t>72255020</t>
        </is>
      </c>
      <c r="D2651" t="inlineStr">
        <is>
          <t>COLD-ROLLED,OF THCKNS 3MM TO 4.75 MM</t>
        </is>
      </c>
      <c r="E2651" s="3" t="n">
        <v>0</v>
      </c>
      <c r="F2651" s="3" t="n">
        <v>0.02</v>
      </c>
      <c r="G2651" s="3">
        <f>F2651-E2651</f>
        <v/>
      </c>
      <c r="H2651" s="4">
        <f>IF(E2651=0,"",F2651/E2651-1)</f>
        <v/>
      </c>
      <c r="I2651" t="inlineStr"/>
    </row>
    <row r="2652">
      <c r="A2652" t="inlineStr">
        <is>
          <t>Base metals &amp; articles</t>
        </is>
      </c>
      <c r="B2652" t="inlineStr">
        <is>
          <t>72</t>
        </is>
      </c>
      <c r="C2652" t="inlineStr">
        <is>
          <t>72283019</t>
        </is>
      </c>
      <c r="D2652" t="inlineStr">
        <is>
          <t>BRIGHT BARS OFOTHER STL</t>
        </is>
      </c>
      <c r="E2652" s="3" t="n">
        <v>0.4</v>
      </c>
      <c r="F2652" s="3" t="n">
        <v>0.02</v>
      </c>
      <c r="G2652" s="3">
        <f>F2652-E2652</f>
        <v/>
      </c>
      <c r="H2652" s="4">
        <f>IF(E2652=0,"",F2652/E2652-1)</f>
        <v/>
      </c>
      <c r="I2652" t="inlineStr"/>
    </row>
    <row r="2653">
      <c r="A2653" t="inlineStr">
        <is>
          <t>Base metals &amp; articles</t>
        </is>
      </c>
      <c r="B2653" t="inlineStr">
        <is>
          <t>73</t>
        </is>
      </c>
      <c r="C2653" t="inlineStr">
        <is>
          <t>73081090</t>
        </is>
      </c>
      <c r="D2653" t="inlineStr">
        <is>
          <t>OTHERS-OF-BRIDGES AND BRIDGE SECTIONS</t>
        </is>
      </c>
      <c r="E2653" s="3" t="n">
        <v>0</v>
      </c>
      <c r="F2653" s="3" t="n">
        <v>0.02</v>
      </c>
      <c r="G2653" s="3">
        <f>F2653-E2653</f>
        <v/>
      </c>
      <c r="H2653" s="4">
        <f>IF(E2653=0,"",F2653/E2653-1)</f>
        <v/>
      </c>
      <c r="I2653" t="inlineStr"/>
    </row>
    <row r="2654">
      <c r="A2654" t="inlineStr">
        <is>
          <t>Base metals &amp; articles</t>
        </is>
      </c>
      <c r="B2654" t="inlineStr">
        <is>
          <t>73</t>
        </is>
      </c>
      <c r="C2654" t="inlineStr">
        <is>
          <t>73089030</t>
        </is>
      </c>
      <c r="D2654" t="inlineStr">
        <is>
          <t>HATCHWAY,RAILS AND BULKHEADS FOR SHIPS OR BOATS AND PARTS OF HULL</t>
        </is>
      </c>
      <c r="E2654" s="3" t="n">
        <v>0</v>
      </c>
      <c r="F2654" s="3" t="n">
        <v>0.02</v>
      </c>
      <c r="G2654" s="3">
        <f>F2654-E2654</f>
        <v/>
      </c>
      <c r="H2654" s="4">
        <f>IF(E2654=0,"",F2654/E2654-1)</f>
        <v/>
      </c>
      <c r="I2654" t="inlineStr"/>
    </row>
    <row r="2655">
      <c r="A2655" t="inlineStr">
        <is>
          <t>Base metals &amp; articles</t>
        </is>
      </c>
      <c r="B2655" t="inlineStr">
        <is>
          <t>73</t>
        </is>
      </c>
      <c r="C2655" t="inlineStr">
        <is>
          <t>73101010</t>
        </is>
      </c>
      <c r="D2655" t="inlineStr">
        <is>
          <t>TIN PLATE CONTAINERS</t>
        </is>
      </c>
      <c r="E2655" s="3" t="n">
        <v>0.8</v>
      </c>
      <c r="F2655" s="3" t="n">
        <v>0.02</v>
      </c>
      <c r="G2655" s="3">
        <f>F2655-E2655</f>
        <v/>
      </c>
      <c r="H2655" s="4">
        <f>IF(E2655=0,"",F2655/E2655-1)</f>
        <v/>
      </c>
      <c r="I2655" t="inlineStr"/>
    </row>
    <row r="2656">
      <c r="A2656" t="inlineStr">
        <is>
          <t>Base metals &amp; articles</t>
        </is>
      </c>
      <c r="B2656" t="inlineStr">
        <is>
          <t>73</t>
        </is>
      </c>
      <c r="C2656" t="inlineStr">
        <is>
          <t>73102920</t>
        </is>
      </c>
      <c r="D2656" t="inlineStr">
        <is>
          <t>TRUNKS AND SUITCASES</t>
        </is>
      </c>
      <c r="E2656" s="3" t="n">
        <v>0.18</v>
      </c>
      <c r="F2656" s="3" t="n">
        <v>0.02</v>
      </c>
      <c r="G2656" s="3">
        <f>F2656-E2656</f>
        <v/>
      </c>
      <c r="H2656" s="4">
        <f>IF(E2656=0,"",F2656/E2656-1)</f>
        <v/>
      </c>
      <c r="I2656" t="inlineStr"/>
    </row>
    <row r="2657">
      <c r="A2657" t="inlineStr">
        <is>
          <t>Base metals &amp; articles</t>
        </is>
      </c>
      <c r="B2657" t="inlineStr">
        <is>
          <t>73</t>
        </is>
      </c>
      <c r="C2657" t="inlineStr">
        <is>
          <t>73182910</t>
        </is>
      </c>
      <c r="D2657" t="inlineStr">
        <is>
          <t>CIRCLIPS</t>
        </is>
      </c>
      <c r="E2657" s="3" t="n">
        <v>0.01</v>
      </c>
      <c r="F2657" s="3" t="n">
        <v>0.02</v>
      </c>
      <c r="G2657" s="3">
        <f>F2657-E2657</f>
        <v/>
      </c>
      <c r="H2657" s="4">
        <f>IF(E2657=0,"",F2657/E2657-1)</f>
        <v/>
      </c>
      <c r="I2657" t="inlineStr"/>
    </row>
    <row r="2658">
      <c r="A2658" t="inlineStr">
        <is>
          <t>Base metals &amp; articles</t>
        </is>
      </c>
      <c r="B2658" t="inlineStr">
        <is>
          <t>73</t>
        </is>
      </c>
      <c r="C2658" t="inlineStr">
        <is>
          <t>73211290</t>
        </is>
      </c>
      <c r="D2658" t="inlineStr">
        <is>
          <t>OTHER COOKING APPARATUS OF IRON OR STEEL</t>
        </is>
      </c>
      <c r="E2658" s="3" t="n">
        <v>0.04</v>
      </c>
      <c r="F2658" s="3" t="n">
        <v>0.02</v>
      </c>
      <c r="G2658" s="3">
        <f>F2658-E2658</f>
        <v/>
      </c>
      <c r="H2658" s="4">
        <f>IF(E2658=0,"",F2658/E2658-1)</f>
        <v/>
      </c>
      <c r="I2658" t="inlineStr"/>
    </row>
    <row r="2659">
      <c r="A2659" t="inlineStr">
        <is>
          <t>Base metals &amp; articles</t>
        </is>
      </c>
      <c r="B2659" t="inlineStr">
        <is>
          <t>73</t>
        </is>
      </c>
      <c r="C2659" t="inlineStr">
        <is>
          <t>73231000</t>
        </is>
      </c>
      <c r="D2659" t="inlineStr">
        <is>
          <t>IRN/STL WOOL;POT SCOURERS AND SCOURING OR POLISHING PADS,GLOVES AND THE LIKE</t>
        </is>
      </c>
      <c r="E2659" s="3" t="n">
        <v>0.05</v>
      </c>
      <c r="F2659" s="3" t="n">
        <v>0.02</v>
      </c>
      <c r="G2659" s="3">
        <f>F2659-E2659</f>
        <v/>
      </c>
      <c r="H2659" s="4">
        <f>IF(E2659=0,"",F2659/E2659-1)</f>
        <v/>
      </c>
      <c r="I2659" t="inlineStr"/>
    </row>
    <row r="2660">
      <c r="A2660" t="inlineStr">
        <is>
          <t>Base metals &amp; articles</t>
        </is>
      </c>
      <c r="B2660" t="inlineStr">
        <is>
          <t>73</t>
        </is>
      </c>
      <c r="C2660" t="inlineStr">
        <is>
          <t>73239200</t>
        </is>
      </c>
      <c r="D2660" t="inlineStr">
        <is>
          <t>OTHR HOUSHOLD ARTICLES OF CAST IRN,ENAMELD</t>
        </is>
      </c>
      <c r="E2660" s="3" t="n">
        <v>0</v>
      </c>
      <c r="F2660" s="3" t="n">
        <v>0.02</v>
      </c>
      <c r="G2660" s="3">
        <f>F2660-E2660</f>
        <v/>
      </c>
      <c r="H2660" s="4">
        <f>IF(E2660=0,"",F2660/E2660-1)</f>
        <v/>
      </c>
      <c r="I2660" t="inlineStr"/>
    </row>
    <row r="2661">
      <c r="A2661" t="inlineStr">
        <is>
          <t>Base metals &amp; articles</t>
        </is>
      </c>
      <c r="B2661" t="inlineStr">
        <is>
          <t>73</t>
        </is>
      </c>
      <c r="C2661" t="inlineStr">
        <is>
          <t>73269070</t>
        </is>
      </c>
      <c r="D2661" t="inlineStr">
        <is>
          <t>ARTICLES OF CLAD METALS</t>
        </is>
      </c>
      <c r="E2661" s="3" t="n">
        <v>0</v>
      </c>
      <c r="F2661" s="3" t="n">
        <v>0.02</v>
      </c>
      <c r="G2661" s="3">
        <f>F2661-E2661</f>
        <v/>
      </c>
      <c r="H2661" s="4">
        <f>IF(E2661=0,"",F2661/E2661-1)</f>
        <v/>
      </c>
      <c r="I2661" t="inlineStr"/>
    </row>
    <row r="2662">
      <c r="A2662" t="inlineStr">
        <is>
          <t>Base metals &amp; articles</t>
        </is>
      </c>
      <c r="B2662" t="inlineStr">
        <is>
          <t>74</t>
        </is>
      </c>
      <c r="C2662" t="inlineStr">
        <is>
          <t>74099000</t>
        </is>
      </c>
      <c r="D2662" t="inlineStr">
        <is>
          <t>PLATES,SHEETS ETC.OF OTHER COPPER ALLOYS</t>
        </is>
      </c>
      <c r="E2662" s="3" t="n">
        <v>0</v>
      </c>
      <c r="F2662" s="3" t="n">
        <v>0.02</v>
      </c>
      <c r="G2662" s="3">
        <f>F2662-E2662</f>
        <v/>
      </c>
      <c r="H2662" s="4">
        <f>IF(E2662=0,"",F2662/E2662-1)</f>
        <v/>
      </c>
      <c r="I2662" t="inlineStr"/>
    </row>
    <row r="2663">
      <c r="A2663" t="inlineStr">
        <is>
          <t>Base metals &amp; articles</t>
        </is>
      </c>
      <c r="B2663" t="inlineStr">
        <is>
          <t>74</t>
        </is>
      </c>
      <c r="C2663" t="inlineStr">
        <is>
          <t>74122012</t>
        </is>
      </c>
      <c r="D2663" t="inlineStr">
        <is>
          <t>BRASS HOSE CONNECTORS</t>
        </is>
      </c>
      <c r="E2663" s="3" t="n">
        <v>0.02</v>
      </c>
      <c r="F2663" s="3" t="n">
        <v>0.02</v>
      </c>
      <c r="G2663" s="3">
        <f>F2663-E2663</f>
        <v/>
      </c>
      <c r="H2663" s="4">
        <f>IF(E2663=0,"",F2663/E2663-1)</f>
        <v/>
      </c>
      <c r="I2663" t="inlineStr"/>
    </row>
    <row r="2664">
      <c r="A2664" t="inlineStr">
        <is>
          <t>Base metals &amp; articles</t>
        </is>
      </c>
      <c r="B2664" t="inlineStr">
        <is>
          <t>74</t>
        </is>
      </c>
      <c r="C2664" t="inlineStr">
        <is>
          <t>74152100</t>
        </is>
      </c>
      <c r="D2664" t="inlineStr">
        <is>
          <t>WASHRS(INCL SPRING WASHRS),NOT THREADED</t>
        </is>
      </c>
      <c r="E2664" s="3" t="n">
        <v>0.01</v>
      </c>
      <c r="F2664" s="3" t="n">
        <v>0.02</v>
      </c>
      <c r="G2664" s="3">
        <f>F2664-E2664</f>
        <v/>
      </c>
      <c r="H2664" s="4">
        <f>IF(E2664=0,"",F2664/E2664-1)</f>
        <v/>
      </c>
      <c r="I2664" t="inlineStr"/>
    </row>
    <row r="2665">
      <c r="A2665" t="inlineStr">
        <is>
          <t>Base metals &amp; articles</t>
        </is>
      </c>
      <c r="B2665" t="inlineStr">
        <is>
          <t>74</t>
        </is>
      </c>
      <c r="C2665" t="inlineStr">
        <is>
          <t>74181090</t>
        </is>
      </c>
      <c r="D2665" t="inlineStr">
        <is>
          <t>PARTS</t>
        </is>
      </c>
      <c r="E2665" s="3" t="n">
        <v>0.05</v>
      </c>
      <c r="F2665" s="3" t="n">
        <v>0.02</v>
      </c>
      <c r="G2665" s="3">
        <f>F2665-E2665</f>
        <v/>
      </c>
      <c r="H2665" s="4">
        <f>IF(E2665=0,"",F2665/E2665-1)</f>
        <v/>
      </c>
      <c r="I2665" t="inlineStr"/>
    </row>
    <row r="2666">
      <c r="A2666" t="inlineStr">
        <is>
          <t>Base metals &amp; articles</t>
        </is>
      </c>
      <c r="B2666" t="inlineStr">
        <is>
          <t>76</t>
        </is>
      </c>
      <c r="C2666" t="inlineStr">
        <is>
          <t>76072010</t>
        </is>
      </c>
      <c r="D2666" t="inlineStr">
        <is>
          <t>BACKD ALUMNM FOIL FOR TEA CHST LINING</t>
        </is>
      </c>
      <c r="E2666" s="3" t="n">
        <v>0.01</v>
      </c>
      <c r="F2666" s="3" t="n">
        <v>0.02</v>
      </c>
      <c r="G2666" s="3">
        <f>F2666-E2666</f>
        <v/>
      </c>
      <c r="H2666" s="4">
        <f>IF(E2666=0,"",F2666/E2666-1)</f>
        <v/>
      </c>
      <c r="I2666" t="inlineStr"/>
    </row>
    <row r="2667">
      <c r="A2667" t="inlineStr">
        <is>
          <t>Base metals &amp; articles</t>
        </is>
      </c>
      <c r="B2667" t="inlineStr">
        <is>
          <t>76</t>
        </is>
      </c>
      <c r="C2667" t="inlineStr">
        <is>
          <t>76109021</t>
        </is>
      </c>
      <c r="D2667" t="inlineStr">
        <is>
          <t>PORTABLE BRIDGE</t>
        </is>
      </c>
      <c r="E2667" s="3" t="n">
        <v>0</v>
      </c>
      <c r="F2667" s="3" t="n">
        <v>0.02</v>
      </c>
      <c r="G2667" s="3">
        <f>F2667-E2667</f>
        <v/>
      </c>
      <c r="H2667" s="4">
        <f>IF(E2667=0,"",F2667/E2667-1)</f>
        <v/>
      </c>
      <c r="I2667" t="inlineStr"/>
    </row>
    <row r="2668">
      <c r="A2668" t="inlineStr">
        <is>
          <t>Base metals &amp; articles</t>
        </is>
      </c>
      <c r="B2668" t="inlineStr">
        <is>
          <t>76</t>
        </is>
      </c>
      <c r="C2668" t="inlineStr">
        <is>
          <t>76151012</t>
        </is>
      </c>
      <c r="D2668" t="inlineStr">
        <is>
          <t>SOLAR COLLECTORS</t>
        </is>
      </c>
      <c r="E2668" s="3" t="n">
        <v>0</v>
      </c>
      <c r="F2668" s="3" t="n">
        <v>0.02</v>
      </c>
      <c r="G2668" s="3">
        <f>F2668-E2668</f>
        <v/>
      </c>
      <c r="H2668" s="4">
        <f>IF(E2668=0,"",F2668/E2668-1)</f>
        <v/>
      </c>
      <c r="I2668" t="inlineStr"/>
    </row>
    <row r="2669">
      <c r="A2669" t="inlineStr">
        <is>
          <t>Base metals &amp; articles</t>
        </is>
      </c>
      <c r="B2669" t="inlineStr">
        <is>
          <t>81</t>
        </is>
      </c>
      <c r="C2669" t="inlineStr">
        <is>
          <t>81089010</t>
        </is>
      </c>
      <c r="D2669" t="inlineStr">
        <is>
          <t>TITANIUM WROUGHT</t>
        </is>
      </c>
      <c r="E2669" s="3" t="n">
        <v>0.01</v>
      </c>
      <c r="F2669" s="3" t="n">
        <v>0.02</v>
      </c>
      <c r="G2669" s="3">
        <f>F2669-E2669</f>
        <v/>
      </c>
      <c r="H2669" s="4">
        <f>IF(E2669=0,"",F2669/E2669-1)</f>
        <v/>
      </c>
      <c r="I2669" t="inlineStr"/>
    </row>
    <row r="2670">
      <c r="A2670" t="inlineStr">
        <is>
          <t>Base metals &amp; articles</t>
        </is>
      </c>
      <c r="B2670" t="inlineStr">
        <is>
          <t>82</t>
        </is>
      </c>
      <c r="C2670" t="inlineStr">
        <is>
          <t>82029120</t>
        </is>
      </c>
      <c r="D2670" t="inlineStr">
        <is>
          <t>HACK SAW BLADES,HAND OPERATED</t>
        </is>
      </c>
      <c r="E2670" s="3" t="n">
        <v>0</v>
      </c>
      <c r="F2670" s="3" t="n">
        <v>0.02</v>
      </c>
      <c r="G2670" s="3">
        <f>F2670-E2670</f>
        <v/>
      </c>
      <c r="H2670" s="4">
        <f>IF(E2670=0,"",F2670/E2670-1)</f>
        <v/>
      </c>
      <c r="I2670" t="inlineStr"/>
    </row>
    <row r="2671">
      <c r="A2671" t="inlineStr">
        <is>
          <t>Base metals &amp; articles</t>
        </is>
      </c>
      <c r="B2671" t="inlineStr">
        <is>
          <t>82</t>
        </is>
      </c>
      <c r="C2671" t="inlineStr">
        <is>
          <t>82031000</t>
        </is>
      </c>
      <c r="D2671" t="inlineStr">
        <is>
          <t>FILES,RASPS AND SMRL TOOLS</t>
        </is>
      </c>
      <c r="E2671" s="3" t="n">
        <v>0.01</v>
      </c>
      <c r="F2671" s="3" t="n">
        <v>0.02</v>
      </c>
      <c r="G2671" s="3">
        <f>F2671-E2671</f>
        <v/>
      </c>
      <c r="H2671" s="4">
        <f>IF(E2671=0,"",F2671/E2671-1)</f>
        <v/>
      </c>
      <c r="I2671" t="inlineStr"/>
    </row>
    <row r="2672">
      <c r="A2672" t="inlineStr">
        <is>
          <t>Base metals &amp; articles</t>
        </is>
      </c>
      <c r="B2672" t="inlineStr">
        <is>
          <t>82</t>
        </is>
      </c>
      <c r="C2672" t="inlineStr">
        <is>
          <t>82034090</t>
        </is>
      </c>
      <c r="D2672" t="inlineStr">
        <is>
          <t>OTHERS-OF-PIPE CUTTRS,BOLT CROPPRS ETC.SMLR TOOLS</t>
        </is>
      </c>
      <c r="E2672" s="3" t="n">
        <v>0.03</v>
      </c>
      <c r="F2672" s="3" t="n">
        <v>0.02</v>
      </c>
      <c r="G2672" s="3">
        <f>F2672-E2672</f>
        <v/>
      </c>
      <c r="H2672" s="4">
        <f>IF(E2672=0,"",F2672/E2672-1)</f>
        <v/>
      </c>
      <c r="I2672" t="inlineStr"/>
    </row>
    <row r="2673">
      <c r="A2673" t="inlineStr">
        <is>
          <t>Base metals &amp; articles</t>
        </is>
      </c>
      <c r="B2673" t="inlineStr">
        <is>
          <t>82</t>
        </is>
      </c>
      <c r="C2673" t="inlineStr">
        <is>
          <t>82060010</t>
        </is>
      </c>
      <c r="D2673" t="inlineStr">
        <is>
          <t>GARAGE TOOLS IN SETS</t>
        </is>
      </c>
      <c r="E2673" s="3" t="n">
        <v>0</v>
      </c>
      <c r="F2673" s="3" t="n">
        <v>0.02</v>
      </c>
      <c r="G2673" s="3">
        <f>F2673-E2673</f>
        <v/>
      </c>
      <c r="H2673" s="4">
        <f>IF(E2673=0,"",F2673/E2673-1)</f>
        <v/>
      </c>
      <c r="I2673" t="inlineStr"/>
    </row>
    <row r="2674">
      <c r="A2674" t="inlineStr">
        <is>
          <t>Base metals &amp; articles</t>
        </is>
      </c>
      <c r="B2674" t="inlineStr">
        <is>
          <t>82</t>
        </is>
      </c>
      <c r="C2674" t="inlineStr">
        <is>
          <t>82074010</t>
        </is>
      </c>
      <c r="D2674" t="inlineStr">
        <is>
          <t>CHASERS</t>
        </is>
      </c>
      <c r="E2674" s="3" t="n">
        <v>0.05</v>
      </c>
      <c r="F2674" s="3" t="n">
        <v>0.02</v>
      </c>
      <c r="G2674" s="3">
        <f>F2674-E2674</f>
        <v/>
      </c>
      <c r="H2674" s="4">
        <f>IF(E2674=0,"",F2674/E2674-1)</f>
        <v/>
      </c>
      <c r="I2674" t="inlineStr"/>
    </row>
    <row r="2675">
      <c r="A2675" t="inlineStr">
        <is>
          <t>Base metals &amp; articles</t>
        </is>
      </c>
      <c r="B2675" t="inlineStr">
        <is>
          <t>82</t>
        </is>
      </c>
      <c r="C2675" t="inlineStr">
        <is>
          <t>82079010</t>
        </is>
      </c>
      <c r="D2675" t="inlineStr">
        <is>
          <t>METAL WORKING HANDTOOLS</t>
        </is>
      </c>
      <c r="E2675" s="3" t="n">
        <v>0.04</v>
      </c>
      <c r="F2675" s="3" t="n">
        <v>0.02</v>
      </c>
      <c r="G2675" s="3">
        <f>F2675-E2675</f>
        <v/>
      </c>
      <c r="H2675" s="4">
        <f>IF(E2675=0,"",F2675/E2675-1)</f>
        <v/>
      </c>
      <c r="I2675" t="inlineStr"/>
    </row>
    <row r="2676">
      <c r="A2676" t="inlineStr">
        <is>
          <t>Base metals &amp; articles</t>
        </is>
      </c>
      <c r="B2676" t="inlineStr">
        <is>
          <t>82</t>
        </is>
      </c>
      <c r="C2676" t="inlineStr">
        <is>
          <t>82082000</t>
        </is>
      </c>
      <c r="D2676" t="inlineStr">
        <is>
          <t>KNIVS AND CUTNG BLDS FOR WOOD WORKNG MACHNS</t>
        </is>
      </c>
      <c r="E2676" s="3" t="n">
        <v>0.03</v>
      </c>
      <c r="F2676" s="3" t="n">
        <v>0.02</v>
      </c>
      <c r="G2676" s="3">
        <f>F2676-E2676</f>
        <v/>
      </c>
      <c r="H2676" s="4">
        <f>IF(E2676=0,"",F2676/E2676-1)</f>
        <v/>
      </c>
      <c r="I2676" t="inlineStr"/>
    </row>
    <row r="2677">
      <c r="A2677" t="inlineStr">
        <is>
          <t>Base metals &amp; articles</t>
        </is>
      </c>
      <c r="B2677" t="inlineStr">
        <is>
          <t>82</t>
        </is>
      </c>
      <c r="C2677" t="inlineStr">
        <is>
          <t>82089040</t>
        </is>
      </c>
      <c r="D2677" t="inlineStr">
        <is>
          <t>CUTTING AND CLICKING DIES</t>
        </is>
      </c>
      <c r="E2677" s="3" t="n">
        <v>0.06</v>
      </c>
      <c r="F2677" s="3" t="n">
        <v>0.02</v>
      </c>
      <c r="G2677" s="3">
        <f>F2677-E2677</f>
        <v/>
      </c>
      <c r="H2677" s="4">
        <f>IF(E2677=0,"",F2677/E2677-1)</f>
        <v/>
      </c>
      <c r="I2677" t="inlineStr"/>
    </row>
    <row r="2678">
      <c r="A2678" t="inlineStr">
        <is>
          <t>Base metals &amp; articles</t>
        </is>
      </c>
      <c r="B2678" t="inlineStr">
        <is>
          <t>82</t>
        </is>
      </c>
      <c r="C2678" t="inlineStr">
        <is>
          <t>82119390</t>
        </is>
      </c>
      <c r="D2678" t="inlineStr">
        <is>
          <t>OTHER KNIVES</t>
        </is>
      </c>
      <c r="E2678" s="3" t="n">
        <v>0.07000000000000001</v>
      </c>
      <c r="F2678" s="3" t="n">
        <v>0.02</v>
      </c>
      <c r="G2678" s="3">
        <f>F2678-E2678</f>
        <v/>
      </c>
      <c r="H2678" s="4">
        <f>IF(E2678=0,"",F2678/E2678-1)</f>
        <v/>
      </c>
      <c r="I2678" t="inlineStr"/>
    </row>
    <row r="2679">
      <c r="A2679" t="inlineStr">
        <is>
          <t>Base metals &amp; articles</t>
        </is>
      </c>
      <c r="B2679" t="inlineStr">
        <is>
          <t>83</t>
        </is>
      </c>
      <c r="C2679" t="inlineStr">
        <is>
          <t>83021020</t>
        </is>
      </c>
      <c r="D2679" t="inlineStr">
        <is>
          <t>HINGES 0F BRASS</t>
        </is>
      </c>
      <c r="E2679" s="3" t="n">
        <v>0</v>
      </c>
      <c r="F2679" s="3" t="n">
        <v>0.02</v>
      </c>
      <c r="G2679" s="3">
        <f>F2679-E2679</f>
        <v/>
      </c>
      <c r="H2679" s="4">
        <f>IF(E2679=0,"",F2679/E2679-1)</f>
        <v/>
      </c>
      <c r="I2679" t="inlineStr"/>
    </row>
    <row r="2680">
      <c r="A2680" t="inlineStr">
        <is>
          <t>Base metals &amp; articles</t>
        </is>
      </c>
      <c r="B2680" t="inlineStr">
        <is>
          <t>83</t>
        </is>
      </c>
      <c r="C2680" t="inlineStr">
        <is>
          <t>83062920</t>
        </is>
      </c>
      <c r="D2680" t="inlineStr">
        <is>
          <t>OTHER TROPHIES</t>
        </is>
      </c>
      <c r="E2680" s="3" t="n">
        <v>0.01</v>
      </c>
      <c r="F2680" s="3" t="n">
        <v>0.02</v>
      </c>
      <c r="G2680" s="3">
        <f>F2680-E2680</f>
        <v/>
      </c>
      <c r="H2680" s="4">
        <f>IF(E2680=0,"",F2680/E2680-1)</f>
        <v/>
      </c>
      <c r="I2680" t="inlineStr"/>
    </row>
    <row r="2681">
      <c r="A2681" t="inlineStr">
        <is>
          <t>Base metals &amp; articles</t>
        </is>
      </c>
      <c r="B2681" t="inlineStr">
        <is>
          <t>83</t>
        </is>
      </c>
      <c r="C2681" t="inlineStr">
        <is>
          <t>83081010</t>
        </is>
      </c>
      <c r="D2681" t="inlineStr">
        <is>
          <t>HOOKS AND EYES</t>
        </is>
      </c>
      <c r="E2681" s="3" t="n">
        <v>0</v>
      </c>
      <c r="F2681" s="3" t="n">
        <v>0.02</v>
      </c>
      <c r="G2681" s="3">
        <f>F2681-E2681</f>
        <v/>
      </c>
      <c r="H2681" s="4">
        <f>IF(E2681=0,"",F2681/E2681-1)</f>
        <v/>
      </c>
      <c r="I2681" t="inlineStr"/>
    </row>
    <row r="2682">
      <c r="A2682" t="inlineStr">
        <is>
          <t>Base metals &amp; articles</t>
        </is>
      </c>
      <c r="B2682" t="inlineStr">
        <is>
          <t>83</t>
        </is>
      </c>
      <c r="C2682" t="inlineStr">
        <is>
          <t>83089040</t>
        </is>
      </c>
      <c r="D2682" t="inlineStr">
        <is>
          <t>FITNGS FOR TRAVL REQUSTS AND LEATHER GOODS</t>
        </is>
      </c>
      <c r="E2682" s="3" t="n">
        <v>0</v>
      </c>
      <c r="F2682" s="3" t="n">
        <v>0.02</v>
      </c>
      <c r="G2682" s="3">
        <f>F2682-E2682</f>
        <v/>
      </c>
      <c r="H2682" s="4">
        <f>IF(E2682=0,"",F2682/E2682-1)</f>
        <v/>
      </c>
      <c r="I2682" t="inlineStr"/>
    </row>
    <row r="2683">
      <c r="A2683" t="inlineStr">
        <is>
          <t>Base metals &amp; articles</t>
        </is>
      </c>
      <c r="B2683" t="inlineStr">
        <is>
          <t>72</t>
        </is>
      </c>
      <c r="C2683" t="inlineStr">
        <is>
          <t>72031000</t>
        </is>
      </c>
      <c r="D2683" t="inlineStr">
        <is>
          <t>FERS PRDCT OBTND BY DRCT RDCTN OF IRON ORE</t>
        </is>
      </c>
      <c r="E2683" s="3" t="n">
        <v>0</v>
      </c>
      <c r="F2683" s="3" t="n">
        <v>0.01</v>
      </c>
      <c r="G2683" s="3">
        <f>F2683-E2683</f>
        <v/>
      </c>
      <c r="H2683" s="4">
        <f>IF(E2683=0,"",F2683/E2683-1)</f>
        <v/>
      </c>
      <c r="I2683" t="inlineStr"/>
    </row>
    <row r="2684">
      <c r="A2684" t="inlineStr">
        <is>
          <t>Base metals &amp; articles</t>
        </is>
      </c>
      <c r="B2684" t="inlineStr">
        <is>
          <t>72</t>
        </is>
      </c>
      <c r="C2684" t="inlineStr">
        <is>
          <t>72084090</t>
        </is>
      </c>
      <c r="D2684" t="inlineStr">
        <is>
          <t>OTHR FLAT-ROLD PRDCTS IN COILS NT FRT HR WRKD THN HOT-RLD WTH PATRNS IN RELIEF</t>
        </is>
      </c>
      <c r="E2684" s="3" t="n">
        <v>0</v>
      </c>
      <c r="F2684" s="3" t="n">
        <v>0.01</v>
      </c>
      <c r="G2684" s="3">
        <f>F2684-E2684</f>
        <v/>
      </c>
      <c r="H2684" s="4">
        <f>IF(E2684=0,"",F2684/E2684-1)</f>
        <v/>
      </c>
      <c r="I2684" t="inlineStr"/>
    </row>
    <row r="2685">
      <c r="A2685" t="inlineStr">
        <is>
          <t>Base metals &amp; articles</t>
        </is>
      </c>
      <c r="B2685" t="inlineStr">
        <is>
          <t>72</t>
        </is>
      </c>
      <c r="C2685" t="inlineStr">
        <is>
          <t>72119090</t>
        </is>
      </c>
      <c r="D2685" t="inlineStr">
        <is>
          <t>OTHERS-OF-OTHER FLT-RLLD PRDCTS OF IRN/NON-ALOY STL OF WDTH&lt;600MM,NT CLD,PLATD/COATD</t>
        </is>
      </c>
      <c r="E2685" s="3" t="n">
        <v>0.05</v>
      </c>
      <c r="F2685" s="3" t="n">
        <v>0.01</v>
      </c>
      <c r="G2685" s="3">
        <f>F2685-E2685</f>
        <v/>
      </c>
      <c r="H2685" s="4">
        <f>IF(E2685=0,"",F2685/E2685-1)</f>
        <v/>
      </c>
      <c r="I2685" t="inlineStr"/>
    </row>
    <row r="2686">
      <c r="A2686" t="inlineStr">
        <is>
          <t>Base metals &amp; articles</t>
        </is>
      </c>
      <c r="B2686" t="inlineStr">
        <is>
          <t>72</t>
        </is>
      </c>
      <c r="C2686" t="inlineStr">
        <is>
          <t>72173010</t>
        </is>
      </c>
      <c r="D2686" t="inlineStr">
        <is>
          <t>WIRE, 18 SWG AND THICKER</t>
        </is>
      </c>
      <c r="E2686" s="3" t="n">
        <v>0.01</v>
      </c>
      <c r="F2686" s="3" t="n">
        <v>0.01</v>
      </c>
      <c r="G2686" s="3">
        <f>F2686-E2686</f>
        <v/>
      </c>
      <c r="H2686" s="4">
        <f>IF(E2686=0,"",F2686/E2686-1)</f>
        <v/>
      </c>
      <c r="I2686" t="inlineStr"/>
    </row>
    <row r="2687">
      <c r="A2687" t="inlineStr">
        <is>
          <t>Base metals &amp; articles</t>
        </is>
      </c>
      <c r="B2687" t="inlineStr">
        <is>
          <t>72</t>
        </is>
      </c>
      <c r="C2687" t="inlineStr">
        <is>
          <t>72173020</t>
        </is>
      </c>
      <c r="D2687" t="inlineStr">
        <is>
          <t>WIRE, THINNER THAN 18 SWG UPTO 26 SWG</t>
        </is>
      </c>
      <c r="E2687" s="3" t="n">
        <v>0</v>
      </c>
      <c r="F2687" s="3" t="n">
        <v>0.01</v>
      </c>
      <c r="G2687" s="3">
        <f>F2687-E2687</f>
        <v/>
      </c>
      <c r="H2687" s="4">
        <f>IF(E2687=0,"",F2687/E2687-1)</f>
        <v/>
      </c>
      <c r="I2687" t="inlineStr"/>
    </row>
    <row r="2688">
      <c r="A2688" t="inlineStr">
        <is>
          <t>Base metals &amp; articles</t>
        </is>
      </c>
      <c r="B2688" t="inlineStr">
        <is>
          <t>72</t>
        </is>
      </c>
      <c r="C2688" t="inlineStr">
        <is>
          <t>72189990</t>
        </is>
      </c>
      <c r="D2688" t="inlineStr">
        <is>
          <t>OTHERS-OF-OTHER SEMI-FINISHED PRODUCTS OF STAINLS ST</t>
        </is>
      </c>
      <c r="E2688" s="3" t="n">
        <v>0.01</v>
      </c>
      <c r="F2688" s="3" t="n">
        <v>0.01</v>
      </c>
      <c r="G2688" s="3">
        <f>F2688-E2688</f>
        <v/>
      </c>
      <c r="H2688" s="4">
        <f>IF(E2688=0,"",F2688/E2688-1)</f>
        <v/>
      </c>
      <c r="I2688" t="inlineStr"/>
    </row>
    <row r="2689">
      <c r="A2689" t="inlineStr">
        <is>
          <t>Base metals &amp; articles</t>
        </is>
      </c>
      <c r="B2689" t="inlineStr">
        <is>
          <t>72</t>
        </is>
      </c>
      <c r="C2689" t="inlineStr">
        <is>
          <t>72191300</t>
        </is>
      </c>
      <c r="D2689" t="inlineStr">
        <is>
          <t>HT-RLLD PRDCTS IN COILS OFTHCKNS &gt;= 3 MM BT &lt; 4.75 MM</t>
        </is>
      </c>
      <c r="E2689" s="3" t="n">
        <v>0.3</v>
      </c>
      <c r="F2689" s="3" t="n">
        <v>0.01</v>
      </c>
      <c r="G2689" s="3">
        <f>F2689-E2689</f>
        <v/>
      </c>
      <c r="H2689" s="4">
        <f>IF(E2689=0,"",F2689/E2689-1)</f>
        <v/>
      </c>
      <c r="I2689" t="inlineStr"/>
    </row>
    <row r="2690">
      <c r="A2690" t="inlineStr">
        <is>
          <t>Base metals &amp; articles</t>
        </is>
      </c>
      <c r="B2690" t="inlineStr">
        <is>
          <t>72</t>
        </is>
      </c>
      <c r="C2690" t="inlineStr">
        <is>
          <t>72223012</t>
        </is>
      </c>
      <c r="D2690" t="inlineStr">
        <is>
          <t>BRIGHT BARS-NCKL CHROMIUM AUSTENITIC TYPE</t>
        </is>
      </c>
      <c r="E2690" s="3" t="n">
        <v>0</v>
      </c>
      <c r="F2690" s="3" t="n">
        <v>0.01</v>
      </c>
      <c r="G2690" s="3">
        <f>F2690-E2690</f>
        <v/>
      </c>
      <c r="H2690" s="4">
        <f>IF(E2690=0,"",F2690/E2690-1)</f>
        <v/>
      </c>
      <c r="I2690" t="inlineStr"/>
    </row>
    <row r="2691">
      <c r="A2691" t="inlineStr">
        <is>
          <t>Base metals &amp; articles</t>
        </is>
      </c>
      <c r="B2691" t="inlineStr">
        <is>
          <t>72</t>
        </is>
      </c>
      <c r="C2691" t="inlineStr">
        <is>
          <t>72230099</t>
        </is>
      </c>
      <c r="D2691" t="inlineStr">
        <is>
          <t>WIRE OF STNLS STL OF THICKNS &lt; 0.46 MM</t>
        </is>
      </c>
      <c r="E2691" s="3" t="n">
        <v>0</v>
      </c>
      <c r="F2691" s="3" t="n">
        <v>0.01</v>
      </c>
      <c r="G2691" s="3">
        <f>F2691-E2691</f>
        <v/>
      </c>
      <c r="H2691" s="4">
        <f>IF(E2691=0,"",F2691/E2691-1)</f>
        <v/>
      </c>
      <c r="I2691" t="inlineStr"/>
    </row>
    <row r="2692">
      <c r="A2692" t="inlineStr">
        <is>
          <t>Base metals &amp; articles</t>
        </is>
      </c>
      <c r="B2692" t="inlineStr">
        <is>
          <t>72</t>
        </is>
      </c>
      <c r="C2692" t="inlineStr">
        <is>
          <t>72286094</t>
        </is>
      </c>
      <c r="D2692" t="inlineStr">
        <is>
          <t>BARS AND RODS OF TOOL AND DIE STEEL</t>
        </is>
      </c>
      <c r="E2692" s="3" t="n">
        <v>0.04</v>
      </c>
      <c r="F2692" s="3" t="n">
        <v>0.01</v>
      </c>
      <c r="G2692" s="3">
        <f>F2692-E2692</f>
        <v/>
      </c>
      <c r="H2692" s="4">
        <f>IF(E2692=0,"",F2692/E2692-1)</f>
        <v/>
      </c>
      <c r="I2692" t="inlineStr"/>
    </row>
    <row r="2693">
      <c r="A2693" t="inlineStr">
        <is>
          <t>Base metals &amp; articles</t>
        </is>
      </c>
      <c r="B2693" t="inlineStr">
        <is>
          <t>73</t>
        </is>
      </c>
      <c r="C2693" t="inlineStr">
        <is>
          <t>73051221</t>
        </is>
      </c>
      <c r="D2693" t="inlineStr">
        <is>
          <t>*OTHER LONGITUDINALLY WELDED GALVANISED PIPE OF IRON FOR OIL OR GAS</t>
        </is>
      </c>
      <c r="E2693" s="3" t="n">
        <v>0</v>
      </c>
      <c r="F2693" s="3" t="n">
        <v>0.01</v>
      </c>
      <c r="G2693" s="3">
        <f>F2693-E2693</f>
        <v/>
      </c>
      <c r="H2693" s="4">
        <f>IF(E2693=0,"",F2693/E2693-1)</f>
        <v/>
      </c>
      <c r="I2693" t="inlineStr"/>
    </row>
    <row r="2694">
      <c r="A2694" t="inlineStr">
        <is>
          <t>Base metals &amp; articles</t>
        </is>
      </c>
      <c r="B2694" t="inlineStr">
        <is>
          <t>73</t>
        </is>
      </c>
      <c r="C2694" t="inlineStr">
        <is>
          <t>73079310</t>
        </is>
      </c>
      <c r="D2694" t="inlineStr">
        <is>
          <t>GALVANISED</t>
        </is>
      </c>
      <c r="E2694" s="3" t="n">
        <v>0.01</v>
      </c>
      <c r="F2694" s="3" t="n">
        <v>0.01</v>
      </c>
      <c r="G2694" s="3">
        <f>F2694-E2694</f>
        <v/>
      </c>
      <c r="H2694" s="4">
        <f>IF(E2694=0,"",F2694/E2694-1)</f>
        <v/>
      </c>
      <c r="I2694" t="inlineStr"/>
    </row>
    <row r="2695">
      <c r="A2695" t="inlineStr">
        <is>
          <t>Base metals &amp; articles</t>
        </is>
      </c>
      <c r="B2695" t="inlineStr">
        <is>
          <t>73</t>
        </is>
      </c>
      <c r="C2695" t="inlineStr">
        <is>
          <t>73144910</t>
        </is>
      </c>
      <c r="D2695" t="inlineStr">
        <is>
          <t>WIRE NETTING</t>
        </is>
      </c>
      <c r="E2695" s="3" t="n">
        <v>0</v>
      </c>
      <c r="F2695" s="3" t="n">
        <v>0.01</v>
      </c>
      <c r="G2695" s="3">
        <f>F2695-E2695</f>
        <v/>
      </c>
      <c r="H2695" s="4">
        <f>IF(E2695=0,"",F2695/E2695-1)</f>
        <v/>
      </c>
      <c r="I2695" t="inlineStr"/>
    </row>
    <row r="2696">
      <c r="A2696" t="inlineStr">
        <is>
          <t>Base metals &amp; articles</t>
        </is>
      </c>
      <c r="B2696" t="inlineStr">
        <is>
          <t>73</t>
        </is>
      </c>
      <c r="C2696" t="inlineStr">
        <is>
          <t>73201019</t>
        </is>
      </c>
      <c r="D2696" t="inlineStr">
        <is>
          <t>OTHER LEAF-SPRINGS</t>
        </is>
      </c>
      <c r="E2696" s="3" t="n">
        <v>0</v>
      </c>
      <c r="F2696" s="3" t="n">
        <v>0.01</v>
      </c>
      <c r="G2696" s="3">
        <f>F2696-E2696</f>
        <v/>
      </c>
      <c r="H2696" s="4">
        <f>IF(E2696=0,"",F2696/E2696-1)</f>
        <v/>
      </c>
      <c r="I2696" t="inlineStr"/>
    </row>
    <row r="2697">
      <c r="A2697" t="inlineStr">
        <is>
          <t>Base metals &amp; articles</t>
        </is>
      </c>
      <c r="B2697" t="inlineStr">
        <is>
          <t>73</t>
        </is>
      </c>
      <c r="C2697" t="inlineStr">
        <is>
          <t>73211120</t>
        </is>
      </c>
      <c r="D2697" t="inlineStr">
        <is>
          <t>OTHER STOVES</t>
        </is>
      </c>
      <c r="E2697" s="3" t="n">
        <v>0</v>
      </c>
      <c r="F2697" s="3" t="n">
        <v>0.01</v>
      </c>
      <c r="G2697" s="3">
        <f>F2697-E2697</f>
        <v/>
      </c>
      <c r="H2697" s="4">
        <f>IF(E2697=0,"",F2697/E2697-1)</f>
        <v/>
      </c>
      <c r="I2697" t="inlineStr"/>
    </row>
    <row r="2698">
      <c r="A2698" t="inlineStr">
        <is>
          <t>Base metals &amp; articles</t>
        </is>
      </c>
      <c r="B2698" t="inlineStr">
        <is>
          <t>73</t>
        </is>
      </c>
      <c r="C2698" t="inlineStr">
        <is>
          <t>73259992</t>
        </is>
      </c>
      <c r="D2698" t="inlineStr">
        <is>
          <t>DRAIN COVERS</t>
        </is>
      </c>
      <c r="E2698" s="3" t="n">
        <v>0</v>
      </c>
      <c r="F2698" s="3" t="n">
        <v>0.01</v>
      </c>
      <c r="G2698" s="3">
        <f>F2698-E2698</f>
        <v/>
      </c>
      <c r="H2698" s="4">
        <f>IF(E2698=0,"",F2698/E2698-1)</f>
        <v/>
      </c>
      <c r="I2698" t="inlineStr"/>
    </row>
    <row r="2699">
      <c r="A2699" t="inlineStr">
        <is>
          <t>Base metals &amp; articles</t>
        </is>
      </c>
      <c r="B2699" t="inlineStr">
        <is>
          <t>73</t>
        </is>
      </c>
      <c r="C2699" t="inlineStr">
        <is>
          <t>73261100</t>
        </is>
      </c>
      <c r="D2699" t="inlineStr">
        <is>
          <t>GRINDING BALLS AND SIMILAR ARTCLS FOR MILLS,FORGED OR STAMPED BUT NOT FURTHER WORKED</t>
        </is>
      </c>
      <c r="E2699" s="3" t="n">
        <v>0.49</v>
      </c>
      <c r="F2699" s="3" t="n">
        <v>0.01</v>
      </c>
      <c r="G2699" s="3">
        <f>F2699-E2699</f>
        <v/>
      </c>
      <c r="H2699" s="4">
        <f>IF(E2699=0,"",F2699/E2699-1)</f>
        <v/>
      </c>
      <c r="I2699" t="inlineStr"/>
    </row>
    <row r="2700">
      <c r="A2700" t="inlineStr">
        <is>
          <t>Base metals &amp; articles</t>
        </is>
      </c>
      <c r="B2700" t="inlineStr">
        <is>
          <t>74</t>
        </is>
      </c>
      <c r="C2700" t="inlineStr">
        <is>
          <t>74072110</t>
        </is>
      </c>
      <c r="D2700" t="inlineStr">
        <is>
          <t>BARS OF BRASS</t>
        </is>
      </c>
      <c r="E2700" s="3" t="n">
        <v>0.09</v>
      </c>
      <c r="F2700" s="3" t="n">
        <v>0.01</v>
      </c>
      <c r="G2700" s="3">
        <f>F2700-E2700</f>
        <v/>
      </c>
      <c r="H2700" s="4">
        <f>IF(E2700=0,"",F2700/E2700-1)</f>
        <v/>
      </c>
      <c r="I2700" t="inlineStr"/>
    </row>
    <row r="2701">
      <c r="A2701" t="inlineStr">
        <is>
          <t>Base metals &amp; articles</t>
        </is>
      </c>
      <c r="B2701" t="inlineStr">
        <is>
          <t>74</t>
        </is>
      </c>
      <c r="C2701" t="inlineStr">
        <is>
          <t>74081920</t>
        </is>
      </c>
      <c r="D2701" t="inlineStr">
        <is>
          <t>WELDING WIRE OF COPR WITH CROSS SECTION &lt;=6MM</t>
        </is>
      </c>
      <c r="E2701" s="3" t="n">
        <v>0.06</v>
      </c>
      <c r="F2701" s="3" t="n">
        <v>0.01</v>
      </c>
      <c r="G2701" s="3">
        <f>F2701-E2701</f>
        <v/>
      </c>
      <c r="H2701" s="4">
        <f>IF(E2701=0,"",F2701/E2701-1)</f>
        <v/>
      </c>
      <c r="I2701" t="inlineStr"/>
    </row>
    <row r="2702">
      <c r="A2702" t="inlineStr">
        <is>
          <t>Base metals &amp; articles</t>
        </is>
      </c>
      <c r="B2702" t="inlineStr">
        <is>
          <t>74</t>
        </is>
      </c>
      <c r="C2702" t="inlineStr">
        <is>
          <t>74101200</t>
        </is>
      </c>
      <c r="D2702" t="inlineStr">
        <is>
          <t>FOIL OF COPPER ALLOYS,NOT BACKED</t>
        </is>
      </c>
      <c r="E2702" s="3" t="n">
        <v>0</v>
      </c>
      <c r="F2702" s="3" t="n">
        <v>0.01</v>
      </c>
      <c r="G2702" s="3">
        <f>F2702-E2702</f>
        <v/>
      </c>
      <c r="H2702" s="4">
        <f>IF(E2702=0,"",F2702/E2702-1)</f>
        <v/>
      </c>
      <c r="I2702" t="inlineStr"/>
    </row>
    <row r="2703">
      <c r="A2703" t="inlineStr">
        <is>
          <t>Base metals &amp; articles</t>
        </is>
      </c>
      <c r="B2703" t="inlineStr">
        <is>
          <t>74</t>
        </is>
      </c>
      <c r="C2703" t="inlineStr">
        <is>
          <t>74151000</t>
        </is>
      </c>
      <c r="D2703" t="inlineStr">
        <is>
          <t>NAIL AND TACK,DRWNG PIN,STPLS AND SMLR ARTCLS</t>
        </is>
      </c>
      <c r="E2703" s="3" t="n">
        <v>0</v>
      </c>
      <c r="F2703" s="3" t="n">
        <v>0.01</v>
      </c>
      <c r="G2703" s="3">
        <f>F2703-E2703</f>
        <v/>
      </c>
      <c r="H2703" s="4">
        <f>IF(E2703=0,"",F2703/E2703-1)</f>
        <v/>
      </c>
      <c r="I2703" t="inlineStr"/>
    </row>
    <row r="2704">
      <c r="A2704" t="inlineStr">
        <is>
          <t>Base metals &amp; articles</t>
        </is>
      </c>
      <c r="B2704" t="inlineStr">
        <is>
          <t>74</t>
        </is>
      </c>
      <c r="C2704" t="inlineStr">
        <is>
          <t>74152900</t>
        </is>
      </c>
      <c r="D2704" t="inlineStr">
        <is>
          <t>OTHER ARTICLES,NOT THREADED</t>
        </is>
      </c>
      <c r="E2704" s="3" t="n">
        <v>0</v>
      </c>
      <c r="F2704" s="3" t="n">
        <v>0.01</v>
      </c>
      <c r="G2704" s="3">
        <f>F2704-E2704</f>
        <v/>
      </c>
      <c r="H2704" s="4">
        <f>IF(E2704=0,"",F2704/E2704-1)</f>
        <v/>
      </c>
      <c r="I2704" t="inlineStr"/>
    </row>
    <row r="2705">
      <c r="A2705" t="inlineStr">
        <is>
          <t>Base metals &amp; articles</t>
        </is>
      </c>
      <c r="B2705" t="inlineStr">
        <is>
          <t>76</t>
        </is>
      </c>
      <c r="C2705" t="inlineStr">
        <is>
          <t>76031090</t>
        </is>
      </c>
      <c r="D2705" t="inlineStr">
        <is>
          <t>OTHERS-OF-POWDERS OF NON-LAMELLAR STRUCTURE</t>
        </is>
      </c>
      <c r="E2705" s="3" t="n">
        <v>0</v>
      </c>
      <c r="F2705" s="3" t="n">
        <v>0.01</v>
      </c>
      <c r="G2705" s="3">
        <f>F2705-E2705</f>
        <v/>
      </c>
      <c r="H2705" s="4">
        <f>IF(E2705=0,"",F2705/E2705-1)</f>
        <v/>
      </c>
      <c r="I2705" t="inlineStr"/>
    </row>
    <row r="2706">
      <c r="A2706" t="inlineStr">
        <is>
          <t>Base metals &amp; articles</t>
        </is>
      </c>
      <c r="B2706" t="inlineStr">
        <is>
          <t>76</t>
        </is>
      </c>
      <c r="C2706" t="inlineStr">
        <is>
          <t>76041039</t>
        </is>
      </c>
      <c r="D2706" t="inlineStr">
        <is>
          <t>OTHER PROFILES OF ALUMINIUM-NOT ALLOYED</t>
        </is>
      </c>
      <c r="E2706" s="3" t="n">
        <v>0.13</v>
      </c>
      <c r="F2706" s="3" t="n">
        <v>0.01</v>
      </c>
      <c r="G2706" s="3">
        <f>F2706-E2706</f>
        <v/>
      </c>
      <c r="H2706" s="4">
        <f>IF(E2706=0,"",F2706/E2706-1)</f>
        <v/>
      </c>
      <c r="I2706" t="inlineStr"/>
    </row>
    <row r="2707">
      <c r="A2707" t="inlineStr">
        <is>
          <t>Base metals &amp; articles</t>
        </is>
      </c>
      <c r="B2707" t="inlineStr">
        <is>
          <t>76</t>
        </is>
      </c>
      <c r="C2707" t="inlineStr">
        <is>
          <t>76042930</t>
        </is>
      </c>
      <c r="D2707" t="inlineStr">
        <is>
          <t>OTHER BARS AND RODS, OTHER THAN WIRE RODS</t>
        </is>
      </c>
      <c r="E2707" s="3" t="n">
        <v>0</v>
      </c>
      <c r="F2707" s="3" t="n">
        <v>0.01</v>
      </c>
      <c r="G2707" s="3">
        <f>F2707-E2707</f>
        <v/>
      </c>
      <c r="H2707" s="4">
        <f>IF(E2707=0,"",F2707/E2707-1)</f>
        <v/>
      </c>
      <c r="I2707" t="inlineStr"/>
    </row>
    <row r="2708">
      <c r="A2708" t="inlineStr">
        <is>
          <t>Base metals &amp; articles</t>
        </is>
      </c>
      <c r="B2708" t="inlineStr">
        <is>
          <t>76</t>
        </is>
      </c>
      <c r="C2708" t="inlineStr">
        <is>
          <t>76071993</t>
        </is>
      </c>
      <c r="D2708" t="inlineStr">
        <is>
          <t>PERFORATED OR CUT-TO-SHAPE ALUMNM FOIL NOT ROLLED AND NOT BACKED</t>
        </is>
      </c>
      <c r="E2708" s="3" t="n">
        <v>0.02</v>
      </c>
      <c r="F2708" s="3" t="n">
        <v>0.01</v>
      </c>
      <c r="G2708" s="3">
        <f>F2708-E2708</f>
        <v/>
      </c>
      <c r="H2708" s="4">
        <f>IF(E2708=0,"",F2708/E2708-1)</f>
        <v/>
      </c>
      <c r="I2708" t="inlineStr"/>
    </row>
    <row r="2709">
      <c r="A2709" t="inlineStr">
        <is>
          <t>Base metals &amp; articles</t>
        </is>
      </c>
      <c r="B2709" t="inlineStr">
        <is>
          <t>76</t>
        </is>
      </c>
      <c r="C2709" t="inlineStr">
        <is>
          <t>76109029</t>
        </is>
      </c>
      <c r="D2709" t="inlineStr">
        <is>
          <t>OTHERS-OF-OTHR STRCTRS AND PRTS OF STRCTRS OF ALMNM</t>
        </is>
      </c>
      <c r="E2709" s="3" t="n">
        <v>0</v>
      </c>
      <c r="F2709" s="3" t="n">
        <v>0.01</v>
      </c>
      <c r="G2709" s="3">
        <f>F2709-E2709</f>
        <v/>
      </c>
      <c r="H2709" s="4">
        <f>IF(E2709=0,"",F2709/E2709-1)</f>
        <v/>
      </c>
      <c r="I2709" t="inlineStr"/>
    </row>
    <row r="2710">
      <c r="A2710" t="inlineStr">
        <is>
          <t>Base metals &amp; articles</t>
        </is>
      </c>
      <c r="B2710" t="inlineStr">
        <is>
          <t>81</t>
        </is>
      </c>
      <c r="C2710" t="inlineStr">
        <is>
          <t>81019400</t>
        </is>
      </c>
      <c r="D2710" t="inlineStr">
        <is>
          <t>UNWROUGHT TUNGSTEN, INCLUDING BARS AND RODS OBTAINED SIMPLY BY SINTERING</t>
        </is>
      </c>
      <c r="E2710" s="3" t="n">
        <v>0</v>
      </c>
      <c r="F2710" s="3" t="n">
        <v>0.01</v>
      </c>
      <c r="G2710" s="3">
        <f>F2710-E2710</f>
        <v/>
      </c>
      <c r="H2710" s="4">
        <f>IF(E2710=0,"",F2710/E2710-1)</f>
        <v/>
      </c>
      <c r="I2710" t="inlineStr"/>
    </row>
    <row r="2711">
      <c r="A2711" t="inlineStr">
        <is>
          <t>Base metals &amp; articles</t>
        </is>
      </c>
      <c r="B2711" t="inlineStr">
        <is>
          <t>81</t>
        </is>
      </c>
      <c r="C2711" t="inlineStr">
        <is>
          <t>81049010</t>
        </is>
      </c>
      <c r="D2711" t="inlineStr">
        <is>
          <t>OTHR MGNSM AND MGNSM BASE ALLOYS WROUGHT</t>
        </is>
      </c>
      <c r="E2711" s="3" t="n">
        <v>0</v>
      </c>
      <c r="F2711" s="3" t="n">
        <v>0.01</v>
      </c>
      <c r="G2711" s="3">
        <f>F2711-E2711</f>
        <v/>
      </c>
      <c r="H2711" s="4">
        <f>IF(E2711=0,"",F2711/E2711-1)</f>
        <v/>
      </c>
      <c r="I2711" t="inlineStr"/>
    </row>
    <row r="2712">
      <c r="A2712" t="inlineStr">
        <is>
          <t>Base metals &amp; articles</t>
        </is>
      </c>
      <c r="B2712" t="inlineStr">
        <is>
          <t>81</t>
        </is>
      </c>
      <c r="C2712" t="inlineStr">
        <is>
          <t>81129900</t>
        </is>
      </c>
      <c r="D2712" t="inlineStr">
        <is>
          <t>OTHR METALS N.E.S.</t>
        </is>
      </c>
      <c r="E2712" s="3" t="n">
        <v>0</v>
      </c>
      <c r="F2712" s="3" t="n">
        <v>0.01</v>
      </c>
      <c r="G2712" s="3">
        <f>F2712-E2712</f>
        <v/>
      </c>
      <c r="H2712" s="4">
        <f>IF(E2712=0,"",F2712/E2712-1)</f>
        <v/>
      </c>
      <c r="I2712" t="inlineStr"/>
    </row>
    <row r="2713">
      <c r="A2713" t="inlineStr">
        <is>
          <t>Base metals &amp; articles</t>
        </is>
      </c>
      <c r="B2713" t="inlineStr">
        <is>
          <t>82</t>
        </is>
      </c>
      <c r="C2713" t="inlineStr">
        <is>
          <t>82015000</t>
        </is>
      </c>
      <c r="D2713" t="inlineStr">
        <is>
          <t>ONE-HANDED SECATURS(INCLD POULTRY SHEARS)</t>
        </is>
      </c>
      <c r="E2713" s="3" t="n">
        <v>0</v>
      </c>
      <c r="F2713" s="3" t="n">
        <v>0.01</v>
      </c>
      <c r="G2713" s="3">
        <f>F2713-E2713</f>
        <v/>
      </c>
      <c r="H2713" s="4">
        <f>IF(E2713=0,"",F2713/E2713-1)</f>
        <v/>
      </c>
      <c r="I2713" t="inlineStr"/>
    </row>
    <row r="2714">
      <c r="A2714" t="inlineStr">
        <is>
          <t>Base metals &amp; articles</t>
        </is>
      </c>
      <c r="B2714" t="inlineStr">
        <is>
          <t>82</t>
        </is>
      </c>
      <c r="C2714" t="inlineStr">
        <is>
          <t>82053000</t>
        </is>
      </c>
      <c r="D2714" t="inlineStr">
        <is>
          <t>PLANES,CHISELS,GAUGES AND SMLR CUTTING TOOLSFOR WORKING WOOD</t>
        </is>
      </c>
      <c r="E2714" s="3" t="n">
        <v>0</v>
      </c>
      <c r="F2714" s="3" t="n">
        <v>0.01</v>
      </c>
      <c r="G2714" s="3">
        <f>F2714-E2714</f>
        <v/>
      </c>
      <c r="H2714" s="4">
        <f>IF(E2714=0,"",F2714/E2714-1)</f>
        <v/>
      </c>
      <c r="I2714" t="inlineStr"/>
    </row>
    <row r="2715">
      <c r="A2715" t="inlineStr">
        <is>
          <t>Base metals &amp; articles</t>
        </is>
      </c>
      <c r="B2715" t="inlineStr">
        <is>
          <t>82</t>
        </is>
      </c>
      <c r="C2715" t="inlineStr">
        <is>
          <t>82059010</t>
        </is>
      </c>
      <c r="D2715" t="inlineStr">
        <is>
          <t>ANVILS AND PORTABLE FORGES</t>
        </is>
      </c>
      <c r="E2715" s="3" t="n">
        <v>0</v>
      </c>
      <c r="F2715" s="3" t="n">
        <v>0.01</v>
      </c>
      <c r="G2715" s="3">
        <f>F2715-E2715</f>
        <v/>
      </c>
      <c r="H2715" s="4">
        <f>IF(E2715=0,"",F2715/E2715-1)</f>
        <v/>
      </c>
      <c r="I2715" t="inlineStr"/>
    </row>
    <row r="2716">
      <c r="A2716" t="inlineStr">
        <is>
          <t>Base metals &amp; articles</t>
        </is>
      </c>
      <c r="B2716" t="inlineStr">
        <is>
          <t>83</t>
        </is>
      </c>
      <c r="C2716" t="inlineStr">
        <is>
          <t>83023090</t>
        </is>
      </c>
      <c r="D2716" t="inlineStr">
        <is>
          <t>OTHERS-OF-OTHER MOUNTINGS, FITTINGS AND SIMILAR ARTICLES SUITABLE FOR MOTOR VEHICLES:</t>
        </is>
      </c>
      <c r="E2716" s="3" t="n">
        <v>0</v>
      </c>
      <c r="F2716" s="3" t="n">
        <v>0.01</v>
      </c>
      <c r="G2716" s="3">
        <f>F2716-E2716</f>
        <v/>
      </c>
      <c r="H2716" s="4">
        <f>IF(E2716=0,"",F2716/E2716-1)</f>
        <v/>
      </c>
      <c r="I2716" t="inlineStr"/>
    </row>
    <row r="2717">
      <c r="A2717" t="inlineStr">
        <is>
          <t>Base metals &amp; articles</t>
        </is>
      </c>
      <c r="B2717" t="inlineStr">
        <is>
          <t>83</t>
        </is>
      </c>
      <c r="C2717" t="inlineStr">
        <is>
          <t>83062120</t>
        </is>
      </c>
      <c r="D2717" t="inlineStr">
        <is>
          <t>TROPHIES PLATED WTH PRECIOUS METAL</t>
        </is>
      </c>
      <c r="E2717" s="3" t="n">
        <v>0.01</v>
      </c>
      <c r="F2717" s="3" t="n">
        <v>0.01</v>
      </c>
      <c r="G2717" s="3">
        <f>F2717-E2717</f>
        <v/>
      </c>
      <c r="H2717" s="4">
        <f>IF(E2717=0,"",F2717/E2717-1)</f>
        <v/>
      </c>
      <c r="I2717" t="inlineStr"/>
    </row>
    <row r="2718">
      <c r="A2718" t="inlineStr">
        <is>
          <t>Base metals &amp; articles</t>
        </is>
      </c>
      <c r="B2718" t="inlineStr">
        <is>
          <t>83</t>
        </is>
      </c>
      <c r="C2718" t="inlineStr">
        <is>
          <t>83062990</t>
        </is>
      </c>
      <c r="D2718" t="inlineStr">
        <is>
          <t>OTERS</t>
        </is>
      </c>
      <c r="E2718" s="3" t="n">
        <v>0.52</v>
      </c>
      <c r="F2718" s="3" t="n">
        <v>0.01</v>
      </c>
      <c r="G2718" s="3">
        <f>F2718-E2718</f>
        <v/>
      </c>
      <c r="H2718" s="4">
        <f>IF(E2718=0,"",F2718/E2718-1)</f>
        <v/>
      </c>
      <c r="I2718" t="inlineStr"/>
    </row>
    <row r="2719">
      <c r="A2719" t="inlineStr">
        <is>
          <t>Base metals &amp; articles</t>
        </is>
      </c>
      <c r="B2719" t="inlineStr">
        <is>
          <t>83</t>
        </is>
      </c>
      <c r="C2719" t="inlineStr">
        <is>
          <t>83089019</t>
        </is>
      </c>
      <c r="D2719" t="inlineStr">
        <is>
          <t>OTHER BUCKLES</t>
        </is>
      </c>
      <c r="E2719" s="3" t="n">
        <v>0.03</v>
      </c>
      <c r="F2719" s="3" t="n">
        <v>0.01</v>
      </c>
      <c r="G2719" s="3">
        <f>F2719-E2719</f>
        <v/>
      </c>
      <c r="H2719" s="4">
        <f>IF(E2719=0,"",F2719/E2719-1)</f>
        <v/>
      </c>
      <c r="I2719" t="inlineStr"/>
    </row>
    <row r="2720">
      <c r="A2720" t="inlineStr">
        <is>
          <t>Base metals &amp; articles</t>
        </is>
      </c>
      <c r="B2720" t="inlineStr">
        <is>
          <t>83</t>
        </is>
      </c>
      <c r="C2720" t="inlineStr">
        <is>
          <t>83089091</t>
        </is>
      </c>
      <c r="D2720" t="inlineStr">
        <is>
          <t>OTHER MADERUP OF ARTICLES FOR GARMENTS MADE UPS, KNITWEAR, PLASTICANDLEATHER GOODS</t>
        </is>
      </c>
      <c r="E2720" s="3" t="n">
        <v>0</v>
      </c>
      <c r="F2720" s="3" t="n">
        <v>0.01</v>
      </c>
      <c r="G2720" s="3">
        <f>F2720-E2720</f>
        <v/>
      </c>
      <c r="H2720" s="4">
        <f>IF(E2720=0,"",F2720/E2720-1)</f>
        <v/>
      </c>
      <c r="I2720" t="inlineStr"/>
    </row>
    <row r="2721">
      <c r="A2721" t="inlineStr">
        <is>
          <t>Base metals &amp; articles</t>
        </is>
      </c>
      <c r="B2721" t="inlineStr">
        <is>
          <t>72</t>
        </is>
      </c>
      <c r="C2721" t="inlineStr">
        <is>
          <t>72015010</t>
        </is>
      </c>
      <c r="D2721" t="inlineStr">
        <is>
          <t>CAST IRON</t>
        </is>
      </c>
      <c r="E2721" s="3" t="n">
        <v>0</v>
      </c>
      <c r="F2721" s="3" t="n">
        <v>0</v>
      </c>
      <c r="G2721" s="3">
        <f>F2721-E2721</f>
        <v/>
      </c>
      <c r="H2721" s="4">
        <f>IF(E2721=0,"",F2721/E2721-1)</f>
        <v/>
      </c>
      <c r="I2721" t="inlineStr"/>
    </row>
    <row r="2722">
      <c r="A2722" t="inlineStr">
        <is>
          <t>Base metals &amp; articles</t>
        </is>
      </c>
      <c r="B2722" t="inlineStr">
        <is>
          <t>72</t>
        </is>
      </c>
      <c r="C2722" t="inlineStr">
        <is>
          <t>72015090</t>
        </is>
      </c>
      <c r="D2722" t="inlineStr">
        <is>
          <t>OTHER ALLOY PIG IRON</t>
        </is>
      </c>
      <c r="E2722" s="3" t="n">
        <v>0.6899999999999999</v>
      </c>
      <c r="F2722" s="3" t="n">
        <v>0</v>
      </c>
      <c r="G2722" s="3">
        <f>F2722-E2722</f>
        <v/>
      </c>
      <c r="H2722" s="4">
        <f>IF(E2722=0,"",F2722/E2722-1)</f>
        <v/>
      </c>
      <c r="I2722" t="inlineStr"/>
    </row>
    <row r="2723">
      <c r="A2723" t="inlineStr">
        <is>
          <t>Base metals &amp; articles</t>
        </is>
      </c>
      <c r="B2723" t="inlineStr">
        <is>
          <t>72</t>
        </is>
      </c>
      <c r="C2723" t="inlineStr">
        <is>
          <t>72022900</t>
        </is>
      </c>
      <c r="D2723" t="inlineStr">
        <is>
          <t>OTHER FERRO-SILICON</t>
        </is>
      </c>
      <c r="E2723" s="3" t="n">
        <v>1.56</v>
      </c>
      <c r="F2723" s="3" t="n">
        <v>0</v>
      </c>
      <c r="G2723" s="3">
        <f>F2723-E2723</f>
        <v/>
      </c>
      <c r="H2723" s="4">
        <f>IF(E2723=0,"",F2723/E2723-1)</f>
        <v/>
      </c>
      <c r="I2723" t="inlineStr"/>
    </row>
    <row r="2724">
      <c r="A2724" t="inlineStr">
        <is>
          <t>Base metals &amp; articles</t>
        </is>
      </c>
      <c r="B2724" t="inlineStr">
        <is>
          <t>72</t>
        </is>
      </c>
      <c r="C2724" t="inlineStr">
        <is>
          <t>72051019</t>
        </is>
      </c>
      <c r="D2724" t="inlineStr">
        <is>
          <t>OTHR GRANULES OF IRON</t>
        </is>
      </c>
      <c r="E2724" s="3" t="n">
        <v>0.05</v>
      </c>
      <c r="F2724" s="3" t="n">
        <v>0</v>
      </c>
      <c r="G2724" s="3">
        <f>F2724-E2724</f>
        <v/>
      </c>
      <c r="H2724" s="4">
        <f>IF(E2724=0,"",F2724/E2724-1)</f>
        <v/>
      </c>
      <c r="I2724" t="inlineStr"/>
    </row>
    <row r="2725">
      <c r="A2725" t="inlineStr">
        <is>
          <t>Base metals &amp; articles</t>
        </is>
      </c>
      <c r="B2725" t="inlineStr">
        <is>
          <t>72</t>
        </is>
      </c>
      <c r="C2725" t="inlineStr">
        <is>
          <t>72061010</t>
        </is>
      </c>
      <c r="D2725" t="inlineStr">
        <is>
          <t>INGOTS OF IRON</t>
        </is>
      </c>
      <c r="E2725" s="3" t="n">
        <v>0.03</v>
      </c>
      <c r="F2725" s="3" t="n">
        <v>0</v>
      </c>
      <c r="G2725" s="3">
        <f>F2725-E2725</f>
        <v/>
      </c>
      <c r="H2725" s="4">
        <f>IF(E2725=0,"",F2725/E2725-1)</f>
        <v/>
      </c>
      <c r="I2725" t="inlineStr"/>
    </row>
    <row r="2726">
      <c r="A2726" t="inlineStr">
        <is>
          <t>Base metals &amp; articles</t>
        </is>
      </c>
      <c r="B2726" t="inlineStr">
        <is>
          <t>72</t>
        </is>
      </c>
      <c r="C2726" t="inlineStr">
        <is>
          <t>72071110</t>
        </is>
      </c>
      <c r="D2726" t="inlineStr">
        <is>
          <t>ELECTRICAL QUALITY</t>
        </is>
      </c>
      <c r="E2726" s="3" t="n">
        <v>0</v>
      </c>
      <c r="F2726" s="3" t="n">
        <v>0</v>
      </c>
      <c r="G2726" s="3">
        <f>F2726-E2726</f>
        <v/>
      </c>
      <c r="H2726" s="4">
        <f>IF(E2726=0,"",F2726/E2726-1)</f>
        <v/>
      </c>
      <c r="I2726" t="inlineStr"/>
    </row>
    <row r="2727">
      <c r="A2727" t="inlineStr">
        <is>
          <t>Base metals &amp; articles</t>
        </is>
      </c>
      <c r="B2727" t="inlineStr">
        <is>
          <t>72</t>
        </is>
      </c>
      <c r="C2727" t="inlineStr">
        <is>
          <t>72071910</t>
        </is>
      </c>
      <c r="D2727" t="inlineStr">
        <is>
          <t>FORGED BLANKS OF NONALLOY STEEL</t>
        </is>
      </c>
      <c r="E2727" s="3" t="n">
        <v>0.01</v>
      </c>
      <c r="F2727" s="3" t="n">
        <v>0</v>
      </c>
      <c r="G2727" s="3">
        <f>F2727-E2727</f>
        <v/>
      </c>
      <c r="H2727" s="4">
        <f>IF(E2727=0,"",F2727/E2727-1)</f>
        <v/>
      </c>
      <c r="I2727" t="inlineStr"/>
    </row>
    <row r="2728">
      <c r="A2728" t="inlineStr">
        <is>
          <t>Base metals &amp; articles</t>
        </is>
      </c>
      <c r="B2728" t="inlineStr">
        <is>
          <t>72</t>
        </is>
      </c>
      <c r="C2728" t="inlineStr">
        <is>
          <t>72072010</t>
        </is>
      </c>
      <c r="D2728" t="inlineStr">
        <is>
          <t>FORGING QUALITY</t>
        </is>
      </c>
      <c r="E2728" s="3" t="n">
        <v>0.02</v>
      </c>
      <c r="F2728" s="3" t="n">
        <v>0</v>
      </c>
      <c r="G2728" s="3">
        <f>F2728-E2728</f>
        <v/>
      </c>
      <c r="H2728" s="4">
        <f>IF(E2728=0,"",F2728/E2728-1)</f>
        <v/>
      </c>
      <c r="I2728" t="inlineStr"/>
    </row>
    <row r="2729">
      <c r="A2729" t="inlineStr">
        <is>
          <t>Base metals &amp; articles</t>
        </is>
      </c>
      <c r="B2729" t="inlineStr">
        <is>
          <t>72</t>
        </is>
      </c>
      <c r="C2729" t="inlineStr">
        <is>
          <t>72072090</t>
        </is>
      </c>
      <c r="D2729" t="inlineStr">
        <is>
          <t>OTHERS-OF-PRDCTS CONTNG BY WT&gt;=0.25% OF CARBON</t>
        </is>
      </c>
      <c r="E2729" s="3" t="n">
        <v>0</v>
      </c>
      <c r="F2729" s="3" t="n">
        <v>0</v>
      </c>
      <c r="G2729" s="3">
        <f>F2729-E2729</f>
        <v/>
      </c>
      <c r="H2729" s="4">
        <f>IF(E2729=0,"",F2729/E2729-1)</f>
        <v/>
      </c>
      <c r="I2729" t="inlineStr"/>
    </row>
    <row r="2730">
      <c r="A2730" t="inlineStr">
        <is>
          <t>Base metals &amp; articles</t>
        </is>
      </c>
      <c r="B2730" t="inlineStr">
        <is>
          <t>72</t>
        </is>
      </c>
      <c r="C2730" t="inlineStr">
        <is>
          <t>72082630</t>
        </is>
      </c>
      <c r="D2730" t="inlineStr">
        <is>
          <t>SHEETS OF FLAT-ROLD PRDCTS IN COILS OF A THCKNS&gt;= 3MM BUT &lt; 4.75MM HOT-ROLD,PICKLD</t>
        </is>
      </c>
      <c r="E2730" s="3" t="n">
        <v>0.32</v>
      </c>
      <c r="F2730" s="3" t="n">
        <v>0</v>
      </c>
      <c r="G2730" s="3">
        <f>F2730-E2730</f>
        <v/>
      </c>
      <c r="H2730" s="4">
        <f>IF(E2730=0,"",F2730/E2730-1)</f>
        <v/>
      </c>
      <c r="I2730" t="inlineStr"/>
    </row>
    <row r="2731">
      <c r="A2731" t="inlineStr">
        <is>
          <t>Base metals &amp; articles</t>
        </is>
      </c>
      <c r="B2731" t="inlineStr">
        <is>
          <t>72</t>
        </is>
      </c>
      <c r="C2731" t="inlineStr">
        <is>
          <t>72083690</t>
        </is>
      </c>
      <c r="D2731" t="inlineStr">
        <is>
          <t>OTHR FLAT-ROLD PRDCTS IN COILS OF A THCKNS&lt; 10MM HOT-ROLD,EXCL. PICKLD</t>
        </is>
      </c>
      <c r="E2731" s="3" t="n">
        <v>0.03</v>
      </c>
      <c r="F2731" s="3" t="n">
        <v>0</v>
      </c>
      <c r="G2731" s="3">
        <f>F2731-E2731</f>
        <v/>
      </c>
      <c r="H2731" s="4">
        <f>IF(E2731=0,"",F2731/E2731-1)</f>
        <v/>
      </c>
      <c r="I2731" t="inlineStr"/>
    </row>
    <row r="2732">
      <c r="A2732" t="inlineStr">
        <is>
          <t>Base metals &amp; articles</t>
        </is>
      </c>
      <c r="B2732" t="inlineStr">
        <is>
          <t>72</t>
        </is>
      </c>
      <c r="C2732" t="inlineStr">
        <is>
          <t>72083890</t>
        </is>
      </c>
      <c r="D2732" t="inlineStr">
        <is>
          <t>OTHR FLAT-ROLD PRDCTS IN COILS OF A THCKNS&gt;=3 BUT&lt; 4.75MM HOT-RLD,EXCL.PICKL</t>
        </is>
      </c>
      <c r="E2732" s="3" t="n">
        <v>2.32</v>
      </c>
      <c r="F2732" s="3" t="n">
        <v>0</v>
      </c>
      <c r="G2732" s="3">
        <f>F2732-E2732</f>
        <v/>
      </c>
      <c r="H2732" s="4">
        <f>IF(E2732=0,"",F2732/E2732-1)</f>
        <v/>
      </c>
      <c r="I2732" t="inlineStr"/>
    </row>
    <row r="2733">
      <c r="A2733" t="inlineStr">
        <is>
          <t>Base metals &amp; articles</t>
        </is>
      </c>
      <c r="B2733" t="inlineStr">
        <is>
          <t>72</t>
        </is>
      </c>
      <c r="C2733" t="inlineStr">
        <is>
          <t>72083990</t>
        </is>
      </c>
      <c r="D2733" t="inlineStr">
        <is>
          <t>OTHR FLAT-ROLD PRDCTS IN COILS OF A THCKNS&lt; 3 MM HOT-RLD,EXCL.PICKL</t>
        </is>
      </c>
      <c r="E2733" s="3" t="n">
        <v>24.88</v>
      </c>
      <c r="F2733" s="3" t="n">
        <v>0</v>
      </c>
      <c r="G2733" s="3">
        <f>F2733-E2733</f>
        <v/>
      </c>
      <c r="H2733" s="4">
        <f>IF(E2733=0,"",F2733/E2733-1)</f>
        <v/>
      </c>
      <c r="I2733" t="inlineStr"/>
    </row>
    <row r="2734">
      <c r="A2734" t="inlineStr">
        <is>
          <t>Base metals &amp; articles</t>
        </is>
      </c>
      <c r="B2734" t="inlineStr">
        <is>
          <t>72</t>
        </is>
      </c>
      <c r="C2734" t="inlineStr">
        <is>
          <t>72084010</t>
        </is>
      </c>
      <c r="D2734" t="inlineStr">
        <is>
          <t>PLATES OF FLAT-ROLD PRDCTS IN COILS NT FRTHR WRKD THN HOT-RLD WTH PATRNS IN RELIEF</t>
        </is>
      </c>
      <c r="E2734" s="3" t="n">
        <v>0.01</v>
      </c>
      <c r="F2734" s="3" t="n">
        <v>0</v>
      </c>
      <c r="G2734" s="3">
        <f>F2734-E2734</f>
        <v/>
      </c>
      <c r="H2734" s="4">
        <f>IF(E2734=0,"",F2734/E2734-1)</f>
        <v/>
      </c>
      <c r="I2734" t="inlineStr"/>
    </row>
    <row r="2735">
      <c r="A2735" t="inlineStr">
        <is>
          <t>Base metals &amp; articles</t>
        </is>
      </c>
      <c r="B2735" t="inlineStr">
        <is>
          <t>72</t>
        </is>
      </c>
      <c r="C2735" t="inlineStr">
        <is>
          <t>72085430</t>
        </is>
      </c>
      <c r="D2735" t="inlineStr">
        <is>
          <t>SHEETS OF FLAT-ROLD PRDCTS,NT IN COILS OF THCKNS&lt;3MM NT FRTHR WRKD THN HOT RLD PICKL</t>
        </is>
      </c>
      <c r="E2735" s="3" t="n">
        <v>0</v>
      </c>
      <c r="F2735" s="3" t="n">
        <v>0</v>
      </c>
      <c r="G2735" s="3">
        <f>F2735-E2735</f>
        <v/>
      </c>
      <c r="H2735" s="4">
        <f>IF(E2735=0,"",F2735/E2735-1)</f>
        <v/>
      </c>
      <c r="I2735" t="inlineStr"/>
    </row>
    <row r="2736">
      <c r="A2736" t="inlineStr">
        <is>
          <t>Base metals &amp; articles</t>
        </is>
      </c>
      <c r="B2736" t="inlineStr">
        <is>
          <t>72</t>
        </is>
      </c>
      <c r="C2736" t="inlineStr">
        <is>
          <t>72089000</t>
        </is>
      </c>
      <c r="D2736" t="inlineStr">
        <is>
          <t>OTHR FLAT ROLLED PRODUCTS, N.E.S.</t>
        </is>
      </c>
      <c r="E2736" s="3" t="n">
        <v>0</v>
      </c>
      <c r="F2736" s="3" t="n">
        <v>0</v>
      </c>
      <c r="G2736" s="3">
        <f>F2736-E2736</f>
        <v/>
      </c>
      <c r="H2736" s="4">
        <f>IF(E2736=0,"",F2736/E2736-1)</f>
        <v/>
      </c>
      <c r="I2736" t="inlineStr"/>
    </row>
    <row r="2737">
      <c r="A2737" t="inlineStr">
        <is>
          <t>Base metals &amp; articles</t>
        </is>
      </c>
      <c r="B2737" t="inlineStr">
        <is>
          <t>72</t>
        </is>
      </c>
      <c r="C2737" t="inlineStr">
        <is>
          <t>72091510</t>
        </is>
      </c>
      <c r="D2737" t="inlineStr">
        <is>
          <t>PLATES OF FLT RLD PRDCTS IN COILS NT FRTHRWRKD THN COLD RLD OF THCKNS &gt;=3MM</t>
        </is>
      </c>
      <c r="E2737" s="3" t="n">
        <v>0</v>
      </c>
      <c r="F2737" s="3" t="n">
        <v>0</v>
      </c>
      <c r="G2737" s="3">
        <f>F2737-E2737</f>
        <v/>
      </c>
      <c r="H2737" s="4">
        <f>IF(E2737=0,"",F2737/E2737-1)</f>
        <v/>
      </c>
      <c r="I2737" t="inlineStr"/>
    </row>
    <row r="2738">
      <c r="A2738" t="inlineStr">
        <is>
          <t>Base metals &amp; articles</t>
        </is>
      </c>
      <c r="B2738" t="inlineStr">
        <is>
          <t>72</t>
        </is>
      </c>
      <c r="C2738" t="inlineStr">
        <is>
          <t>72091610</t>
        </is>
      </c>
      <c r="D2738" t="inlineStr">
        <is>
          <t>PLATES OF FLT RLD PRDCTS IN COILS NT FRTHRWRKD THN COLD RLD OF THCKNS &gt;1MM BUT &lt;3MM</t>
        </is>
      </c>
      <c r="E2738" s="3" t="n">
        <v>0.02</v>
      </c>
      <c r="F2738" s="3" t="n">
        <v>0</v>
      </c>
      <c r="G2738" s="3">
        <f>F2738-E2738</f>
        <v/>
      </c>
      <c r="H2738" s="4">
        <f>IF(E2738=0,"",F2738/E2738-1)</f>
        <v/>
      </c>
      <c r="I2738" t="inlineStr"/>
    </row>
    <row r="2739">
      <c r="A2739" t="inlineStr">
        <is>
          <t>Base metals &amp; articles</t>
        </is>
      </c>
      <c r="B2739" t="inlineStr">
        <is>
          <t>72</t>
        </is>
      </c>
      <c r="C2739" t="inlineStr">
        <is>
          <t>72091620</t>
        </is>
      </c>
      <c r="D2739" t="inlineStr">
        <is>
          <t>SHEETS OF FLT RLD PRDCTS IN COILS NT FRTHRWRKD THN COLD RLD OF THCKNS &gt;1MM BUT &lt;3MM</t>
        </is>
      </c>
      <c r="E2739" s="3" t="n">
        <v>0.09</v>
      </c>
      <c r="F2739" s="3" t="n">
        <v>0</v>
      </c>
      <c r="G2739" s="3">
        <f>F2739-E2739</f>
        <v/>
      </c>
      <c r="H2739" s="4">
        <f>IF(E2739=0,"",F2739/E2739-1)</f>
        <v/>
      </c>
      <c r="I2739" t="inlineStr"/>
    </row>
    <row r="2740">
      <c r="A2740" t="inlineStr">
        <is>
          <t>Base metals &amp; articles</t>
        </is>
      </c>
      <c r="B2740" t="inlineStr">
        <is>
          <t>72</t>
        </is>
      </c>
      <c r="C2740" t="inlineStr">
        <is>
          <t>72091690</t>
        </is>
      </c>
      <c r="D2740" t="inlineStr">
        <is>
          <t>OTHR FLT RLD PRDCTS IN COILS NT FRTHR WRKD THN COLD RLD OF THCKNS &gt;1MM BUT &lt;3MM</t>
        </is>
      </c>
      <c r="E2740" s="3" t="n">
        <v>0.03</v>
      </c>
      <c r="F2740" s="3" t="n">
        <v>0</v>
      </c>
      <c r="G2740" s="3">
        <f>F2740-E2740</f>
        <v/>
      </c>
      <c r="H2740" s="4">
        <f>IF(E2740=0,"",F2740/E2740-1)</f>
        <v/>
      </c>
      <c r="I2740" t="inlineStr"/>
    </row>
    <row r="2741">
      <c r="A2741" t="inlineStr">
        <is>
          <t>Base metals &amp; articles</t>
        </is>
      </c>
      <c r="B2741" t="inlineStr">
        <is>
          <t>72</t>
        </is>
      </c>
      <c r="C2741" t="inlineStr">
        <is>
          <t>72091720</t>
        </is>
      </c>
      <c r="D2741" t="inlineStr">
        <is>
          <t>SHEETS OF FLT RLD PRDCTS IN COILS NT FRTHRWRKD THN COLD RLD OF THCKNS&gt;=0.5MM BUT&lt;1MM</t>
        </is>
      </c>
      <c r="E2741" s="3" t="n">
        <v>0.73</v>
      </c>
      <c r="F2741" s="3" t="n">
        <v>0</v>
      </c>
      <c r="G2741" s="3">
        <f>F2741-E2741</f>
        <v/>
      </c>
      <c r="H2741" s="4">
        <f>IF(E2741=0,"",F2741/E2741-1)</f>
        <v/>
      </c>
      <c r="I2741" t="inlineStr"/>
    </row>
    <row r="2742">
      <c r="A2742" t="inlineStr">
        <is>
          <t>Base metals &amp; articles</t>
        </is>
      </c>
      <c r="B2742" t="inlineStr">
        <is>
          <t>72</t>
        </is>
      </c>
      <c r="C2742" t="inlineStr">
        <is>
          <t>72092790</t>
        </is>
      </c>
      <c r="D2742" t="inlineStr">
        <is>
          <t>OTHR FLT RLD PRDCTS NOT IN COILS NOT FRTHR WRKD THN COLD RLD OF THCKNS &gt;=0.5MM BUT &lt;1 MM</t>
        </is>
      </c>
      <c r="E2742" s="3" t="n">
        <v>0</v>
      </c>
      <c r="F2742" s="3" t="n">
        <v>0</v>
      </c>
      <c r="G2742" s="3">
        <f>F2742-E2742</f>
        <v/>
      </c>
      <c r="H2742" s="4">
        <f>IF(E2742=0,"",F2742/E2742-1)</f>
        <v/>
      </c>
      <c r="I2742" t="inlineStr"/>
    </row>
    <row r="2743">
      <c r="A2743" t="inlineStr">
        <is>
          <t>Base metals &amp; articles</t>
        </is>
      </c>
      <c r="B2743" t="inlineStr">
        <is>
          <t>72</t>
        </is>
      </c>
      <c r="C2743" t="inlineStr">
        <is>
          <t>72099000</t>
        </is>
      </c>
      <c r="D2743" t="inlineStr">
        <is>
          <t>OTHER FLAT ROLLED PRODUCTS N.E.S.</t>
        </is>
      </c>
      <c r="E2743" s="3" t="n">
        <v>0.01</v>
      </c>
      <c r="F2743" s="3" t="n">
        <v>0</v>
      </c>
      <c r="G2743" s="3">
        <f>F2743-E2743</f>
        <v/>
      </c>
      <c r="H2743" s="4">
        <f>IF(E2743=0,"",F2743/E2743-1)</f>
        <v/>
      </c>
      <c r="I2743" t="inlineStr"/>
    </row>
    <row r="2744">
      <c r="A2744" t="inlineStr">
        <is>
          <t>Base metals &amp; articles</t>
        </is>
      </c>
      <c r="B2744" t="inlineStr">
        <is>
          <t>72</t>
        </is>
      </c>
      <c r="C2744" t="inlineStr">
        <is>
          <t>72102000</t>
        </is>
      </c>
      <c r="D2744" t="inlineStr">
        <is>
          <t>PRDCTS PLTD/COTD WTH LEAD INCL TERNE/PLATE</t>
        </is>
      </c>
      <c r="E2744" s="3" t="n">
        <v>0</v>
      </c>
      <c r="F2744" s="3" t="n">
        <v>0</v>
      </c>
      <c r="G2744" s="3">
        <f>F2744-E2744</f>
        <v/>
      </c>
      <c r="H2744" s="4">
        <f>IF(E2744=0,"",F2744/E2744-1)</f>
        <v/>
      </c>
      <c r="I2744" t="inlineStr"/>
    </row>
    <row r="2745">
      <c r="A2745" t="inlineStr">
        <is>
          <t>Base metals &amp; articles</t>
        </is>
      </c>
      <c r="B2745" t="inlineStr">
        <is>
          <t>72</t>
        </is>
      </c>
      <c r="C2745" t="inlineStr">
        <is>
          <t>72104910</t>
        </is>
      </c>
      <c r="D2745" t="inlineStr">
        <is>
          <t>GALVANNEALED PRDCTS OF IRON/NON-ALLOY STEEL OTHERWISE PLTD/COTD WTH ZINC</t>
        </is>
      </c>
      <c r="E2745" s="3" t="n">
        <v>0</v>
      </c>
      <c r="F2745" s="3" t="n">
        <v>0</v>
      </c>
      <c r="G2745" s="3">
        <f>F2745-E2745</f>
        <v/>
      </c>
      <c r="H2745" s="4">
        <f>IF(E2745=0,"",F2745/E2745-1)</f>
        <v/>
      </c>
      <c r="I2745" t="inlineStr"/>
    </row>
    <row r="2746">
      <c r="A2746" t="inlineStr">
        <is>
          <t>Base metals &amp; articles</t>
        </is>
      </c>
      <c r="B2746" t="inlineStr">
        <is>
          <t>72</t>
        </is>
      </c>
      <c r="C2746" t="inlineStr">
        <is>
          <t>72106100</t>
        </is>
      </c>
      <c r="D2746" t="inlineStr">
        <is>
          <t>FLT-RLD PRDCTS OF IRON/NON ALOY STL PLTD OR COTD WTH ALUMINIUM ZINC ALLOYS</t>
        </is>
      </c>
      <c r="E2746" s="3" t="n">
        <v>0</v>
      </c>
      <c r="F2746" s="3" t="n">
        <v>0</v>
      </c>
      <c r="G2746" s="3">
        <f>F2746-E2746</f>
        <v/>
      </c>
      <c r="H2746" s="4">
        <f>IF(E2746=0,"",F2746/E2746-1)</f>
        <v/>
      </c>
      <c r="I2746" t="inlineStr"/>
    </row>
    <row r="2747">
      <c r="A2747" t="inlineStr">
        <is>
          <t>Base metals &amp; articles</t>
        </is>
      </c>
      <c r="B2747" t="inlineStr">
        <is>
          <t>72</t>
        </is>
      </c>
      <c r="C2747" t="inlineStr">
        <is>
          <t>72109010</t>
        </is>
      </c>
      <c r="D2747" t="inlineStr">
        <is>
          <t>LACQUERED OTHR FLT-RLD PRDCTS OF IRON/NON ALOY STL CLAD,PLTD OR COTD,OF WDTH&gt;=600MM</t>
        </is>
      </c>
      <c r="E2747" s="3" t="n">
        <v>3.41</v>
      </c>
      <c r="F2747" s="3" t="n">
        <v>0</v>
      </c>
      <c r="G2747" s="3">
        <f>F2747-E2747</f>
        <v/>
      </c>
      <c r="H2747" s="4">
        <f>IF(E2747=0,"",F2747/E2747-1)</f>
        <v/>
      </c>
      <c r="I2747" t="inlineStr"/>
    </row>
    <row r="2748">
      <c r="A2748" t="inlineStr">
        <is>
          <t>Base metals &amp; articles</t>
        </is>
      </c>
      <c r="B2748" t="inlineStr">
        <is>
          <t>72</t>
        </is>
      </c>
      <c r="C2748" t="inlineStr">
        <is>
          <t>72111450</t>
        </is>
      </c>
      <c r="D2748" t="inlineStr">
        <is>
          <t>STRIPS OF FLT-RLD PRDCTS,OF IRON/NON ALOY STL, NT FRTHR WRKD THN HT-RLD OF THCKNS &gt;=4.75MM</t>
        </is>
      </c>
      <c r="E2748" s="3" t="n">
        <v>0.01</v>
      </c>
      <c r="F2748" s="3" t="n">
        <v>0</v>
      </c>
      <c r="G2748" s="3">
        <f>F2748-E2748</f>
        <v/>
      </c>
      <c r="H2748" s="4">
        <f>IF(E2748=0,"",F2748/E2748-1)</f>
        <v/>
      </c>
      <c r="I2748" t="inlineStr"/>
    </row>
    <row r="2749">
      <c r="A2749" t="inlineStr">
        <is>
          <t>Base metals &amp; articles</t>
        </is>
      </c>
      <c r="B2749" t="inlineStr">
        <is>
          <t>72</t>
        </is>
      </c>
      <c r="C2749" t="inlineStr">
        <is>
          <t>72111490</t>
        </is>
      </c>
      <c r="D2749" t="inlineStr">
        <is>
          <t>OTHR FLT-RLD PRDCTS,OF IRON/NON ALOY STL, NT FRTHR WRKD THN HT-RLD OF THCKNS &gt;=4.75MM</t>
        </is>
      </c>
      <c r="E2749" s="3" t="n">
        <v>0.1</v>
      </c>
      <c r="F2749" s="3" t="n">
        <v>0</v>
      </c>
      <c r="G2749" s="3">
        <f>F2749-E2749</f>
        <v/>
      </c>
      <c r="H2749" s="4">
        <f>IF(E2749=0,"",F2749/E2749-1)</f>
        <v/>
      </c>
      <c r="I2749" t="inlineStr"/>
    </row>
    <row r="2750">
      <c r="A2750" t="inlineStr">
        <is>
          <t>Base metals &amp; articles</t>
        </is>
      </c>
      <c r="B2750" t="inlineStr">
        <is>
          <t>72</t>
        </is>
      </c>
      <c r="C2750" t="inlineStr">
        <is>
          <t>72111950</t>
        </is>
      </c>
      <c r="D2750" t="inlineStr">
        <is>
          <t>STRIPS OF PRDCTS,HOT RLD,OF THCKNS&lt;4.75MM</t>
        </is>
      </c>
      <c r="E2750" s="3" t="n">
        <v>1.46</v>
      </c>
      <c r="F2750" s="3" t="n">
        <v>0</v>
      </c>
      <c r="G2750" s="3">
        <f>F2750-E2750</f>
        <v/>
      </c>
      <c r="H2750" s="4">
        <f>IF(E2750=0,"",F2750/E2750-1)</f>
        <v/>
      </c>
      <c r="I2750" t="inlineStr"/>
    </row>
    <row r="2751">
      <c r="A2751" t="inlineStr">
        <is>
          <t>Base metals &amp; articles</t>
        </is>
      </c>
      <c r="B2751" t="inlineStr">
        <is>
          <t>72</t>
        </is>
      </c>
      <c r="C2751" t="inlineStr">
        <is>
          <t>72131090</t>
        </is>
      </c>
      <c r="D2751" t="inlineStr">
        <is>
          <t>BARS AND RODS HT-RLD,CONTNG INDNTATIONS RIBS,GROOVES/OTHR DEFRMTN PRDCTS OF OTHR N.E.S</t>
        </is>
      </c>
      <c r="E2751" s="3" t="n">
        <v>0</v>
      </c>
      <c r="F2751" s="3" t="n">
        <v>0</v>
      </c>
      <c r="G2751" s="3">
        <f>F2751-E2751</f>
        <v/>
      </c>
      <c r="H2751" s="4">
        <f>IF(E2751=0,"",F2751/E2751-1)</f>
        <v/>
      </c>
      <c r="I2751" t="inlineStr"/>
    </row>
    <row r="2752">
      <c r="A2752" t="inlineStr">
        <is>
          <t>Base metals &amp; articles</t>
        </is>
      </c>
      <c r="B2752" t="inlineStr">
        <is>
          <t>72</t>
        </is>
      </c>
      <c r="C2752" t="inlineStr">
        <is>
          <t>72139990</t>
        </is>
      </c>
      <c r="D2752" t="inlineStr">
        <is>
          <t>OTHERS-OF-BARS AND RODS HOT-RLD OF IRON/NON ALOY STLOTHR THN CRCULRCRS SCTN MSRNG &gt;=14 MM INDIAMTR</t>
        </is>
      </c>
      <c r="E2752" s="3" t="n">
        <v>0.03</v>
      </c>
      <c r="F2752" s="3" t="n">
        <v>0</v>
      </c>
      <c r="G2752" s="3">
        <f>F2752-E2752</f>
        <v/>
      </c>
      <c r="H2752" s="4">
        <f>IF(E2752=0,"",F2752/E2752-1)</f>
        <v/>
      </c>
      <c r="I2752" t="inlineStr"/>
    </row>
    <row r="2753">
      <c r="A2753" t="inlineStr">
        <is>
          <t>Base metals &amp; articles</t>
        </is>
      </c>
      <c r="B2753" t="inlineStr">
        <is>
          <t>72</t>
        </is>
      </c>
      <c r="C2753" t="inlineStr">
        <is>
          <t>72141010</t>
        </is>
      </c>
      <c r="D2753" t="inlineStr">
        <is>
          <t>FORGED BARS AND RODS SPRING STEEL QUALITY</t>
        </is>
      </c>
      <c r="E2753" s="3" t="n">
        <v>0.03</v>
      </c>
      <c r="F2753" s="3" t="n">
        <v>0</v>
      </c>
      <c r="G2753" s="3">
        <f>F2753-E2753</f>
        <v/>
      </c>
      <c r="H2753" s="4">
        <f>IF(E2753=0,"",F2753/E2753-1)</f>
        <v/>
      </c>
      <c r="I2753" t="inlineStr"/>
    </row>
    <row r="2754">
      <c r="A2754" t="inlineStr">
        <is>
          <t>Base metals &amp; articles</t>
        </is>
      </c>
      <c r="B2754" t="inlineStr">
        <is>
          <t>72</t>
        </is>
      </c>
      <c r="C2754" t="inlineStr">
        <is>
          <t>72142010</t>
        </is>
      </c>
      <c r="D2754" t="inlineStr">
        <is>
          <t>SPRING STEEL QUALITY</t>
        </is>
      </c>
      <c r="E2754" s="3" t="n">
        <v>0.01</v>
      </c>
      <c r="F2754" s="3" t="n">
        <v>0</v>
      </c>
      <c r="G2754" s="3">
        <f>F2754-E2754</f>
        <v/>
      </c>
      <c r="H2754" s="4">
        <f>IF(E2754=0,"",F2754/E2754-1)</f>
        <v/>
      </c>
      <c r="I2754" t="inlineStr"/>
    </row>
    <row r="2755">
      <c r="A2755" t="inlineStr">
        <is>
          <t>Base metals &amp; articles</t>
        </is>
      </c>
      <c r="B2755" t="inlineStr">
        <is>
          <t>72</t>
        </is>
      </c>
      <c r="C2755" t="inlineStr">
        <is>
          <t>72149190</t>
        </is>
      </c>
      <c r="D2755" t="inlineStr">
        <is>
          <t>OTHERS-OF-BARS AND RODS OF RECTANGULAR (OTHER THANSQUARE) CROSS-SECTION OF IRON/NON ALOY STL</t>
        </is>
      </c>
      <c r="E2755" s="3" t="n">
        <v>0.1</v>
      </c>
      <c r="F2755" s="3" t="n">
        <v>0</v>
      </c>
      <c r="G2755" s="3">
        <f>F2755-E2755</f>
        <v/>
      </c>
      <c r="H2755" s="4">
        <f>IF(E2755=0,"",F2755/E2755-1)</f>
        <v/>
      </c>
      <c r="I2755" t="inlineStr"/>
    </row>
    <row r="2756">
      <c r="A2756" t="inlineStr">
        <is>
          <t>Base metals &amp; articles</t>
        </is>
      </c>
      <c r="B2756" t="inlineStr">
        <is>
          <t>72</t>
        </is>
      </c>
      <c r="C2756" t="inlineStr">
        <is>
          <t>72149910</t>
        </is>
      </c>
      <c r="D2756" t="inlineStr">
        <is>
          <t>SPRING STEEL QUALITY</t>
        </is>
      </c>
      <c r="E2756" s="3" t="n">
        <v>0</v>
      </c>
      <c r="F2756" s="3" t="n">
        <v>0</v>
      </c>
      <c r="G2756" s="3">
        <f>F2756-E2756</f>
        <v/>
      </c>
      <c r="H2756" s="4">
        <f>IF(E2756=0,"",F2756/E2756-1)</f>
        <v/>
      </c>
      <c r="I2756" t="inlineStr"/>
    </row>
    <row r="2757">
      <c r="A2757" t="inlineStr">
        <is>
          <t>Base metals &amp; articles</t>
        </is>
      </c>
      <c r="B2757" t="inlineStr">
        <is>
          <t>72</t>
        </is>
      </c>
      <c r="C2757" t="inlineStr">
        <is>
          <t>72159010</t>
        </is>
      </c>
      <c r="D2757" t="inlineStr">
        <is>
          <t>OTHR BARS AND RODS OF IRON/NON-ALOY STL PLATED/COATED WITH ZINC</t>
        </is>
      </c>
      <c r="E2757" s="3" t="n">
        <v>0.16</v>
      </c>
      <c r="F2757" s="3" t="n">
        <v>0</v>
      </c>
      <c r="G2757" s="3">
        <f>F2757-E2757</f>
        <v/>
      </c>
      <c r="H2757" s="4">
        <f>IF(E2757=0,"",F2757/E2757-1)</f>
        <v/>
      </c>
      <c r="I2757" t="inlineStr"/>
    </row>
    <row r="2758">
      <c r="A2758" t="inlineStr">
        <is>
          <t>Base metals &amp; articles</t>
        </is>
      </c>
      <c r="B2758" t="inlineStr">
        <is>
          <t>72</t>
        </is>
      </c>
      <c r="C2758" t="inlineStr">
        <is>
          <t>72163300</t>
        </is>
      </c>
      <c r="D2758" t="inlineStr">
        <is>
          <t>H-SCTNS,HT-RLLD,HT-DRWN OF HEIGHT&gt;=80 MM</t>
        </is>
      </c>
      <c r="E2758" s="3" t="n">
        <v>12.33</v>
      </c>
      <c r="F2758" s="3" t="n">
        <v>0</v>
      </c>
      <c r="G2758" s="3">
        <f>F2758-E2758</f>
        <v/>
      </c>
      <c r="H2758" s="4">
        <f>IF(E2758=0,"",F2758/E2758-1)</f>
        <v/>
      </c>
      <c r="I2758" t="inlineStr"/>
    </row>
    <row r="2759">
      <c r="A2759" t="inlineStr">
        <is>
          <t>Base metals &amp; articles</t>
        </is>
      </c>
      <c r="B2759" t="inlineStr">
        <is>
          <t>72</t>
        </is>
      </c>
      <c r="C2759" t="inlineStr">
        <is>
          <t>72169100</t>
        </is>
      </c>
      <c r="D2759" t="inlineStr">
        <is>
          <t>ANGLE SHAPES ETC COLD-FRMD/COLD FINSHD FRMFLT ROLD PRDCTS</t>
        </is>
      </c>
      <c r="E2759" s="3" t="n">
        <v>0</v>
      </c>
      <c r="F2759" s="3" t="n">
        <v>0</v>
      </c>
      <c r="G2759" s="3">
        <f>F2759-E2759</f>
        <v/>
      </c>
      <c r="H2759" s="4">
        <f>IF(E2759=0,"",F2759/E2759-1)</f>
        <v/>
      </c>
      <c r="I2759" t="inlineStr"/>
    </row>
    <row r="2760">
      <c r="A2760" t="inlineStr">
        <is>
          <t>Base metals &amp; articles</t>
        </is>
      </c>
      <c r="B2760" t="inlineStr">
        <is>
          <t>72</t>
        </is>
      </c>
      <c r="C2760" t="inlineStr">
        <is>
          <t>72171020</t>
        </is>
      </c>
      <c r="D2760" t="inlineStr">
        <is>
          <t>WIRE, THINNER THAN 18 SWG UPTO 26 SWG</t>
        </is>
      </c>
      <c r="E2760" s="3" t="n">
        <v>0.01</v>
      </c>
      <c r="F2760" s="3" t="n">
        <v>0</v>
      </c>
      <c r="G2760" s="3">
        <f>F2760-E2760</f>
        <v/>
      </c>
      <c r="H2760" s="4">
        <f>IF(E2760=0,"",F2760/E2760-1)</f>
        <v/>
      </c>
      <c r="I2760" t="inlineStr"/>
    </row>
    <row r="2761">
      <c r="A2761" t="inlineStr">
        <is>
          <t>Base metals &amp; articles</t>
        </is>
      </c>
      <c r="B2761" t="inlineStr">
        <is>
          <t>72</t>
        </is>
      </c>
      <c r="C2761" t="inlineStr">
        <is>
          <t>72179012</t>
        </is>
      </c>
      <c r="D2761" t="inlineStr">
        <is>
          <t>SHAPED AND PROFILED WIRE OF CROSS SECTION -FLAT AND RECTANGULAR</t>
        </is>
      </c>
      <c r="E2761" s="3" t="n">
        <v>0</v>
      </c>
      <c r="F2761" s="3" t="n">
        <v>0</v>
      </c>
      <c r="G2761" s="3">
        <f>F2761-E2761</f>
        <v/>
      </c>
      <c r="H2761" s="4">
        <f>IF(E2761=0,"",F2761/E2761-1)</f>
        <v/>
      </c>
      <c r="I2761" t="inlineStr"/>
    </row>
    <row r="2762">
      <c r="A2762" t="inlineStr">
        <is>
          <t>Base metals &amp; articles</t>
        </is>
      </c>
      <c r="B2762" t="inlineStr">
        <is>
          <t>72</t>
        </is>
      </c>
      <c r="C2762" t="inlineStr">
        <is>
          <t>72179092</t>
        </is>
      </c>
      <c r="D2762" t="inlineStr">
        <is>
          <t>OTHR WIRE OF ELECTRODE QUALITY</t>
        </is>
      </c>
      <c r="E2762" s="3" t="n">
        <v>0.01</v>
      </c>
      <c r="F2762" s="3" t="n">
        <v>0</v>
      </c>
      <c r="G2762" s="3">
        <f>F2762-E2762</f>
        <v/>
      </c>
      <c r="H2762" s="4">
        <f>IF(E2762=0,"",F2762/E2762-1)</f>
        <v/>
      </c>
      <c r="I2762" t="inlineStr"/>
    </row>
    <row r="2763">
      <c r="A2763" t="inlineStr">
        <is>
          <t>Base metals &amp; articles</t>
        </is>
      </c>
      <c r="B2763" t="inlineStr">
        <is>
          <t>72</t>
        </is>
      </c>
      <c r="C2763" t="inlineStr">
        <is>
          <t>72181000</t>
        </is>
      </c>
      <c r="D2763" t="inlineStr">
        <is>
          <t>INGOTS AND OTHR PRIMARY FORMS OF STAINLESS STEEL</t>
        </is>
      </c>
      <c r="E2763" s="3" t="n">
        <v>0</v>
      </c>
      <c r="F2763" s="3" t="n">
        <v>0</v>
      </c>
      <c r="G2763" s="3">
        <f>F2763-E2763</f>
        <v/>
      </c>
      <c r="H2763" s="4">
        <f>IF(E2763=0,"",F2763/E2763-1)</f>
        <v/>
      </c>
      <c r="I2763" t="inlineStr"/>
    </row>
    <row r="2764">
      <c r="A2764" t="inlineStr">
        <is>
          <t>Base metals &amp; articles</t>
        </is>
      </c>
      <c r="B2764" t="inlineStr">
        <is>
          <t>72</t>
        </is>
      </c>
      <c r="C2764" t="inlineStr">
        <is>
          <t>72189910</t>
        </is>
      </c>
      <c r="D2764" t="inlineStr">
        <is>
          <t>BILLETS</t>
        </is>
      </c>
      <c r="E2764" s="3" t="n">
        <v>0</v>
      </c>
      <c r="F2764" s="3" t="n">
        <v>0</v>
      </c>
      <c r="G2764" s="3">
        <f>F2764-E2764</f>
        <v/>
      </c>
      <c r="H2764" s="4">
        <f>IF(E2764=0,"",F2764/E2764-1)</f>
        <v/>
      </c>
      <c r="I2764" t="inlineStr"/>
    </row>
    <row r="2765">
      <c r="A2765" t="inlineStr">
        <is>
          <t>Base metals &amp; articles</t>
        </is>
      </c>
      <c r="B2765" t="inlineStr">
        <is>
          <t>72</t>
        </is>
      </c>
      <c r="C2765" t="inlineStr">
        <is>
          <t>72192190</t>
        </is>
      </c>
      <c r="D2765" t="inlineStr">
        <is>
          <t>OTHR NCKL CHRM AUSTNTC TYPE N.E.S.</t>
        </is>
      </c>
      <c r="E2765" s="3" t="n">
        <v>3.71</v>
      </c>
      <c r="F2765" s="3" t="n">
        <v>0</v>
      </c>
      <c r="G2765" s="3">
        <f>F2765-E2765</f>
        <v/>
      </c>
      <c r="H2765" s="4">
        <f>IF(E2765=0,"",F2765/E2765-1)</f>
        <v/>
      </c>
      <c r="I2765" t="inlineStr"/>
    </row>
    <row r="2766">
      <c r="A2766" t="inlineStr">
        <is>
          <t>Base metals &amp; articles</t>
        </is>
      </c>
      <c r="B2766" t="inlineStr">
        <is>
          <t>72</t>
        </is>
      </c>
      <c r="C2766" t="inlineStr">
        <is>
          <t>72192219</t>
        </is>
      </c>
      <c r="D2766" t="inlineStr">
        <is>
          <t>OTHERS-OF-HOT-RLLD,PRDCTS NT IN COILS OF THCKNS&gt;= 4.75 MM BUT &lt;10 MM</t>
        </is>
      </c>
      <c r="E2766" s="3" t="n">
        <v>0.22</v>
      </c>
      <c r="F2766" s="3" t="n">
        <v>0</v>
      </c>
      <c r="G2766" s="3">
        <f>F2766-E2766</f>
        <v/>
      </c>
      <c r="H2766" s="4">
        <f>IF(E2766=0,"",F2766/E2766-1)</f>
        <v/>
      </c>
      <c r="I2766" t="inlineStr"/>
    </row>
    <row r="2767">
      <c r="A2767" t="inlineStr">
        <is>
          <t>Base metals &amp; articles</t>
        </is>
      </c>
      <c r="B2767" t="inlineStr">
        <is>
          <t>72</t>
        </is>
      </c>
      <c r="C2767" t="inlineStr">
        <is>
          <t>72192310</t>
        </is>
      </c>
      <c r="D2767" t="inlineStr">
        <is>
          <t>HOT-ROLLED CHROMIUM TYPE</t>
        </is>
      </c>
      <c r="E2767" s="3" t="n">
        <v>0</v>
      </c>
      <c r="F2767" s="3" t="n">
        <v>0</v>
      </c>
      <c r="G2767" s="3">
        <f>F2767-E2767</f>
        <v/>
      </c>
      <c r="H2767" s="4">
        <f>IF(E2767=0,"",F2767/E2767-1)</f>
        <v/>
      </c>
      <c r="I2767" t="inlineStr"/>
    </row>
    <row r="2768">
      <c r="A2768" t="inlineStr">
        <is>
          <t>Base metals &amp; articles</t>
        </is>
      </c>
      <c r="B2768" t="inlineStr">
        <is>
          <t>72</t>
        </is>
      </c>
      <c r="C2768" t="inlineStr">
        <is>
          <t>72192419</t>
        </is>
      </c>
      <c r="D2768" t="inlineStr">
        <is>
          <t>OTHR CHROMIUM TYPE N.E.S.</t>
        </is>
      </c>
      <c r="E2768" s="3" t="n">
        <v>0.14</v>
      </c>
      <c r="F2768" s="3" t="n">
        <v>0</v>
      </c>
      <c r="G2768" s="3">
        <f>F2768-E2768</f>
        <v/>
      </c>
      <c r="H2768" s="4">
        <f>IF(E2768=0,"",F2768/E2768-1)</f>
        <v/>
      </c>
      <c r="I2768" t="inlineStr"/>
    </row>
    <row r="2769">
      <c r="A2769" t="inlineStr">
        <is>
          <t>Base metals &amp; articles</t>
        </is>
      </c>
      <c r="B2769" t="inlineStr">
        <is>
          <t>72</t>
        </is>
      </c>
      <c r="C2769" t="inlineStr">
        <is>
          <t>72193210</t>
        </is>
      </c>
      <c r="D2769" t="inlineStr">
        <is>
          <t>COLD-ROLLED,CHROMIUM TYPE</t>
        </is>
      </c>
      <c r="E2769" s="3" t="n">
        <v>0.07000000000000001</v>
      </c>
      <c r="F2769" s="3" t="n">
        <v>0</v>
      </c>
      <c r="G2769" s="3">
        <f>F2769-E2769</f>
        <v/>
      </c>
      <c r="H2769" s="4">
        <f>IF(E2769=0,"",F2769/E2769-1)</f>
        <v/>
      </c>
      <c r="I2769" t="inlineStr"/>
    </row>
    <row r="2770">
      <c r="A2770" t="inlineStr">
        <is>
          <t>Base metals &amp; articles</t>
        </is>
      </c>
      <c r="B2770" t="inlineStr">
        <is>
          <t>72</t>
        </is>
      </c>
      <c r="C2770" t="inlineStr">
        <is>
          <t>72193220</t>
        </is>
      </c>
      <c r="D2770" t="inlineStr">
        <is>
          <t>COLD-RLLD,NICKEL CHROMIUM AUSTENITIC TYPE</t>
        </is>
      </c>
      <c r="E2770" s="3" t="n">
        <v>0.68</v>
      </c>
      <c r="F2770" s="3" t="n">
        <v>0</v>
      </c>
      <c r="G2770" s="3">
        <f>F2770-E2770</f>
        <v/>
      </c>
      <c r="H2770" s="4">
        <f>IF(E2770=0,"",F2770/E2770-1)</f>
        <v/>
      </c>
      <c r="I2770" t="inlineStr"/>
    </row>
    <row r="2771">
      <c r="A2771" t="inlineStr">
        <is>
          <t>Base metals &amp; articles</t>
        </is>
      </c>
      <c r="B2771" t="inlineStr">
        <is>
          <t>72</t>
        </is>
      </c>
      <c r="C2771" t="inlineStr">
        <is>
          <t>72193490</t>
        </is>
      </c>
      <c r="D2771" t="inlineStr">
        <is>
          <t>COLD ROLD PRDCTS OF STAINLESS STEEL OF A THCKNS &gt;=0.5MM BUT &lt; 1MM OF OTHR TYPES</t>
        </is>
      </c>
      <c r="E2771" s="3" t="n">
        <v>0.08</v>
      </c>
      <c r="F2771" s="3" t="n">
        <v>0</v>
      </c>
      <c r="G2771" s="3">
        <f>F2771-E2771</f>
        <v/>
      </c>
      <c r="H2771" s="4">
        <f>IF(E2771=0,"",F2771/E2771-1)</f>
        <v/>
      </c>
      <c r="I2771" t="inlineStr"/>
    </row>
    <row r="2772">
      <c r="A2772" t="inlineStr">
        <is>
          <t>Base metals &amp; articles</t>
        </is>
      </c>
      <c r="B2772" t="inlineStr">
        <is>
          <t>72</t>
        </is>
      </c>
      <c r="C2772" t="inlineStr">
        <is>
          <t>72193590</t>
        </is>
      </c>
      <c r="D2772" t="inlineStr">
        <is>
          <t>COLD-RLD PRDCTS OF THCKNS&lt;0.5MM OF OTHR TY</t>
        </is>
      </c>
      <c r="E2772" s="3" t="n">
        <v>0</v>
      </c>
      <c r="F2772" s="3" t="n">
        <v>0</v>
      </c>
      <c r="G2772" s="3">
        <f>F2772-E2772</f>
        <v/>
      </c>
      <c r="H2772" s="4">
        <f>IF(E2772=0,"",F2772/E2772-1)</f>
        <v/>
      </c>
      <c r="I2772" t="inlineStr"/>
    </row>
    <row r="2773">
      <c r="A2773" t="inlineStr">
        <is>
          <t>Base metals &amp; articles</t>
        </is>
      </c>
      <c r="B2773" t="inlineStr">
        <is>
          <t>72</t>
        </is>
      </c>
      <c r="C2773" t="inlineStr">
        <is>
          <t>72199011</t>
        </is>
      </c>
      <c r="D2773" t="inlineStr">
        <is>
          <t>SHEETS AND PLATES&gt;4.75 MM IN THCKNS, WRKD</t>
        </is>
      </c>
      <c r="E2773" s="3" t="n">
        <v>0.02</v>
      </c>
      <c r="F2773" s="3" t="n">
        <v>0</v>
      </c>
      <c r="G2773" s="3">
        <f>F2773-E2773</f>
        <v/>
      </c>
      <c r="H2773" s="4">
        <f>IF(E2773=0,"",F2773/E2773-1)</f>
        <v/>
      </c>
      <c r="I2773" t="inlineStr"/>
    </row>
    <row r="2774">
      <c r="A2774" t="inlineStr">
        <is>
          <t>Base metals &amp; articles</t>
        </is>
      </c>
      <c r="B2774" t="inlineStr">
        <is>
          <t>72</t>
        </is>
      </c>
      <c r="C2774" t="inlineStr">
        <is>
          <t>72201129</t>
        </is>
      </c>
      <c r="D2774" t="inlineStr">
        <is>
          <t>STRIPS FOR PIPES AND TUBES (OTHR THN SKELP) OTHR TYPES THCKNS&gt;=4.75MM</t>
        </is>
      </c>
      <c r="E2774" s="3" t="n">
        <v>0.08</v>
      </c>
      <c r="F2774" s="3" t="n">
        <v>0</v>
      </c>
      <c r="G2774" s="3">
        <f>F2774-E2774</f>
        <v/>
      </c>
      <c r="H2774" s="4">
        <f>IF(E2774=0,"",F2774/E2774-1)</f>
        <v/>
      </c>
      <c r="I2774" t="inlineStr"/>
    </row>
    <row r="2775">
      <c r="A2775" t="inlineStr">
        <is>
          <t>Base metals &amp; articles</t>
        </is>
      </c>
      <c r="B2775" t="inlineStr">
        <is>
          <t>72</t>
        </is>
      </c>
      <c r="C2775" t="inlineStr">
        <is>
          <t>72201290</t>
        </is>
      </c>
      <c r="D2775" t="inlineStr">
        <is>
          <t>STRIPS FOR PIPES AND TUBES (OTHR THN SKELP) OTHERS N.E.S. THCKNS &lt;4.75MM</t>
        </is>
      </c>
      <c r="E2775" s="3" t="n">
        <v>0.33</v>
      </c>
      <c r="F2775" s="3" t="n">
        <v>0</v>
      </c>
      <c r="G2775" s="3">
        <f>F2775-E2775</f>
        <v/>
      </c>
      <c r="H2775" s="4">
        <f>IF(E2775=0,"",F2775/E2775-1)</f>
        <v/>
      </c>
      <c r="I2775" t="inlineStr"/>
    </row>
    <row r="2776">
      <c r="A2776" t="inlineStr">
        <is>
          <t>Base metals &amp; articles</t>
        </is>
      </c>
      <c r="B2776" t="inlineStr">
        <is>
          <t>72</t>
        </is>
      </c>
      <c r="C2776" t="inlineStr">
        <is>
          <t>72202022</t>
        </is>
      </c>
      <c r="D2776" t="inlineStr">
        <is>
          <t>STRIPS FOR PIPES AND TUBES(OTHER THAN SKELP) NICKEL CHROMIUM AUSTENITIC TYPE</t>
        </is>
      </c>
      <c r="E2776" s="3" t="n">
        <v>0.01</v>
      </c>
      <c r="F2776" s="3" t="n">
        <v>0</v>
      </c>
      <c r="G2776" s="3">
        <f>F2776-E2776</f>
        <v/>
      </c>
      <c r="H2776" s="4">
        <f>IF(E2776=0,"",F2776/E2776-1)</f>
        <v/>
      </c>
      <c r="I2776" t="inlineStr"/>
    </row>
    <row r="2777">
      <c r="A2777" t="inlineStr">
        <is>
          <t>Base metals &amp; articles</t>
        </is>
      </c>
      <c r="B2777" t="inlineStr">
        <is>
          <t>72</t>
        </is>
      </c>
      <c r="C2777" t="inlineStr">
        <is>
          <t>72202029</t>
        </is>
      </c>
      <c r="D2777" t="inlineStr">
        <is>
          <t>STRIPS FOR PIPES AND TUBES(OTHR THN SKELP) OTHR TYPES</t>
        </is>
      </c>
      <c r="E2777" s="3" t="n">
        <v>0</v>
      </c>
      <c r="F2777" s="3" t="n">
        <v>0</v>
      </c>
      <c r="G2777" s="3">
        <f>F2777-E2777</f>
        <v/>
      </c>
      <c r="H2777" s="4">
        <f>IF(E2777=0,"",F2777/E2777-1)</f>
        <v/>
      </c>
      <c r="I2777" t="inlineStr"/>
    </row>
    <row r="2778">
      <c r="A2778" t="inlineStr">
        <is>
          <t>Base metals &amp; articles</t>
        </is>
      </c>
      <c r="B2778" t="inlineStr">
        <is>
          <t>72</t>
        </is>
      </c>
      <c r="C2778" t="inlineStr">
        <is>
          <t>72210011</t>
        </is>
      </c>
      <c r="D2778" t="inlineStr">
        <is>
          <t>BRIGHT BARS-CHROMIUM TYPE</t>
        </is>
      </c>
      <c r="E2778" s="3" t="n">
        <v>0</v>
      </c>
      <c r="F2778" s="3" t="n">
        <v>0</v>
      </c>
      <c r="G2778" s="3">
        <f>F2778-E2778</f>
        <v/>
      </c>
      <c r="H2778" s="4">
        <f>IF(E2778=0,"",F2778/E2778-1)</f>
        <v/>
      </c>
      <c r="I2778" t="inlineStr"/>
    </row>
    <row r="2779">
      <c r="A2779" t="inlineStr">
        <is>
          <t>Base metals &amp; articles</t>
        </is>
      </c>
      <c r="B2779" t="inlineStr">
        <is>
          <t>72</t>
        </is>
      </c>
      <c r="C2779" t="inlineStr">
        <is>
          <t>72221199</t>
        </is>
      </c>
      <c r="D2779" t="inlineStr">
        <is>
          <t>OTHERS N.E.S.</t>
        </is>
      </c>
      <c r="E2779" s="3" t="n">
        <v>0.04</v>
      </c>
      <c r="F2779" s="3" t="n">
        <v>0</v>
      </c>
      <c r="G2779" s="3">
        <f>F2779-E2779</f>
        <v/>
      </c>
      <c r="H2779" s="4">
        <f>IF(E2779=0,"",F2779/E2779-1)</f>
        <v/>
      </c>
      <c r="I2779" t="inlineStr"/>
    </row>
    <row r="2780">
      <c r="A2780" t="inlineStr">
        <is>
          <t>Base metals &amp; articles</t>
        </is>
      </c>
      <c r="B2780" t="inlineStr">
        <is>
          <t>72</t>
        </is>
      </c>
      <c r="C2780" t="inlineStr">
        <is>
          <t>72222011</t>
        </is>
      </c>
      <c r="D2780" t="inlineStr">
        <is>
          <t>BRIGHT BARS-CHROMIUM TYPE</t>
        </is>
      </c>
      <c r="E2780" s="3" t="n">
        <v>0.78</v>
      </c>
      <c r="F2780" s="3" t="n">
        <v>0</v>
      </c>
      <c r="G2780" s="3">
        <f>F2780-E2780</f>
        <v/>
      </c>
      <c r="H2780" s="4">
        <f>IF(E2780=0,"",F2780/E2780-1)</f>
        <v/>
      </c>
      <c r="I2780" t="inlineStr"/>
    </row>
    <row r="2781">
      <c r="A2781" t="inlineStr">
        <is>
          <t>Base metals &amp; articles</t>
        </is>
      </c>
      <c r="B2781" t="inlineStr">
        <is>
          <t>72</t>
        </is>
      </c>
      <c r="C2781" t="inlineStr">
        <is>
          <t>72230092</t>
        </is>
      </c>
      <c r="D2781" t="inlineStr">
        <is>
          <t>WIRE OF STAINS STL OF THCKNS 1.5 TO 0.46MM</t>
        </is>
      </c>
      <c r="E2781" s="3" t="n">
        <v>0</v>
      </c>
      <c r="F2781" s="3" t="n">
        <v>0</v>
      </c>
      <c r="G2781" s="3">
        <f>F2781-E2781</f>
        <v/>
      </c>
      <c r="H2781" s="4">
        <f>IF(E2781=0,"",F2781/E2781-1)</f>
        <v/>
      </c>
      <c r="I2781" t="inlineStr"/>
    </row>
    <row r="2782">
      <c r="A2782" t="inlineStr">
        <is>
          <t>Base metals &amp; articles</t>
        </is>
      </c>
      <c r="B2782" t="inlineStr">
        <is>
          <t>72</t>
        </is>
      </c>
      <c r="C2782" t="inlineStr">
        <is>
          <t>72249010</t>
        </is>
      </c>
      <c r="D2782" t="inlineStr">
        <is>
          <t>TOOL STEEL QUALITY</t>
        </is>
      </c>
      <c r="E2782" s="3" t="n">
        <v>0.05</v>
      </c>
      <c r="F2782" s="3" t="n">
        <v>0</v>
      </c>
      <c r="G2782" s="3">
        <f>F2782-E2782</f>
        <v/>
      </c>
      <c r="H2782" s="4">
        <f>IF(E2782=0,"",F2782/E2782-1)</f>
        <v/>
      </c>
      <c r="I2782" t="inlineStr"/>
    </row>
    <row r="2783">
      <c r="A2783" t="inlineStr">
        <is>
          <t>Base metals &amp; articles</t>
        </is>
      </c>
      <c r="B2783" t="inlineStr">
        <is>
          <t>72</t>
        </is>
      </c>
      <c r="C2783" t="inlineStr">
        <is>
          <t>72249040</t>
        </is>
      </c>
      <c r="D2783" t="inlineStr">
        <is>
          <t>FORGED BLANKS OF ALLOY STEEL</t>
        </is>
      </c>
      <c r="E2783" s="3" t="n">
        <v>0.98</v>
      </c>
      <c r="F2783" s="3" t="n">
        <v>0</v>
      </c>
      <c r="G2783" s="3">
        <f>F2783-E2783</f>
        <v/>
      </c>
      <c r="H2783" s="4">
        <f>IF(E2783=0,"",F2783/E2783-1)</f>
        <v/>
      </c>
      <c r="I2783" t="inlineStr"/>
    </row>
    <row r="2784">
      <c r="A2784" t="inlineStr">
        <is>
          <t>Base metals &amp; articles</t>
        </is>
      </c>
      <c r="B2784" t="inlineStr">
        <is>
          <t>72</t>
        </is>
      </c>
      <c r="C2784" t="inlineStr">
        <is>
          <t>72254013</t>
        </is>
      </c>
      <c r="D2784" t="inlineStr">
        <is>
          <t>HIGH TENSILE QULTY OF THCKNS&gt;4.75 MM</t>
        </is>
      </c>
      <c r="E2784" s="3" t="n">
        <v>0.04</v>
      </c>
      <c r="F2784" s="3" t="n">
        <v>0</v>
      </c>
      <c r="G2784" s="3">
        <f>F2784-E2784</f>
        <v/>
      </c>
      <c r="H2784" s="4">
        <f>IF(E2784=0,"",F2784/E2784-1)</f>
        <v/>
      </c>
      <c r="I2784" t="inlineStr"/>
    </row>
    <row r="2785">
      <c r="A2785" t="inlineStr">
        <is>
          <t>Base metals &amp; articles</t>
        </is>
      </c>
      <c r="B2785" t="inlineStr">
        <is>
          <t>72</t>
        </is>
      </c>
      <c r="C2785" t="inlineStr">
        <is>
          <t>72261990</t>
        </is>
      </c>
      <c r="D2785" t="inlineStr">
        <is>
          <t>OTHER FLT-RLD PRDCTS OF SILICON ELCTRCL STEEL</t>
        </is>
      </c>
      <c r="E2785" s="3" t="n">
        <v>0</v>
      </c>
      <c r="F2785" s="3" t="n">
        <v>0</v>
      </c>
      <c r="G2785" s="3">
        <f>F2785-E2785</f>
        <v/>
      </c>
      <c r="H2785" s="4">
        <f>IF(E2785=0,"",F2785/E2785-1)</f>
        <v/>
      </c>
      <c r="I2785" t="inlineStr"/>
    </row>
    <row r="2786">
      <c r="A2786" t="inlineStr">
        <is>
          <t>Base metals &amp; articles</t>
        </is>
      </c>
      <c r="B2786" t="inlineStr">
        <is>
          <t>72</t>
        </is>
      </c>
      <c r="C2786" t="inlineStr">
        <is>
          <t>72279090</t>
        </is>
      </c>
      <c r="D2786" t="inlineStr">
        <is>
          <t>OTHER BARS AND RODS,HT-RLLD IN IRREGURARLY WOUND COILS OF OTHR ALLOY STEEL</t>
        </is>
      </c>
      <c r="E2786" s="3" t="n">
        <v>0</v>
      </c>
      <c r="F2786" s="3" t="n">
        <v>0</v>
      </c>
      <c r="G2786" s="3">
        <f>F2786-E2786</f>
        <v/>
      </c>
      <c r="H2786" s="4">
        <f>IF(E2786=0,"",F2786/E2786-1)</f>
        <v/>
      </c>
      <c r="I2786" t="inlineStr"/>
    </row>
    <row r="2787">
      <c r="A2787" t="inlineStr">
        <is>
          <t>Base metals &amp; articles</t>
        </is>
      </c>
      <c r="B2787" t="inlineStr">
        <is>
          <t>72</t>
        </is>
      </c>
      <c r="C2787" t="inlineStr">
        <is>
          <t>72281010</t>
        </is>
      </c>
      <c r="D2787" t="inlineStr">
        <is>
          <t>BRIGHT BARS</t>
        </is>
      </c>
      <c r="E2787" s="3" t="n">
        <v>0</v>
      </c>
      <c r="F2787" s="3" t="n">
        <v>0</v>
      </c>
      <c r="G2787" s="3">
        <f>F2787-E2787</f>
        <v/>
      </c>
      <c r="H2787" s="4">
        <f>IF(E2787=0,"",F2787/E2787-1)</f>
        <v/>
      </c>
      <c r="I2787" t="inlineStr"/>
    </row>
    <row r="2788">
      <c r="A2788" t="inlineStr">
        <is>
          <t>Base metals &amp; articles</t>
        </is>
      </c>
      <c r="B2788" t="inlineStr">
        <is>
          <t>72</t>
        </is>
      </c>
      <c r="C2788" t="inlineStr">
        <is>
          <t>72283024</t>
        </is>
      </c>
      <c r="D2788" t="inlineStr">
        <is>
          <t>BARS AND RODS OF TOOL AND DIE STEEL</t>
        </is>
      </c>
      <c r="E2788" s="3" t="n">
        <v>0.04</v>
      </c>
      <c r="F2788" s="3" t="n">
        <v>0</v>
      </c>
      <c r="G2788" s="3">
        <f>F2788-E2788</f>
        <v/>
      </c>
      <c r="H2788" s="4">
        <f>IF(E2788=0,"",F2788/E2788-1)</f>
        <v/>
      </c>
      <c r="I2788" t="inlineStr"/>
    </row>
    <row r="2789">
      <c r="A2789" t="inlineStr">
        <is>
          <t>Base metals &amp; articles</t>
        </is>
      </c>
      <c r="B2789" t="inlineStr">
        <is>
          <t>72</t>
        </is>
      </c>
      <c r="C2789" t="inlineStr">
        <is>
          <t>72286099</t>
        </is>
      </c>
      <c r="D2789" t="inlineStr">
        <is>
          <t>OTHERS-OF-OTHER BARS AND RODS :</t>
        </is>
      </c>
      <c r="E2789" s="3" t="n">
        <v>0</v>
      </c>
      <c r="F2789" s="3" t="n">
        <v>0</v>
      </c>
      <c r="G2789" s="3">
        <f>F2789-E2789</f>
        <v/>
      </c>
      <c r="H2789" s="4">
        <f>IF(E2789=0,"",F2789/E2789-1)</f>
        <v/>
      </c>
      <c r="I2789" t="inlineStr"/>
    </row>
    <row r="2790">
      <c r="A2790" t="inlineStr">
        <is>
          <t>Base metals &amp; articles</t>
        </is>
      </c>
      <c r="B2790" t="inlineStr">
        <is>
          <t>72</t>
        </is>
      </c>
      <c r="C2790" t="inlineStr">
        <is>
          <t>72292000</t>
        </is>
      </c>
      <c r="D2790" t="inlineStr">
        <is>
          <t>WIRE OF OTHR ALLOY SILICO MANGANESE STEEL</t>
        </is>
      </c>
      <c r="E2790" s="3" t="n">
        <v>0.18</v>
      </c>
      <c r="F2790" s="3" t="n">
        <v>0</v>
      </c>
      <c r="G2790" s="3">
        <f>F2790-E2790</f>
        <v/>
      </c>
      <c r="H2790" s="4">
        <f>IF(E2790=0,"",F2790/E2790-1)</f>
        <v/>
      </c>
      <c r="I2790" t="inlineStr"/>
    </row>
    <row r="2791">
      <c r="A2791" t="inlineStr">
        <is>
          <t>Base metals &amp; articles</t>
        </is>
      </c>
      <c r="B2791" t="inlineStr">
        <is>
          <t>72</t>
        </is>
      </c>
      <c r="C2791" t="inlineStr">
        <is>
          <t>72299031</t>
        </is>
      </c>
      <c r="D2791" t="inlineStr">
        <is>
          <t>WIRE(EXCL WIRE TYPE LEAD),NT INSULATED</t>
        </is>
      </c>
      <c r="E2791" s="3" t="n">
        <v>0</v>
      </c>
      <c r="F2791" s="3" t="n">
        <v>0</v>
      </c>
      <c r="G2791" s="3">
        <f>F2791-E2791</f>
        <v/>
      </c>
      <c r="H2791" s="4">
        <f>IF(E2791=0,"",F2791/E2791-1)</f>
        <v/>
      </c>
      <c r="I2791" t="inlineStr"/>
    </row>
    <row r="2792">
      <c r="A2792" t="inlineStr">
        <is>
          <t>Base metals &amp; articles</t>
        </is>
      </c>
      <c r="B2792" t="inlineStr">
        <is>
          <t>72</t>
        </is>
      </c>
      <c r="C2792" t="inlineStr">
        <is>
          <t>72299090</t>
        </is>
      </c>
      <c r="D2792" t="inlineStr">
        <is>
          <t>OTHERS-OF-OTHER WIRE</t>
        </is>
      </c>
      <c r="E2792" s="3" t="n">
        <v>0</v>
      </c>
      <c r="F2792" s="3" t="n">
        <v>0</v>
      </c>
      <c r="G2792" s="3">
        <f>F2792-E2792</f>
        <v/>
      </c>
      <c r="H2792" s="4">
        <f>IF(E2792=0,"",F2792/E2792-1)</f>
        <v/>
      </c>
      <c r="I2792" t="inlineStr"/>
    </row>
    <row r="2793">
      <c r="A2793" t="inlineStr">
        <is>
          <t>Base metals &amp; articles</t>
        </is>
      </c>
      <c r="B2793" t="inlineStr">
        <is>
          <t>73</t>
        </is>
      </c>
      <c r="C2793" t="inlineStr">
        <is>
          <t>73011000</t>
        </is>
      </c>
      <c r="D2793" t="inlineStr">
        <is>
          <t>SHEET PILING</t>
        </is>
      </c>
      <c r="E2793" s="3" t="n">
        <v>0.06</v>
      </c>
      <c r="F2793" s="3" t="n">
        <v>0</v>
      </c>
      <c r="G2793" s="3">
        <f>F2793-E2793</f>
        <v/>
      </c>
      <c r="H2793" s="4">
        <f>IF(E2793=0,"",F2793/E2793-1)</f>
        <v/>
      </c>
      <c r="I2793" t="inlineStr"/>
    </row>
    <row r="2794">
      <c r="A2794" t="inlineStr">
        <is>
          <t>Base metals &amp; articles</t>
        </is>
      </c>
      <c r="B2794" t="inlineStr">
        <is>
          <t>73</t>
        </is>
      </c>
      <c r="C2794" t="inlineStr">
        <is>
          <t>73042310</t>
        </is>
      </c>
      <c r="D2794" t="inlineStr">
        <is>
          <t>DRILL PIPES OF IRON</t>
        </is>
      </c>
      <c r="E2794" s="3" t="n">
        <v>0</v>
      </c>
      <c r="F2794" s="3" t="n">
        <v>0</v>
      </c>
      <c r="G2794" s="3">
        <f>F2794-E2794</f>
        <v/>
      </c>
      <c r="H2794" s="4">
        <f>IF(E2794=0,"",F2794/E2794-1)</f>
        <v/>
      </c>
      <c r="I2794" t="inlineStr"/>
    </row>
    <row r="2795">
      <c r="A2795" t="inlineStr">
        <is>
          <t>Base metals &amp; articles</t>
        </is>
      </c>
      <c r="B2795" t="inlineStr">
        <is>
          <t>73</t>
        </is>
      </c>
      <c r="C2795" t="inlineStr">
        <is>
          <t>73043129</t>
        </is>
      </c>
      <c r="D2795" t="inlineStr">
        <is>
          <t>OTHER &gt; 114.3 MM AND &lt;= 219.1 MM OUTER DIA</t>
        </is>
      </c>
      <c r="E2795" s="3" t="n">
        <v>0.01</v>
      </c>
      <c r="F2795" s="3" t="n">
        <v>0</v>
      </c>
      <c r="G2795" s="3">
        <f>F2795-E2795</f>
        <v/>
      </c>
      <c r="H2795" s="4">
        <f>IF(E2795=0,"",F2795/E2795-1)</f>
        <v/>
      </c>
      <c r="I2795" t="inlineStr"/>
    </row>
    <row r="2796">
      <c r="A2796" t="inlineStr">
        <is>
          <t>Base metals &amp; articles</t>
        </is>
      </c>
      <c r="B2796" t="inlineStr">
        <is>
          <t>73</t>
        </is>
      </c>
      <c r="C2796" t="inlineStr">
        <is>
          <t>73043139</t>
        </is>
      </c>
      <c r="D2796" t="inlineStr">
        <is>
          <t>OTHER MADE ABOVE 219.1 MM OUTER DIAMETER</t>
        </is>
      </c>
      <c r="E2796" s="3" t="n">
        <v>0.04</v>
      </c>
      <c r="F2796" s="3" t="n">
        <v>0</v>
      </c>
      <c r="G2796" s="3">
        <f>F2796-E2796</f>
        <v/>
      </c>
      <c r="H2796" s="4">
        <f>IF(E2796=0,"",F2796/E2796-1)</f>
        <v/>
      </c>
      <c r="I2796" t="inlineStr"/>
    </row>
    <row r="2797">
      <c r="A2797" t="inlineStr">
        <is>
          <t>Base metals &amp; articles</t>
        </is>
      </c>
      <c r="B2797" t="inlineStr">
        <is>
          <t>73</t>
        </is>
      </c>
      <c r="C2797" t="inlineStr">
        <is>
          <t>73043911</t>
        </is>
      </c>
      <c r="D2797" t="inlineStr">
        <is>
          <t>IRON MADE UPTO 114.3 MM OUTER DIAMETER</t>
        </is>
      </c>
      <c r="E2797" s="3" t="n">
        <v>0.03</v>
      </c>
      <c r="F2797" s="3" t="n">
        <v>0</v>
      </c>
      <c r="G2797" s="3">
        <f>F2797-E2797</f>
        <v/>
      </c>
      <c r="H2797" s="4">
        <f>IF(E2797=0,"",F2797/E2797-1)</f>
        <v/>
      </c>
      <c r="I2797" t="inlineStr"/>
    </row>
    <row r="2798">
      <c r="A2798" t="inlineStr">
        <is>
          <t>Base metals &amp; articles</t>
        </is>
      </c>
      <c r="B2798" t="inlineStr">
        <is>
          <t>73</t>
        </is>
      </c>
      <c r="C2798" t="inlineStr">
        <is>
          <t>73045110</t>
        </is>
      </c>
      <c r="D2798" t="inlineStr">
        <is>
          <t>TUBE/PIPE ETC OF CRCLR CRSS SECTN WITH OUTR DIAMTR UPTO 114.3 MM,CLD RLD</t>
        </is>
      </c>
      <c r="E2798" s="3" t="n">
        <v>0.22</v>
      </c>
      <c r="F2798" s="3" t="n">
        <v>0</v>
      </c>
      <c r="G2798" s="3">
        <f>F2798-E2798</f>
        <v/>
      </c>
      <c r="H2798" s="4">
        <f>IF(E2798=0,"",F2798/E2798-1)</f>
        <v/>
      </c>
      <c r="I2798" t="inlineStr"/>
    </row>
    <row r="2799">
      <c r="A2799" t="inlineStr">
        <is>
          <t>Base metals &amp; articles</t>
        </is>
      </c>
      <c r="B2799" t="inlineStr">
        <is>
          <t>73</t>
        </is>
      </c>
      <c r="C2799" t="inlineStr">
        <is>
          <t>73045120</t>
        </is>
      </c>
      <c r="D2799" t="inlineStr">
        <is>
          <t>TUBE/PIPE ETC OF CRCLR CRSS SECTN WITH OUTR DIAMTR&gt;114.3 MM BUT&lt;=219.1 MM, COLD ROLLED OR COLD DRAWN</t>
        </is>
      </c>
      <c r="E2799" s="3" t="n">
        <v>0.01</v>
      </c>
      <c r="F2799" s="3" t="n">
        <v>0</v>
      </c>
      <c r="G2799" s="3">
        <f>F2799-E2799</f>
        <v/>
      </c>
      <c r="H2799" s="4">
        <f>IF(E2799=0,"",F2799/E2799-1)</f>
        <v/>
      </c>
      <c r="I2799" t="inlineStr"/>
    </row>
    <row r="2800">
      <c r="A2800" t="inlineStr">
        <is>
          <t>Base metals &amp; articles</t>
        </is>
      </c>
      <c r="B2800" t="inlineStr">
        <is>
          <t>73</t>
        </is>
      </c>
      <c r="C2800" t="inlineStr">
        <is>
          <t>73053110</t>
        </is>
      </c>
      <c r="D2800" t="inlineStr">
        <is>
          <t>*OTHR TUBES,PIPS ETC,LONGITUDINALLY WELDED MADE UP OF IRON</t>
        </is>
      </c>
      <c r="E2800" s="3" t="n">
        <v>0.01</v>
      </c>
      <c r="F2800" s="3" t="n">
        <v>0</v>
      </c>
      <c r="G2800" s="3">
        <f>F2800-E2800</f>
        <v/>
      </c>
      <c r="H2800" s="4">
        <f>IF(E2800=0,"",F2800/E2800-1)</f>
        <v/>
      </c>
      <c r="I2800" t="inlineStr"/>
    </row>
    <row r="2801">
      <c r="A2801" t="inlineStr">
        <is>
          <t>Base metals &amp; articles</t>
        </is>
      </c>
      <c r="B2801" t="inlineStr">
        <is>
          <t>73</t>
        </is>
      </c>
      <c r="C2801" t="inlineStr">
        <is>
          <t>73053190</t>
        </is>
      </c>
      <c r="D2801" t="inlineStr">
        <is>
          <t>*OTHR TUBES,PIPS ETC,LONGITUDINALLY WELDED MADE UO OF OTHER</t>
        </is>
      </c>
      <c r="E2801" s="3" t="n">
        <v>0.27</v>
      </c>
      <c r="F2801" s="3" t="n">
        <v>0</v>
      </c>
      <c r="G2801" s="3">
        <f>F2801-E2801</f>
        <v/>
      </c>
      <c r="H2801" s="4">
        <f>IF(E2801=0,"",F2801/E2801-1)</f>
        <v/>
      </c>
      <c r="I2801" t="inlineStr"/>
    </row>
    <row r="2802">
      <c r="A2802" t="inlineStr">
        <is>
          <t>Base metals &amp; articles</t>
        </is>
      </c>
      <c r="B2802" t="inlineStr">
        <is>
          <t>73</t>
        </is>
      </c>
      <c r="C2802" t="inlineStr">
        <is>
          <t>73062919</t>
        </is>
      </c>
      <c r="D2802" t="inlineStr">
        <is>
          <t>OTHERS-OF-OTHERS-OF-OTHER TUBES, PIPES AND HOLLOW PROFILES (FOR EXAMPLE, OPEN SEAM OR WELDED, RIVETED OR SIMILARLY CLOSED), OF</t>
        </is>
      </c>
      <c r="E2802" s="3" t="n">
        <v>0.06</v>
      </c>
      <c r="F2802" s="3" t="n">
        <v>0</v>
      </c>
      <c r="G2802" s="3">
        <f>F2802-E2802</f>
        <v/>
      </c>
      <c r="H2802" s="4">
        <f>IF(E2802=0,"",F2802/E2802-1)</f>
        <v/>
      </c>
      <c r="I2802" t="inlineStr"/>
    </row>
    <row r="2803">
      <c r="A2803" t="inlineStr">
        <is>
          <t>Base metals &amp; articles</t>
        </is>
      </c>
      <c r="B2803" t="inlineStr">
        <is>
          <t>73</t>
        </is>
      </c>
      <c r="C2803" t="inlineStr">
        <is>
          <t>73066900</t>
        </is>
      </c>
      <c r="D2803" t="inlineStr">
        <is>
          <t>OF OTHER NON-CIRCULAR CROSS-SECTION</t>
        </is>
      </c>
      <c r="E2803" s="3" t="n">
        <v>0</v>
      </c>
      <c r="F2803" s="3" t="n">
        <v>0</v>
      </c>
      <c r="G2803" s="3">
        <f>F2803-E2803</f>
        <v/>
      </c>
      <c r="H2803" s="4">
        <f>IF(E2803=0,"",F2803/E2803-1)</f>
        <v/>
      </c>
      <c r="I2803" t="inlineStr"/>
    </row>
    <row r="2804">
      <c r="A2804" t="inlineStr">
        <is>
          <t>Base metals &amp; articles</t>
        </is>
      </c>
      <c r="B2804" t="inlineStr">
        <is>
          <t>73</t>
        </is>
      </c>
      <c r="C2804" t="inlineStr">
        <is>
          <t>73081000</t>
        </is>
      </c>
      <c r="D2804" t="inlineStr">
        <is>
          <t>*BRIDGES AND BRIDGE SECTIONS</t>
        </is>
      </c>
      <c r="E2804" s="3" t="n">
        <v>0.95</v>
      </c>
      <c r="F2804" s="3" t="n">
        <v>0</v>
      </c>
      <c r="G2804" s="3">
        <f>F2804-E2804</f>
        <v/>
      </c>
      <c r="H2804" s="4">
        <f>IF(E2804=0,"",F2804/E2804-1)</f>
        <v/>
      </c>
      <c r="I2804" t="inlineStr"/>
    </row>
    <row r="2805">
      <c r="A2805" t="inlineStr">
        <is>
          <t>Base metals &amp; articles</t>
        </is>
      </c>
      <c r="B2805" t="inlineStr">
        <is>
          <t>73</t>
        </is>
      </c>
      <c r="C2805" t="inlineStr">
        <is>
          <t>73081010</t>
        </is>
      </c>
      <c r="D2805" t="inlineStr">
        <is>
          <t>PORTABLE BRIDGE</t>
        </is>
      </c>
      <c r="E2805" s="3" t="n">
        <v>0</v>
      </c>
      <c r="F2805" s="3" t="n">
        <v>0</v>
      </c>
      <c r="G2805" s="3">
        <f>F2805-E2805</f>
        <v/>
      </c>
      <c r="H2805" s="4">
        <f>IF(E2805=0,"",F2805/E2805-1)</f>
        <v/>
      </c>
      <c r="I2805" t="inlineStr"/>
    </row>
    <row r="2806">
      <c r="A2806" t="inlineStr">
        <is>
          <t>Base metals &amp; articles</t>
        </is>
      </c>
      <c r="B2806" t="inlineStr">
        <is>
          <t>73</t>
        </is>
      </c>
      <c r="C2806" t="inlineStr">
        <is>
          <t>73090020</t>
        </is>
      </c>
      <c r="D2806" t="inlineStr">
        <is>
          <t>G.I.BARRELS AND DRUMS</t>
        </is>
      </c>
      <c r="E2806" s="3" t="n">
        <v>0.05</v>
      </c>
      <c r="F2806" s="3" t="n">
        <v>0</v>
      </c>
      <c r="G2806" s="3">
        <f>F2806-E2806</f>
        <v/>
      </c>
      <c r="H2806" s="4">
        <f>IF(E2806=0,"",F2806/E2806-1)</f>
        <v/>
      </c>
      <c r="I2806" t="inlineStr"/>
    </row>
    <row r="2807">
      <c r="A2807" t="inlineStr">
        <is>
          <t>Base metals &amp; articles</t>
        </is>
      </c>
      <c r="B2807" t="inlineStr">
        <is>
          <t>73</t>
        </is>
      </c>
      <c r="C2807" t="inlineStr">
        <is>
          <t>73101020</t>
        </is>
      </c>
      <c r="D2807" t="inlineStr">
        <is>
          <t>TRUNKS AND SUITCASES</t>
        </is>
      </c>
      <c r="E2807" s="3" t="n">
        <v>0</v>
      </c>
      <c r="F2807" s="3" t="n">
        <v>0</v>
      </c>
      <c r="G2807" s="3">
        <f>F2807-E2807</f>
        <v/>
      </c>
      <c r="H2807" s="4">
        <f>IF(E2807=0,"",F2807/E2807-1)</f>
        <v/>
      </c>
      <c r="I2807" t="inlineStr"/>
    </row>
    <row r="2808">
      <c r="A2808" t="inlineStr">
        <is>
          <t>Base metals &amp; articles</t>
        </is>
      </c>
      <c r="B2808" t="inlineStr">
        <is>
          <t>73</t>
        </is>
      </c>
      <c r="C2808" t="inlineStr">
        <is>
          <t>73102910</t>
        </is>
      </c>
      <c r="D2808" t="inlineStr">
        <is>
          <t>TIN PLATE CONTAINERS</t>
        </is>
      </c>
      <c r="E2808" s="3" t="n">
        <v>0</v>
      </c>
      <c r="F2808" s="3" t="n">
        <v>0</v>
      </c>
      <c r="G2808" s="3">
        <f>F2808-E2808</f>
        <v/>
      </c>
      <c r="H2808" s="4">
        <f>IF(E2808=0,"",F2808/E2808-1)</f>
        <v/>
      </c>
      <c r="I2808" t="inlineStr"/>
    </row>
    <row r="2809">
      <c r="A2809" t="inlineStr">
        <is>
          <t>Base metals &amp; articles</t>
        </is>
      </c>
      <c r="B2809" t="inlineStr">
        <is>
          <t>73</t>
        </is>
      </c>
      <c r="C2809" t="inlineStr">
        <is>
          <t>73130020</t>
        </is>
      </c>
      <c r="D2809" t="inlineStr">
        <is>
          <t>TWISTD HOOP/SINGL FLAT WIRE BARBD OR NOT ANDLOOSLY TWISTD DOUBLE WIRE USED FOR FENCING</t>
        </is>
      </c>
      <c r="E2809" s="3" t="n">
        <v>0.19</v>
      </c>
      <c r="F2809" s="3" t="n">
        <v>0</v>
      </c>
      <c r="G2809" s="3">
        <f>F2809-E2809</f>
        <v/>
      </c>
      <c r="H2809" s="4">
        <f>IF(E2809=0,"",F2809/E2809-1)</f>
        <v/>
      </c>
      <c r="I2809" t="inlineStr"/>
    </row>
    <row r="2810">
      <c r="A2810" t="inlineStr">
        <is>
          <t>Base metals &amp; articles</t>
        </is>
      </c>
      <c r="B2810" t="inlineStr">
        <is>
          <t>73</t>
        </is>
      </c>
      <c r="C2810" t="inlineStr">
        <is>
          <t>73141200</t>
        </is>
      </c>
      <c r="D2810" t="inlineStr">
        <is>
          <t>ENDLESS BNDS FR MACHINERY OF STAINLESS STL</t>
        </is>
      </c>
      <c r="E2810" s="3" t="n">
        <v>0.03</v>
      </c>
      <c r="F2810" s="3" t="n">
        <v>0</v>
      </c>
      <c r="G2810" s="3">
        <f>F2810-E2810</f>
        <v/>
      </c>
      <c r="H2810" s="4">
        <f>IF(E2810=0,"",F2810/E2810-1)</f>
        <v/>
      </c>
      <c r="I2810" t="inlineStr"/>
    </row>
    <row r="2811">
      <c r="A2811" t="inlineStr">
        <is>
          <t>Base metals &amp; articles</t>
        </is>
      </c>
      <c r="B2811" t="inlineStr">
        <is>
          <t>73</t>
        </is>
      </c>
      <c r="C2811" t="inlineStr">
        <is>
          <t>73142090</t>
        </is>
      </c>
      <c r="D2811" t="inlineStr">
        <is>
          <t>OTHERS-OF-GRIL,NETNG AND FENCNG,WELDD INTRSECTNALY,OF WIRE HAVNG MAX CRS-SECTNAL DIMNSON OF 3MM AND ABOVE AND HVNG A MESH SIZE</t>
        </is>
      </c>
      <c r="E2811" s="3" t="n">
        <v>0.02</v>
      </c>
      <c r="F2811" s="3" t="n">
        <v>0</v>
      </c>
      <c r="G2811" s="3">
        <f>F2811-E2811</f>
        <v/>
      </c>
      <c r="H2811" s="4">
        <f>IF(E2811=0,"",F2811/E2811-1)</f>
        <v/>
      </c>
      <c r="I2811" t="inlineStr"/>
    </row>
    <row r="2812">
      <c r="A2812" t="inlineStr">
        <is>
          <t>Base metals &amp; articles</t>
        </is>
      </c>
      <c r="B2812" t="inlineStr">
        <is>
          <t>73</t>
        </is>
      </c>
      <c r="C2812" t="inlineStr">
        <is>
          <t>73144110</t>
        </is>
      </c>
      <c r="D2812" t="inlineStr">
        <is>
          <t>WIRE NETTING</t>
        </is>
      </c>
      <c r="E2812" s="3" t="n">
        <v>0</v>
      </c>
      <c r="F2812" s="3" t="n">
        <v>0</v>
      </c>
      <c r="G2812" s="3">
        <f>F2812-E2812</f>
        <v/>
      </c>
      <c r="H2812" s="4">
        <f>IF(E2812=0,"",F2812/E2812-1)</f>
        <v/>
      </c>
      <c r="I2812" t="inlineStr"/>
    </row>
    <row r="2813">
      <c r="A2813" t="inlineStr">
        <is>
          <t>Base metals &amp; articles</t>
        </is>
      </c>
      <c r="B2813" t="inlineStr">
        <is>
          <t>73</t>
        </is>
      </c>
      <c r="C2813" t="inlineStr">
        <is>
          <t>73144290</t>
        </is>
      </c>
      <c r="D2813" t="inlineStr">
        <is>
          <t>OTHERS-OF-OTHR GRILL,NETNG AND FENCING:PLSTIC COATED</t>
        </is>
      </c>
      <c r="E2813" s="3" t="n">
        <v>0</v>
      </c>
      <c r="F2813" s="3" t="n">
        <v>0</v>
      </c>
      <c r="G2813" s="3">
        <f>F2813-E2813</f>
        <v/>
      </c>
      <c r="H2813" s="4">
        <f>IF(E2813=0,"",F2813/E2813-1)</f>
        <v/>
      </c>
      <c r="I2813" t="inlineStr"/>
    </row>
    <row r="2814">
      <c r="A2814" t="inlineStr">
        <is>
          <t>Base metals &amp; articles</t>
        </is>
      </c>
      <c r="B2814" t="inlineStr">
        <is>
          <t>73</t>
        </is>
      </c>
      <c r="C2814" t="inlineStr">
        <is>
          <t>73158900</t>
        </is>
      </c>
      <c r="D2814" t="inlineStr">
        <is>
          <t>OTHER CHAIN(EXCL ARTICULTD CHAIN)</t>
        </is>
      </c>
      <c r="E2814" s="3" t="n">
        <v>0</v>
      </c>
      <c r="F2814" s="3" t="n">
        <v>0</v>
      </c>
      <c r="G2814" s="3">
        <f>F2814-E2814</f>
        <v/>
      </c>
      <c r="H2814" s="4">
        <f>IF(E2814=0,"",F2814/E2814-1)</f>
        <v/>
      </c>
      <c r="I2814" t="inlineStr"/>
    </row>
    <row r="2815">
      <c r="A2815" t="inlineStr">
        <is>
          <t>Base metals &amp; articles</t>
        </is>
      </c>
      <c r="B2815" t="inlineStr">
        <is>
          <t>73</t>
        </is>
      </c>
      <c r="C2815" t="inlineStr">
        <is>
          <t>73170013</t>
        </is>
      </c>
      <c r="D2815" t="inlineStr">
        <is>
          <t>WIRE NAILS</t>
        </is>
      </c>
      <c r="E2815" s="3" t="n">
        <v>0</v>
      </c>
      <c r="F2815" s="3" t="n">
        <v>0</v>
      </c>
      <c r="G2815" s="3">
        <f>F2815-E2815</f>
        <v/>
      </c>
      <c r="H2815" s="4">
        <f>IF(E2815=0,"",F2815/E2815-1)</f>
        <v/>
      </c>
      <c r="I2815" t="inlineStr"/>
    </row>
    <row r="2816">
      <c r="A2816" t="inlineStr">
        <is>
          <t>Base metals &amp; articles</t>
        </is>
      </c>
      <c r="B2816" t="inlineStr">
        <is>
          <t>73</t>
        </is>
      </c>
      <c r="C2816" t="inlineStr">
        <is>
          <t>73170029</t>
        </is>
      </c>
      <c r="D2816" t="inlineStr">
        <is>
          <t>SPIKES N.E.S.</t>
        </is>
      </c>
      <c r="E2816" s="3" t="n">
        <v>0</v>
      </c>
      <c r="F2816" s="3" t="n">
        <v>0</v>
      </c>
      <c r="G2816" s="3">
        <f>F2816-E2816</f>
        <v/>
      </c>
      <c r="H2816" s="4">
        <f>IF(E2816=0,"",F2816/E2816-1)</f>
        <v/>
      </c>
      <c r="I2816" t="inlineStr"/>
    </row>
    <row r="2817">
      <c r="A2817" t="inlineStr">
        <is>
          <t>Base metals &amp; articles</t>
        </is>
      </c>
      <c r="B2817" t="inlineStr">
        <is>
          <t>73</t>
        </is>
      </c>
      <c r="C2817" t="inlineStr">
        <is>
          <t>73170099</t>
        </is>
      </c>
      <c r="D2817" t="inlineStr">
        <is>
          <t>OTHER N.E.S.</t>
        </is>
      </c>
      <c r="E2817" s="3" t="n">
        <v>0.17</v>
      </c>
      <c r="F2817" s="3" t="n">
        <v>0</v>
      </c>
      <c r="G2817" s="3">
        <f>F2817-E2817</f>
        <v/>
      </c>
      <c r="H2817" s="4">
        <f>IF(E2817=0,"",F2817/E2817-1)</f>
        <v/>
      </c>
      <c r="I2817" t="inlineStr"/>
    </row>
    <row r="2818">
      <c r="A2818" t="inlineStr">
        <is>
          <t>Base metals &amp; articles</t>
        </is>
      </c>
      <c r="B2818" t="inlineStr">
        <is>
          <t>73</t>
        </is>
      </c>
      <c r="C2818" t="inlineStr">
        <is>
          <t>73181200</t>
        </is>
      </c>
      <c r="D2818" t="inlineStr">
        <is>
          <t>OTHER WOOD SCREWS,THREADED</t>
        </is>
      </c>
      <c r="E2818" s="3" t="n">
        <v>0.28</v>
      </c>
      <c r="F2818" s="3" t="n">
        <v>0</v>
      </c>
      <c r="G2818" s="3">
        <f>F2818-E2818</f>
        <v/>
      </c>
      <c r="H2818" s="4">
        <f>IF(E2818=0,"",F2818/E2818-1)</f>
        <v/>
      </c>
      <c r="I2818" t="inlineStr"/>
    </row>
    <row r="2819">
      <c r="A2819" t="inlineStr">
        <is>
          <t>Base metals &amp; articles</t>
        </is>
      </c>
      <c r="B2819" t="inlineStr">
        <is>
          <t>73</t>
        </is>
      </c>
      <c r="C2819" t="inlineStr">
        <is>
          <t>73181300</t>
        </is>
      </c>
      <c r="D2819" t="inlineStr">
        <is>
          <t>SCREW HOOKS AND SCREW RINGS,THREADED</t>
        </is>
      </c>
      <c r="E2819" s="3" t="n">
        <v>0</v>
      </c>
      <c r="F2819" s="3" t="n">
        <v>0</v>
      </c>
      <c r="G2819" s="3">
        <f>F2819-E2819</f>
        <v/>
      </c>
      <c r="H2819" s="4">
        <f>IF(E2819=0,"",F2819/E2819-1)</f>
        <v/>
      </c>
      <c r="I2819" t="inlineStr"/>
    </row>
    <row r="2820">
      <c r="A2820" t="inlineStr">
        <is>
          <t>Base metals &amp; articles</t>
        </is>
      </c>
      <c r="B2820" t="inlineStr">
        <is>
          <t>73</t>
        </is>
      </c>
      <c r="C2820" t="inlineStr">
        <is>
          <t>73182400</t>
        </is>
      </c>
      <c r="D2820" t="inlineStr">
        <is>
          <t>COTTERS AND COTTER PINS,NON-THREADED</t>
        </is>
      </c>
      <c r="E2820" s="3" t="n">
        <v>0.05</v>
      </c>
      <c r="F2820" s="3" t="n">
        <v>0</v>
      </c>
      <c r="G2820" s="3">
        <f>F2820-E2820</f>
        <v/>
      </c>
      <c r="H2820" s="4">
        <f>IF(E2820=0,"",F2820/E2820-1)</f>
        <v/>
      </c>
      <c r="I2820" t="inlineStr"/>
    </row>
    <row r="2821">
      <c r="A2821" t="inlineStr">
        <is>
          <t>Base metals &amp; articles</t>
        </is>
      </c>
      <c r="B2821" t="inlineStr">
        <is>
          <t>73</t>
        </is>
      </c>
      <c r="C2821" t="inlineStr">
        <is>
          <t>73194010</t>
        </is>
      </c>
      <c r="D2821" t="inlineStr">
        <is>
          <t>SAFETY PINS</t>
        </is>
      </c>
      <c r="E2821" s="3" t="n">
        <v>0</v>
      </c>
      <c r="F2821" s="3" t="n">
        <v>0</v>
      </c>
      <c r="G2821" s="3">
        <f>F2821-E2821</f>
        <v/>
      </c>
      <c r="H2821" s="4">
        <f>IF(E2821=0,"",F2821/E2821-1)</f>
        <v/>
      </c>
      <c r="I2821" t="inlineStr"/>
    </row>
    <row r="2822">
      <c r="A2822" t="inlineStr">
        <is>
          <t>Base metals &amp; articles</t>
        </is>
      </c>
      <c r="B2822" t="inlineStr">
        <is>
          <t>73</t>
        </is>
      </c>
      <c r="C2822" t="inlineStr">
        <is>
          <t>73194090</t>
        </is>
      </c>
      <c r="D2822" t="inlineStr">
        <is>
          <t>OTHER PINS</t>
        </is>
      </c>
      <c r="E2822" s="3" t="n">
        <v>0</v>
      </c>
      <c r="F2822" s="3" t="n">
        <v>0</v>
      </c>
      <c r="G2822" s="3">
        <f>F2822-E2822</f>
        <v/>
      </c>
      <c r="H2822" s="4">
        <f>IF(E2822=0,"",F2822/E2822-1)</f>
        <v/>
      </c>
      <c r="I2822" t="inlineStr"/>
    </row>
    <row r="2823">
      <c r="A2823" t="inlineStr">
        <is>
          <t>Base metals &amp; articles</t>
        </is>
      </c>
      <c r="B2823" t="inlineStr">
        <is>
          <t>73</t>
        </is>
      </c>
      <c r="C2823" t="inlineStr">
        <is>
          <t>73209010</t>
        </is>
      </c>
      <c r="D2823" t="inlineStr">
        <is>
          <t>COIL SPRINGS OF IRN OR STL FOR RLYS/TRMYS</t>
        </is>
      </c>
      <c r="E2823" s="3" t="n">
        <v>0</v>
      </c>
      <c r="F2823" s="3" t="n">
        <v>0</v>
      </c>
      <c r="G2823" s="3">
        <f>F2823-E2823</f>
        <v/>
      </c>
      <c r="H2823" s="4">
        <f>IF(E2823=0,"",F2823/E2823-1)</f>
        <v/>
      </c>
      <c r="I2823" t="inlineStr"/>
    </row>
    <row r="2824">
      <c r="A2824" t="inlineStr">
        <is>
          <t>Base metals &amp; articles</t>
        </is>
      </c>
      <c r="B2824" t="inlineStr">
        <is>
          <t>73</t>
        </is>
      </c>
      <c r="C2824" t="inlineStr">
        <is>
          <t>73209020</t>
        </is>
      </c>
      <c r="D2824" t="inlineStr">
        <is>
          <t>SPRING PINS</t>
        </is>
      </c>
      <c r="E2824" s="3" t="n">
        <v>0.01</v>
      </c>
      <c r="F2824" s="3" t="n">
        <v>0</v>
      </c>
      <c r="G2824" s="3">
        <f>F2824-E2824</f>
        <v/>
      </c>
      <c r="H2824" s="4">
        <f>IF(E2824=0,"",F2824/E2824-1)</f>
        <v/>
      </c>
      <c r="I2824" t="inlineStr"/>
    </row>
    <row r="2825">
      <c r="A2825" t="inlineStr">
        <is>
          <t>Base metals &amp; articles</t>
        </is>
      </c>
      <c r="B2825" t="inlineStr">
        <is>
          <t>73</t>
        </is>
      </c>
      <c r="C2825" t="inlineStr">
        <is>
          <t>73211220</t>
        </is>
      </c>
      <c r="D2825" t="inlineStr">
        <is>
          <t>OTHER STOVES</t>
        </is>
      </c>
      <c r="E2825" s="3" t="n">
        <v>0.25</v>
      </c>
      <c r="F2825" s="3" t="n">
        <v>0</v>
      </c>
      <c r="G2825" s="3">
        <f>F2825-E2825</f>
        <v/>
      </c>
      <c r="H2825" s="4">
        <f>IF(E2825=0,"",F2825/E2825-1)</f>
        <v/>
      </c>
      <c r="I2825" t="inlineStr"/>
    </row>
    <row r="2826">
      <c r="A2826" t="inlineStr">
        <is>
          <t>Base metals &amp; articles</t>
        </is>
      </c>
      <c r="B2826" t="inlineStr">
        <is>
          <t>73</t>
        </is>
      </c>
      <c r="C2826" t="inlineStr">
        <is>
          <t>73218910</t>
        </is>
      </c>
      <c r="D2826" t="inlineStr">
        <is>
          <t>CLAY TANDOOR(OVEN WITH IRON/STEEL BODY AND EARTHEN GRATS)</t>
        </is>
      </c>
      <c r="E2826" s="3" t="n">
        <v>0.05</v>
      </c>
      <c r="F2826" s="3" t="n">
        <v>0</v>
      </c>
      <c r="G2826" s="3">
        <f>F2826-E2826</f>
        <v/>
      </c>
      <c r="H2826" s="4">
        <f>IF(E2826=0,"",F2826/E2826-1)</f>
        <v/>
      </c>
      <c r="I2826" t="inlineStr"/>
    </row>
    <row r="2827">
      <c r="A2827" t="inlineStr">
        <is>
          <t>Base metals &amp; articles</t>
        </is>
      </c>
      <c r="B2827" t="inlineStr">
        <is>
          <t>73</t>
        </is>
      </c>
      <c r="C2827" t="inlineStr">
        <is>
          <t>73218990</t>
        </is>
      </c>
      <c r="D2827" t="inlineStr">
        <is>
          <t>OTHERS-OF-OTHER, INCLUDING APPLIANCES FOR SOLID FUEL:</t>
        </is>
      </c>
      <c r="E2827" s="3" t="n">
        <v>0.11</v>
      </c>
      <c r="F2827" s="3" t="n">
        <v>0</v>
      </c>
      <c r="G2827" s="3">
        <f>F2827-E2827</f>
        <v/>
      </c>
      <c r="H2827" s="4">
        <f>IF(E2827=0,"",F2827/E2827-1)</f>
        <v/>
      </c>
      <c r="I2827" t="inlineStr"/>
    </row>
    <row r="2828">
      <c r="A2828" t="inlineStr">
        <is>
          <t>Base metals &amp; articles</t>
        </is>
      </c>
      <c r="B2828" t="inlineStr">
        <is>
          <t>73</t>
        </is>
      </c>
      <c r="C2828" t="inlineStr">
        <is>
          <t>73221900</t>
        </is>
      </c>
      <c r="D2828" t="inlineStr">
        <is>
          <t>OTHER RADIATORS AND PARTS THEREOF</t>
        </is>
      </c>
      <c r="E2828" s="3" t="n">
        <v>0</v>
      </c>
      <c r="F2828" s="3" t="n">
        <v>0</v>
      </c>
      <c r="G2828" s="3">
        <f>F2828-E2828</f>
        <v/>
      </c>
      <c r="H2828" s="4">
        <f>IF(E2828=0,"",F2828/E2828-1)</f>
        <v/>
      </c>
      <c r="I2828" t="inlineStr"/>
    </row>
    <row r="2829">
      <c r="A2829" t="inlineStr">
        <is>
          <t>Base metals &amp; articles</t>
        </is>
      </c>
      <c r="B2829" t="inlineStr">
        <is>
          <t>73</t>
        </is>
      </c>
      <c r="C2829" t="inlineStr">
        <is>
          <t>73229010</t>
        </is>
      </c>
      <c r="D2829" t="inlineStr">
        <is>
          <t>AIR HEATERS AND AIR DISTRIBUTORS</t>
        </is>
      </c>
      <c r="E2829" s="3" t="n">
        <v>0.01</v>
      </c>
      <c r="F2829" s="3" t="n">
        <v>0</v>
      </c>
      <c r="G2829" s="3">
        <f>F2829-E2829</f>
        <v/>
      </c>
      <c r="H2829" s="4">
        <f>IF(E2829=0,"",F2829/E2829-1)</f>
        <v/>
      </c>
      <c r="I2829" t="inlineStr"/>
    </row>
    <row r="2830">
      <c r="A2830" t="inlineStr">
        <is>
          <t>Base metals &amp; articles</t>
        </is>
      </c>
      <c r="B2830" t="inlineStr">
        <is>
          <t>73</t>
        </is>
      </c>
      <c r="C2830" t="inlineStr">
        <is>
          <t>73239910</t>
        </is>
      </c>
      <c r="D2830" t="inlineStr">
        <is>
          <t>UTENSILS OF GALVANISED IRON</t>
        </is>
      </c>
      <c r="E2830" s="3" t="n">
        <v>0</v>
      </c>
      <c r="F2830" s="3" t="n">
        <v>0</v>
      </c>
      <c r="G2830" s="3">
        <f>F2830-E2830</f>
        <v/>
      </c>
      <c r="H2830" s="4">
        <f>IF(E2830=0,"",F2830/E2830-1)</f>
        <v/>
      </c>
      <c r="I2830" t="inlineStr"/>
    </row>
    <row r="2831">
      <c r="A2831" t="inlineStr">
        <is>
          <t>Base metals &amp; articles</t>
        </is>
      </c>
      <c r="B2831" t="inlineStr">
        <is>
          <t>73</t>
        </is>
      </c>
      <c r="C2831" t="inlineStr">
        <is>
          <t>73259993</t>
        </is>
      </c>
      <c r="D2831" t="inlineStr">
        <is>
          <t>PLATSANDFRAMES FR SEWAGE WATR/SIMILR SYSTE</t>
        </is>
      </c>
      <c r="E2831" s="3" t="n">
        <v>0</v>
      </c>
      <c r="F2831" s="3" t="n">
        <v>0</v>
      </c>
      <c r="G2831" s="3">
        <f>F2831-E2831</f>
        <v/>
      </c>
      <c r="H2831" s="4">
        <f>IF(E2831=0,"",F2831/E2831-1)</f>
        <v/>
      </c>
      <c r="I2831" t="inlineStr"/>
    </row>
    <row r="2832">
      <c r="A2832" t="inlineStr">
        <is>
          <t>Base metals &amp; articles</t>
        </is>
      </c>
      <c r="B2832" t="inlineStr">
        <is>
          <t>73</t>
        </is>
      </c>
      <c r="C2832" t="inlineStr">
        <is>
          <t>73269040</t>
        </is>
      </c>
      <c r="D2832" t="inlineStr">
        <is>
          <t>ENAMLD IRN WARE(EXCL UTNSL AND SIGN BORD)</t>
        </is>
      </c>
      <c r="E2832" s="3" t="n">
        <v>0</v>
      </c>
      <c r="F2832" s="3" t="n">
        <v>0</v>
      </c>
      <c r="G2832" s="3">
        <f>F2832-E2832</f>
        <v/>
      </c>
      <c r="H2832" s="4">
        <f>IF(E2832=0,"",F2832/E2832-1)</f>
        <v/>
      </c>
      <c r="I2832" t="inlineStr"/>
    </row>
    <row r="2833">
      <c r="A2833" t="inlineStr">
        <is>
          <t>Base metals &amp; articles</t>
        </is>
      </c>
      <c r="B2833" t="inlineStr">
        <is>
          <t>73</t>
        </is>
      </c>
      <c r="C2833" t="inlineStr">
        <is>
          <t>73269080</t>
        </is>
      </c>
      <c r="D2833" t="inlineStr">
        <is>
          <t>PARTS OFSHIPS,FLOATING STRUCTRRE AND VESSELS (INCL RUDDER,STEERING ETC)</t>
        </is>
      </c>
      <c r="E2833" s="3" t="n">
        <v>0.08</v>
      </c>
      <c r="F2833" s="3" t="n">
        <v>0</v>
      </c>
      <c r="G2833" s="3">
        <f>F2833-E2833</f>
        <v/>
      </c>
      <c r="H2833" s="4">
        <f>IF(E2833=0,"",F2833/E2833-1)</f>
        <v/>
      </c>
      <c r="I2833" t="inlineStr"/>
    </row>
    <row r="2834">
      <c r="A2834" t="inlineStr">
        <is>
          <t>Base metals &amp; articles</t>
        </is>
      </c>
      <c r="B2834" t="inlineStr">
        <is>
          <t>73</t>
        </is>
      </c>
      <c r="C2834" t="inlineStr">
        <is>
          <t>73269091</t>
        </is>
      </c>
      <c r="D2834" t="inlineStr">
        <is>
          <t>SHANKS</t>
        </is>
      </c>
      <c r="E2834" s="3" t="n">
        <v>0</v>
      </c>
      <c r="F2834" s="3" t="n">
        <v>0</v>
      </c>
      <c r="G2834" s="3">
        <f>F2834-E2834</f>
        <v/>
      </c>
      <c r="H2834" s="4">
        <f>IF(E2834=0,"",F2834/E2834-1)</f>
        <v/>
      </c>
      <c r="I2834" t="inlineStr"/>
    </row>
    <row r="2835">
      <c r="A2835" t="inlineStr">
        <is>
          <t>Base metals &amp; articles</t>
        </is>
      </c>
      <c r="B2835" t="inlineStr">
        <is>
          <t>74</t>
        </is>
      </c>
      <c r="C2835" t="inlineStr">
        <is>
          <t>74032100</t>
        </is>
      </c>
      <c r="D2835" t="inlineStr">
        <is>
          <t>COPPER-ZINC BASE ALLOYS(BRASS)</t>
        </is>
      </c>
      <c r="E2835" s="3" t="n">
        <v>0</v>
      </c>
      <c r="F2835" s="3" t="n">
        <v>0</v>
      </c>
      <c r="G2835" s="3">
        <f>F2835-E2835</f>
        <v/>
      </c>
      <c r="H2835" s="4">
        <f>IF(E2835=0,"",F2835/E2835-1)</f>
        <v/>
      </c>
      <c r="I2835" t="inlineStr"/>
    </row>
    <row r="2836">
      <c r="A2836" t="inlineStr">
        <is>
          <t>Base metals &amp; articles</t>
        </is>
      </c>
      <c r="B2836" t="inlineStr">
        <is>
          <t>74</t>
        </is>
      </c>
      <c r="C2836" t="inlineStr">
        <is>
          <t>74032290</t>
        </is>
      </c>
      <c r="D2836" t="inlineStr">
        <is>
          <t>OTHER COPPER-TIN BASE ALLOYS(BRONZE)</t>
        </is>
      </c>
      <c r="E2836" s="3" t="n">
        <v>0.02</v>
      </c>
      <c r="F2836" s="3" t="n">
        <v>0</v>
      </c>
      <c r="G2836" s="3">
        <f>F2836-E2836</f>
        <v/>
      </c>
      <c r="H2836" s="4">
        <f>IF(E2836=0,"",F2836/E2836-1)</f>
        <v/>
      </c>
      <c r="I2836" t="inlineStr"/>
    </row>
    <row r="2837">
      <c r="A2837" t="inlineStr">
        <is>
          <t>Base metals &amp; articles</t>
        </is>
      </c>
      <c r="B2837" t="inlineStr">
        <is>
          <t>74</t>
        </is>
      </c>
      <c r="C2837" t="inlineStr">
        <is>
          <t>74061000</t>
        </is>
      </c>
      <c r="D2837" t="inlineStr">
        <is>
          <t>COPPER POWDERS OF NON-LAMELLAR STRUCTURE</t>
        </is>
      </c>
      <c r="E2837" s="3" t="n">
        <v>0</v>
      </c>
      <c r="F2837" s="3" t="n">
        <v>0</v>
      </c>
      <c r="G2837" s="3">
        <f>F2837-E2837</f>
        <v/>
      </c>
      <c r="H2837" s="4">
        <f>IF(E2837=0,"",F2837/E2837-1)</f>
        <v/>
      </c>
      <c r="I2837" t="inlineStr"/>
    </row>
    <row r="2838">
      <c r="A2838" t="inlineStr">
        <is>
          <t>Base metals &amp; articles</t>
        </is>
      </c>
      <c r="B2838" t="inlineStr">
        <is>
          <t>74</t>
        </is>
      </c>
      <c r="C2838" t="inlineStr">
        <is>
          <t>74072921</t>
        </is>
      </c>
      <c r="D2838" t="inlineStr">
        <is>
          <t>HOLLOW BARS OF CUPRO-NICKL/NCKL SLVR</t>
        </is>
      </c>
      <c r="E2838" s="3" t="n">
        <v>0</v>
      </c>
      <c r="F2838" s="3" t="n">
        <v>0</v>
      </c>
      <c r="G2838" s="3">
        <f>F2838-E2838</f>
        <v/>
      </c>
      <c r="H2838" s="4">
        <f>IF(E2838=0,"",F2838/E2838-1)</f>
        <v/>
      </c>
      <c r="I2838" t="inlineStr"/>
    </row>
    <row r="2839">
      <c r="A2839" t="inlineStr">
        <is>
          <t>Base metals &amp; articles</t>
        </is>
      </c>
      <c r="B2839" t="inlineStr">
        <is>
          <t>74</t>
        </is>
      </c>
      <c r="C2839" t="inlineStr">
        <is>
          <t>74082990</t>
        </is>
      </c>
      <c r="D2839" t="inlineStr">
        <is>
          <t>OTHER WIRE OF OTHER COPPER ALLOYS</t>
        </is>
      </c>
      <c r="E2839" s="3" t="n">
        <v>0.02</v>
      </c>
      <c r="F2839" s="3" t="n">
        <v>0</v>
      </c>
      <c r="G2839" s="3">
        <f>F2839-E2839</f>
        <v/>
      </c>
      <c r="H2839" s="4">
        <f>IF(E2839=0,"",F2839/E2839-1)</f>
        <v/>
      </c>
      <c r="I2839" t="inlineStr"/>
    </row>
    <row r="2840">
      <c r="A2840" t="inlineStr">
        <is>
          <t>Base metals &amp; articles</t>
        </is>
      </c>
      <c r="B2840" t="inlineStr">
        <is>
          <t>74</t>
        </is>
      </c>
      <c r="C2840" t="inlineStr">
        <is>
          <t>74092100</t>
        </is>
      </c>
      <c r="D2840" t="inlineStr">
        <is>
          <t>PLATES SHEETS AND STRIP OF COPPER-ZINC BASE ALLOYS(BRASS)IN COILS</t>
        </is>
      </c>
      <c r="E2840" s="3" t="n">
        <v>0</v>
      </c>
      <c r="F2840" s="3" t="n">
        <v>0</v>
      </c>
      <c r="G2840" s="3">
        <f>F2840-E2840</f>
        <v/>
      </c>
      <c r="H2840" s="4">
        <f>IF(E2840=0,"",F2840/E2840-1)</f>
        <v/>
      </c>
      <c r="I2840" t="inlineStr"/>
    </row>
    <row r="2841">
      <c r="A2841" t="inlineStr">
        <is>
          <t>Base metals &amp; articles</t>
        </is>
      </c>
      <c r="B2841" t="inlineStr">
        <is>
          <t>74</t>
        </is>
      </c>
      <c r="C2841" t="inlineStr">
        <is>
          <t>74122011</t>
        </is>
      </c>
      <c r="D2841" t="inlineStr">
        <is>
          <t>TUBE WELL STRAINER OF BRASS</t>
        </is>
      </c>
      <c r="E2841" s="3" t="n">
        <v>0.02</v>
      </c>
      <c r="F2841" s="3" t="n">
        <v>0</v>
      </c>
      <c r="G2841" s="3">
        <f>F2841-E2841</f>
        <v/>
      </c>
      <c r="H2841" s="4">
        <f>IF(E2841=0,"",F2841/E2841-1)</f>
        <v/>
      </c>
      <c r="I2841" t="inlineStr"/>
    </row>
    <row r="2842">
      <c r="A2842" t="inlineStr">
        <is>
          <t>Base metals &amp; articles</t>
        </is>
      </c>
      <c r="B2842" t="inlineStr">
        <is>
          <t>74</t>
        </is>
      </c>
      <c r="C2842" t="inlineStr">
        <is>
          <t>74153910</t>
        </is>
      </c>
      <c r="D2842" t="inlineStr">
        <is>
          <t>RIVETS(EXCL TUBULAR AND BIFURCATED)</t>
        </is>
      </c>
      <c r="E2842" s="3" t="n">
        <v>0</v>
      </c>
      <c r="F2842" s="3" t="n">
        <v>0</v>
      </c>
      <c r="G2842" s="3">
        <f>F2842-E2842</f>
        <v/>
      </c>
      <c r="H2842" s="4">
        <f>IF(E2842=0,"",F2842/E2842-1)</f>
        <v/>
      </c>
      <c r="I2842" t="inlineStr"/>
    </row>
    <row r="2843">
      <c r="A2843" t="inlineStr">
        <is>
          <t>Base metals &amp; articles</t>
        </is>
      </c>
      <c r="B2843" t="inlineStr">
        <is>
          <t>74</t>
        </is>
      </c>
      <c r="C2843" t="inlineStr">
        <is>
          <t>74181010</t>
        </is>
      </c>
      <c r="D2843" t="inlineStr">
        <is>
          <t>POT SCOURERS AND SCOURING OR POLISHING PADS, GLOVES AND THE LIKE</t>
        </is>
      </c>
      <c r="E2843" s="3" t="n">
        <v>0.02</v>
      </c>
      <c r="F2843" s="3" t="n">
        <v>0</v>
      </c>
      <c r="G2843" s="3">
        <f>F2843-E2843</f>
        <v/>
      </c>
      <c r="H2843" s="4">
        <f>IF(E2843=0,"",F2843/E2843-1)</f>
        <v/>
      </c>
      <c r="I2843" t="inlineStr"/>
    </row>
    <row r="2844">
      <c r="A2844" t="inlineStr">
        <is>
          <t>Base metals &amp; articles</t>
        </is>
      </c>
      <c r="B2844" t="inlineStr">
        <is>
          <t>74</t>
        </is>
      </c>
      <c r="C2844" t="inlineStr">
        <is>
          <t>74181023</t>
        </is>
      </c>
      <c r="D2844" t="inlineStr">
        <is>
          <t>OF OTHER COPPER ALLOYS</t>
        </is>
      </c>
      <c r="E2844" s="3" t="n">
        <v>0.01</v>
      </c>
      <c r="F2844" s="3" t="n">
        <v>0</v>
      </c>
      <c r="G2844" s="3">
        <f>F2844-E2844</f>
        <v/>
      </c>
      <c r="H2844" s="4">
        <f>IF(E2844=0,"",F2844/E2844-1)</f>
        <v/>
      </c>
      <c r="I2844" t="inlineStr"/>
    </row>
    <row r="2845">
      <c r="A2845" t="inlineStr">
        <is>
          <t>Base metals &amp; articles</t>
        </is>
      </c>
      <c r="B2845" t="inlineStr">
        <is>
          <t>74</t>
        </is>
      </c>
      <c r="C2845" t="inlineStr">
        <is>
          <t>74198010</t>
        </is>
      </c>
      <c r="D2845" t="inlineStr">
        <is>
          <t>RESERVOIRS, TANKS, VATS AND SIMILAR CONTAINERS</t>
        </is>
      </c>
      <c r="E2845" s="3" t="n">
        <v>0.01</v>
      </c>
      <c r="F2845" s="3" t="n">
        <v>0</v>
      </c>
      <c r="G2845" s="3">
        <f>F2845-E2845</f>
        <v/>
      </c>
      <c r="H2845" s="4">
        <f>IF(E2845=0,"",F2845/E2845-1)</f>
        <v/>
      </c>
      <c r="I2845" t="inlineStr"/>
    </row>
    <row r="2846">
      <c r="A2846" t="inlineStr">
        <is>
          <t>Base metals &amp; articles</t>
        </is>
      </c>
      <c r="B2846" t="inlineStr">
        <is>
          <t>74</t>
        </is>
      </c>
      <c r="C2846" t="inlineStr">
        <is>
          <t>74198040</t>
        </is>
      </c>
      <c r="D2846" t="inlineStr">
        <is>
          <t>COPPER WORKED ARTICLES</t>
        </is>
      </c>
      <c r="E2846" s="3" t="n">
        <v>0</v>
      </c>
      <c r="F2846" s="3" t="n">
        <v>0</v>
      </c>
      <c r="G2846" s="3">
        <f>F2846-E2846</f>
        <v/>
      </c>
      <c r="H2846" s="4">
        <f>IF(E2846=0,"",F2846/E2846-1)</f>
        <v/>
      </c>
      <c r="I2846" t="inlineStr"/>
    </row>
    <row r="2847">
      <c r="A2847" t="inlineStr">
        <is>
          <t>Base metals &amp; articles</t>
        </is>
      </c>
      <c r="B2847" t="inlineStr">
        <is>
          <t>74</t>
        </is>
      </c>
      <c r="C2847" t="inlineStr">
        <is>
          <t>74198050</t>
        </is>
      </c>
      <c r="D2847" t="inlineStr">
        <is>
          <t>COPPER CHAIN</t>
        </is>
      </c>
      <c r="E2847" s="3" t="n">
        <v>0.15</v>
      </c>
      <c r="F2847" s="3" t="n">
        <v>0</v>
      </c>
      <c r="G2847" s="3">
        <f>F2847-E2847</f>
        <v/>
      </c>
      <c r="H2847" s="4">
        <f>IF(E2847=0,"",F2847/E2847-1)</f>
        <v/>
      </c>
      <c r="I2847" t="inlineStr"/>
    </row>
    <row r="2848">
      <c r="A2848" t="inlineStr">
        <is>
          <t>Base metals &amp; articles</t>
        </is>
      </c>
      <c r="B2848" t="inlineStr">
        <is>
          <t>75</t>
        </is>
      </c>
      <c r="C2848" t="inlineStr">
        <is>
          <t>75051210</t>
        </is>
      </c>
      <c r="D2848" t="inlineStr">
        <is>
          <t>HOLLOW BARS OF NICKEL ALLOYS</t>
        </is>
      </c>
      <c r="E2848" s="3" t="n">
        <v>0.07000000000000001</v>
      </c>
      <c r="F2848" s="3" t="n">
        <v>0</v>
      </c>
      <c r="G2848" s="3">
        <f>F2848-E2848</f>
        <v/>
      </c>
      <c r="H2848" s="4">
        <f>IF(E2848=0,"",F2848/E2848-1)</f>
        <v/>
      </c>
      <c r="I2848" t="inlineStr"/>
    </row>
    <row r="2849">
      <c r="A2849" t="inlineStr">
        <is>
          <t>Base metals &amp; articles</t>
        </is>
      </c>
      <c r="B2849" t="inlineStr">
        <is>
          <t>75</t>
        </is>
      </c>
      <c r="C2849" t="inlineStr">
        <is>
          <t>75089030</t>
        </is>
      </c>
      <c r="D2849" t="inlineStr">
        <is>
          <t>NICKEL SCREEN</t>
        </is>
      </c>
      <c r="E2849" s="3" t="n">
        <v>0.01</v>
      </c>
      <c r="F2849" s="3" t="n">
        <v>0</v>
      </c>
      <c r="G2849" s="3">
        <f>F2849-E2849</f>
        <v/>
      </c>
      <c r="H2849" s="4">
        <f>IF(E2849=0,"",F2849/E2849-1)</f>
        <v/>
      </c>
      <c r="I2849" t="inlineStr"/>
    </row>
    <row r="2850">
      <c r="A2850" t="inlineStr">
        <is>
          <t>Base metals &amp; articles</t>
        </is>
      </c>
      <c r="B2850" t="inlineStr">
        <is>
          <t>76</t>
        </is>
      </c>
      <c r="C2850" t="inlineStr">
        <is>
          <t>76012090</t>
        </is>
      </c>
      <c r="D2850" t="inlineStr">
        <is>
          <t>OTHER ALUMINIUM ALLOYS</t>
        </is>
      </c>
      <c r="E2850" s="3" t="n">
        <v>0.03</v>
      </c>
      <c r="F2850" s="3" t="n">
        <v>0</v>
      </c>
      <c r="G2850" s="3">
        <f>F2850-E2850</f>
        <v/>
      </c>
      <c r="H2850" s="4">
        <f>IF(E2850=0,"",F2850/E2850-1)</f>
        <v/>
      </c>
      <c r="I2850" t="inlineStr"/>
    </row>
    <row r="2851">
      <c r="A2851" t="inlineStr">
        <is>
          <t>Base metals &amp; articles</t>
        </is>
      </c>
      <c r="B2851" t="inlineStr">
        <is>
          <t>76</t>
        </is>
      </c>
      <c r="C2851" t="inlineStr">
        <is>
          <t>76042910</t>
        </is>
      </c>
      <c r="D2851" t="inlineStr">
        <is>
          <t>HRD DRWN BARE ALMNM CONDCTRS STL RE-INFRCD</t>
        </is>
      </c>
      <c r="E2851" s="3" t="n">
        <v>0</v>
      </c>
      <c r="F2851" s="3" t="n">
        <v>0</v>
      </c>
      <c r="G2851" s="3">
        <f>F2851-E2851</f>
        <v/>
      </c>
      <c r="H2851" s="4">
        <f>IF(E2851=0,"",F2851/E2851-1)</f>
        <v/>
      </c>
      <c r="I2851" t="inlineStr"/>
    </row>
    <row r="2852">
      <c r="A2852" t="inlineStr">
        <is>
          <t>Base metals &amp; articles</t>
        </is>
      </c>
      <c r="B2852" t="inlineStr">
        <is>
          <t>76</t>
        </is>
      </c>
      <c r="C2852" t="inlineStr">
        <is>
          <t>76052990</t>
        </is>
      </c>
      <c r="D2852" t="inlineStr">
        <is>
          <t>OTHER WIRE OF ALUMINIUM ALLOYS N.E.S.</t>
        </is>
      </c>
      <c r="E2852" s="3" t="n">
        <v>0.1</v>
      </c>
      <c r="F2852" s="3" t="n">
        <v>0</v>
      </c>
      <c r="G2852" s="3">
        <f>F2852-E2852</f>
        <v/>
      </c>
      <c r="H2852" s="4">
        <f>IF(E2852=0,"",F2852/E2852-1)</f>
        <v/>
      </c>
      <c r="I2852" t="inlineStr"/>
    </row>
    <row r="2853">
      <c r="A2853" t="inlineStr">
        <is>
          <t>Base metals &amp; articles</t>
        </is>
      </c>
      <c r="B2853" t="inlineStr">
        <is>
          <t>76</t>
        </is>
      </c>
      <c r="C2853" t="inlineStr">
        <is>
          <t>76069190</t>
        </is>
      </c>
      <c r="D2853" t="inlineStr">
        <is>
          <t>OTHERS-OF-OTHER,PLTS STRIPS,ETC OF ALMNM-NT ALYD</t>
        </is>
      </c>
      <c r="E2853" s="3" t="n">
        <v>0</v>
      </c>
      <c r="F2853" s="3" t="n">
        <v>0</v>
      </c>
      <c r="G2853" s="3">
        <f>F2853-E2853</f>
        <v/>
      </c>
      <c r="H2853" s="4">
        <f>IF(E2853=0,"",F2853/E2853-1)</f>
        <v/>
      </c>
      <c r="I2853" t="inlineStr"/>
    </row>
    <row r="2854">
      <c r="A2854" t="inlineStr">
        <is>
          <t>Base metals &amp; articles</t>
        </is>
      </c>
      <c r="B2854" t="inlineStr">
        <is>
          <t>76</t>
        </is>
      </c>
      <c r="C2854" t="inlineStr">
        <is>
          <t>76109010</t>
        </is>
      </c>
      <c r="D2854" t="inlineStr">
        <is>
          <t>FINISHED STRUCTURE</t>
        </is>
      </c>
      <c r="E2854" s="3" t="n">
        <v>0.1</v>
      </c>
      <c r="F2854" s="3" t="n">
        <v>0</v>
      </c>
      <c r="G2854" s="3">
        <f>F2854-E2854</f>
        <v/>
      </c>
      <c r="H2854" s="4">
        <f>IF(E2854=0,"",F2854/E2854-1)</f>
        <v/>
      </c>
      <c r="I2854" t="inlineStr"/>
    </row>
    <row r="2855">
      <c r="A2855" t="inlineStr">
        <is>
          <t>Base metals &amp; articles</t>
        </is>
      </c>
      <c r="B2855" t="inlineStr">
        <is>
          <t>76</t>
        </is>
      </c>
      <c r="C2855" t="inlineStr">
        <is>
          <t>76109020</t>
        </is>
      </c>
      <c r="D2855" t="inlineStr">
        <is>
          <t>*PARTS OF STRUCTURES N.E.S.</t>
        </is>
      </c>
      <c r="E2855" s="3" t="n">
        <v>0.47</v>
      </c>
      <c r="F2855" s="3" t="n">
        <v>0</v>
      </c>
      <c r="G2855" s="3">
        <f>F2855-E2855</f>
        <v/>
      </c>
      <c r="H2855" s="4">
        <f>IF(E2855=0,"",F2855/E2855-1)</f>
        <v/>
      </c>
      <c r="I2855" t="inlineStr"/>
    </row>
    <row r="2856">
      <c r="A2856" t="inlineStr">
        <is>
          <t>Base metals &amp; articles</t>
        </is>
      </c>
      <c r="B2856" t="inlineStr">
        <is>
          <t>76</t>
        </is>
      </c>
      <c r="C2856" t="inlineStr">
        <is>
          <t>76130021</t>
        </is>
      </c>
      <c r="D2856" t="inlineStr">
        <is>
          <t>PLAIN HIGH PRESSURE CYLINDER</t>
        </is>
      </c>
      <c r="E2856" s="3" t="n">
        <v>0</v>
      </c>
      <c r="F2856" s="3" t="n">
        <v>0</v>
      </c>
      <c r="G2856" s="3">
        <f>F2856-E2856</f>
        <v/>
      </c>
      <c r="H2856" s="4">
        <f>IF(E2856=0,"",F2856/E2856-1)</f>
        <v/>
      </c>
      <c r="I2856" t="inlineStr"/>
    </row>
    <row r="2857">
      <c r="A2857" t="inlineStr">
        <is>
          <t>Base metals &amp; articles</t>
        </is>
      </c>
      <c r="B2857" t="inlineStr">
        <is>
          <t>76</t>
        </is>
      </c>
      <c r="C2857" t="inlineStr">
        <is>
          <t>76152010</t>
        </is>
      </c>
      <c r="D2857" t="inlineStr">
        <is>
          <t>SANITARY WARE FOR ALMNM AND ALMNM ALLOYS</t>
        </is>
      </c>
      <c r="E2857" s="3" t="n">
        <v>0</v>
      </c>
      <c r="F2857" s="3" t="n">
        <v>0</v>
      </c>
      <c r="G2857" s="3">
        <f>F2857-E2857</f>
        <v/>
      </c>
      <c r="H2857" s="4">
        <f>IF(E2857=0,"",F2857/E2857-1)</f>
        <v/>
      </c>
      <c r="I2857" t="inlineStr"/>
    </row>
    <row r="2858">
      <c r="A2858" t="inlineStr">
        <is>
          <t>Base metals &amp; articles</t>
        </is>
      </c>
      <c r="B2858" t="inlineStr">
        <is>
          <t>76</t>
        </is>
      </c>
      <c r="C2858" t="inlineStr">
        <is>
          <t>76152020</t>
        </is>
      </c>
      <c r="D2858" t="inlineStr">
        <is>
          <t>PARTS OF SANITARY WARE OF ALUMINIUM</t>
        </is>
      </c>
      <c r="E2858" s="3" t="n">
        <v>0.05</v>
      </c>
      <c r="F2858" s="3" t="n">
        <v>0</v>
      </c>
      <c r="G2858" s="3">
        <f>F2858-E2858</f>
        <v/>
      </c>
      <c r="H2858" s="4">
        <f>IF(E2858=0,"",F2858/E2858-1)</f>
        <v/>
      </c>
      <c r="I2858" t="inlineStr"/>
    </row>
    <row r="2859">
      <c r="A2859" t="inlineStr">
        <is>
          <t>Base metals &amp; articles</t>
        </is>
      </c>
      <c r="B2859" t="inlineStr">
        <is>
          <t>76</t>
        </is>
      </c>
      <c r="C2859" t="inlineStr">
        <is>
          <t>76169100</t>
        </is>
      </c>
      <c r="D2859" t="inlineStr">
        <is>
          <t>CLOTH,GRILL,NETNG AND FENCNG,OF ALUMINM WIRE</t>
        </is>
      </c>
      <c r="E2859" s="3" t="n">
        <v>0.01</v>
      </c>
      <c r="F2859" s="3" t="n">
        <v>0</v>
      </c>
      <c r="G2859" s="3">
        <f>F2859-E2859</f>
        <v/>
      </c>
      <c r="H2859" s="4">
        <f>IF(E2859=0,"",F2859/E2859-1)</f>
        <v/>
      </c>
      <c r="I2859" t="inlineStr"/>
    </row>
    <row r="2860">
      <c r="A2860" t="inlineStr">
        <is>
          <t>Base metals &amp; articles</t>
        </is>
      </c>
      <c r="B2860" t="inlineStr">
        <is>
          <t>76</t>
        </is>
      </c>
      <c r="C2860" t="inlineStr">
        <is>
          <t>76169930</t>
        </is>
      </c>
      <c r="D2860" t="inlineStr">
        <is>
          <t>BOBBINS</t>
        </is>
      </c>
      <c r="E2860" s="3" t="n">
        <v>0.19</v>
      </c>
      <c r="F2860" s="3" t="n">
        <v>0</v>
      </c>
      <c r="G2860" s="3">
        <f>F2860-E2860</f>
        <v/>
      </c>
      <c r="H2860" s="4">
        <f>IF(E2860=0,"",F2860/E2860-1)</f>
        <v/>
      </c>
      <c r="I2860" t="inlineStr"/>
    </row>
    <row r="2861">
      <c r="A2861" t="inlineStr">
        <is>
          <t>Base metals &amp; articles</t>
        </is>
      </c>
      <c r="B2861" t="inlineStr">
        <is>
          <t>78</t>
        </is>
      </c>
      <c r="C2861" t="inlineStr">
        <is>
          <t>78020090</t>
        </is>
      </c>
      <c r="D2861" t="inlineStr">
        <is>
          <t>OTHER LEAD SCRAP</t>
        </is>
      </c>
      <c r="E2861" s="3" t="n">
        <v>0</v>
      </c>
      <c r="F2861" s="3" t="n">
        <v>0</v>
      </c>
      <c r="G2861" s="3">
        <f>F2861-E2861</f>
        <v/>
      </c>
      <c r="H2861" s="4">
        <f>IF(E2861=0,"",F2861/E2861-1)</f>
        <v/>
      </c>
      <c r="I2861" t="inlineStr"/>
    </row>
    <row r="2862">
      <c r="A2862" t="inlineStr">
        <is>
          <t>Base metals &amp; articles</t>
        </is>
      </c>
      <c r="B2862" t="inlineStr">
        <is>
          <t>79</t>
        </is>
      </c>
      <c r="C2862" t="inlineStr">
        <is>
          <t>79039000</t>
        </is>
      </c>
      <c r="D2862" t="inlineStr">
        <is>
          <t>ZINC POWDERS AND FLAKES</t>
        </is>
      </c>
      <c r="E2862" s="3" t="n">
        <v>0</v>
      </c>
      <c r="F2862" s="3" t="n">
        <v>0</v>
      </c>
      <c r="G2862" s="3">
        <f>F2862-E2862</f>
        <v/>
      </c>
      <c r="H2862" s="4">
        <f>IF(E2862=0,"",F2862/E2862-1)</f>
        <v/>
      </c>
      <c r="I2862" t="inlineStr"/>
    </row>
    <row r="2863">
      <c r="A2863" t="inlineStr">
        <is>
          <t>Base metals &amp; articles</t>
        </is>
      </c>
      <c r="B2863" t="inlineStr">
        <is>
          <t>79</t>
        </is>
      </c>
      <c r="C2863" t="inlineStr">
        <is>
          <t>79050040</t>
        </is>
      </c>
      <c r="D2863" t="inlineStr">
        <is>
          <t>ZINC FOIL</t>
        </is>
      </c>
      <c r="E2863" s="3" t="n">
        <v>0</v>
      </c>
      <c r="F2863" s="3" t="n">
        <v>0</v>
      </c>
      <c r="G2863" s="3">
        <f>F2863-E2863</f>
        <v/>
      </c>
      <c r="H2863" s="4">
        <f>IF(E2863=0,"",F2863/E2863-1)</f>
        <v/>
      </c>
      <c r="I2863" t="inlineStr"/>
    </row>
    <row r="2864">
      <c r="A2864" t="inlineStr">
        <is>
          <t>Base metals &amp; articles</t>
        </is>
      </c>
      <c r="B2864" t="inlineStr">
        <is>
          <t>80</t>
        </is>
      </c>
      <c r="C2864" t="inlineStr">
        <is>
          <t>80012000</t>
        </is>
      </c>
      <c r="D2864" t="inlineStr">
        <is>
          <t>TIN ALLOYS</t>
        </is>
      </c>
      <c r="E2864" s="3" t="n">
        <v>0.01</v>
      </c>
      <c r="F2864" s="3" t="n">
        <v>0</v>
      </c>
      <c r="G2864" s="3">
        <f>F2864-E2864</f>
        <v/>
      </c>
      <c r="H2864" s="4">
        <f>IF(E2864=0,"",F2864/E2864-1)</f>
        <v/>
      </c>
      <c r="I2864" t="inlineStr"/>
    </row>
    <row r="2865">
      <c r="A2865" t="inlineStr">
        <is>
          <t>Base metals &amp; articles</t>
        </is>
      </c>
      <c r="B2865" t="inlineStr">
        <is>
          <t>80</t>
        </is>
      </c>
      <c r="C2865" t="inlineStr">
        <is>
          <t>80020090</t>
        </is>
      </c>
      <c r="D2865" t="inlineStr">
        <is>
          <t>OTHER TIN SCRAP</t>
        </is>
      </c>
      <c r="E2865" s="3" t="n">
        <v>0</v>
      </c>
      <c r="F2865" s="3" t="n">
        <v>0</v>
      </c>
      <c r="G2865" s="3">
        <f>F2865-E2865</f>
        <v/>
      </c>
      <c r="H2865" s="4">
        <f>IF(E2865=0,"",F2865/E2865-1)</f>
        <v/>
      </c>
      <c r="I2865" t="inlineStr"/>
    </row>
    <row r="2866">
      <c r="A2866" t="inlineStr">
        <is>
          <t>Base metals &amp; articles</t>
        </is>
      </c>
      <c r="B2866" t="inlineStr">
        <is>
          <t>80</t>
        </is>
      </c>
      <c r="C2866" t="inlineStr">
        <is>
          <t>80070090</t>
        </is>
      </c>
      <c r="D2866" t="inlineStr">
        <is>
          <t>OTHER ARTICLES OF TIN N.E.S.</t>
        </is>
      </c>
      <c r="E2866" s="3" t="n">
        <v>0</v>
      </c>
      <c r="F2866" s="3" t="n">
        <v>0</v>
      </c>
      <c r="G2866" s="3">
        <f>F2866-E2866</f>
        <v/>
      </c>
      <c r="H2866" s="4">
        <f>IF(E2866=0,"",F2866/E2866-1)</f>
        <v/>
      </c>
      <c r="I2866" t="inlineStr"/>
    </row>
    <row r="2867">
      <c r="A2867" t="inlineStr">
        <is>
          <t>Base metals &amp; articles</t>
        </is>
      </c>
      <c r="B2867" t="inlineStr">
        <is>
          <t>81</t>
        </is>
      </c>
      <c r="C2867" t="inlineStr">
        <is>
          <t>81019990</t>
        </is>
      </c>
      <c r="D2867" t="inlineStr">
        <is>
          <t>ALL OTHR ARTCLS OF TNGSTN AND ITS BASE ALLOY</t>
        </is>
      </c>
      <c r="E2867" s="3" t="n">
        <v>0</v>
      </c>
      <c r="F2867" s="3" t="n">
        <v>0</v>
      </c>
      <c r="G2867" s="3">
        <f>F2867-E2867</f>
        <v/>
      </c>
      <c r="H2867" s="4">
        <f>IF(E2867=0,"",F2867/E2867-1)</f>
        <v/>
      </c>
      <c r="I2867" t="inlineStr"/>
    </row>
    <row r="2868">
      <c r="A2868" t="inlineStr">
        <is>
          <t>Base metals &amp; articles</t>
        </is>
      </c>
      <c r="B2868" t="inlineStr">
        <is>
          <t>81</t>
        </is>
      </c>
      <c r="C2868" t="inlineStr">
        <is>
          <t>81101000</t>
        </is>
      </c>
      <c r="D2868" t="inlineStr">
        <is>
          <t>UNWROUGHT ANTIMONY; POWDERS</t>
        </is>
      </c>
      <c r="E2868" s="3" t="n">
        <v>0.02</v>
      </c>
      <c r="F2868" s="3" t="n">
        <v>0</v>
      </c>
      <c r="G2868" s="3">
        <f>F2868-E2868</f>
        <v/>
      </c>
      <c r="H2868" s="4">
        <f>IF(E2868=0,"",F2868/E2868-1)</f>
        <v/>
      </c>
      <c r="I2868" t="inlineStr"/>
    </row>
    <row r="2869">
      <c r="A2869" t="inlineStr">
        <is>
          <t>Base metals &amp; articles</t>
        </is>
      </c>
      <c r="B2869" t="inlineStr">
        <is>
          <t>81</t>
        </is>
      </c>
      <c r="C2869" t="inlineStr">
        <is>
          <t>81126990</t>
        </is>
      </c>
      <c r="D2869" t="inlineStr">
        <is>
          <t>OTHERS-OF-OTHERS-OF-Be, Cr, Hf, Re, TI, Cd, Ge, V, Ga, In AND Nb (Nb)ARTICLES OF THESE METALS, INCLUDING WASTE AND SCRAP</t>
        </is>
      </c>
      <c r="E2869" s="3" t="n">
        <v>0</v>
      </c>
      <c r="F2869" s="3" t="n">
        <v>0</v>
      </c>
      <c r="G2869" s="3">
        <f>F2869-E2869</f>
        <v/>
      </c>
      <c r="H2869" s="4">
        <f>IF(E2869=0,"",F2869/E2869-1)</f>
        <v/>
      </c>
      <c r="I2869" t="inlineStr"/>
    </row>
    <row r="2870">
      <c r="A2870" t="inlineStr">
        <is>
          <t>Base metals &amp; articles</t>
        </is>
      </c>
      <c r="B2870" t="inlineStr">
        <is>
          <t>81</t>
        </is>
      </c>
      <c r="C2870" t="inlineStr">
        <is>
          <t>81130090</t>
        </is>
      </c>
      <c r="D2870" t="inlineStr">
        <is>
          <t>OTHER CERMETS AND ARTCLS THEREOF</t>
        </is>
      </c>
      <c r="E2870" s="3" t="n">
        <v>0</v>
      </c>
      <c r="F2870" s="3" t="n">
        <v>0</v>
      </c>
      <c r="G2870" s="3">
        <f>F2870-E2870</f>
        <v/>
      </c>
      <c r="H2870" s="4">
        <f>IF(E2870=0,"",F2870/E2870-1)</f>
        <v/>
      </c>
      <c r="I2870" t="inlineStr"/>
    </row>
    <row r="2871">
      <c r="A2871" t="inlineStr">
        <is>
          <t>Base metals &amp; articles</t>
        </is>
      </c>
      <c r="B2871" t="inlineStr">
        <is>
          <t>82</t>
        </is>
      </c>
      <c r="C2871" t="inlineStr">
        <is>
          <t>82011000</t>
        </is>
      </c>
      <c r="D2871" t="inlineStr">
        <is>
          <t>SPADES AND SHOVELS</t>
        </is>
      </c>
      <c r="E2871" s="3" t="n">
        <v>0</v>
      </c>
      <c r="F2871" s="3" t="n">
        <v>0</v>
      </c>
      <c r="G2871" s="3">
        <f>F2871-E2871</f>
        <v/>
      </c>
      <c r="H2871" s="4">
        <f>IF(E2871=0,"",F2871/E2871-1)</f>
        <v/>
      </c>
      <c r="I2871" t="inlineStr"/>
    </row>
    <row r="2872">
      <c r="A2872" t="inlineStr">
        <is>
          <t>Base metals &amp; articles</t>
        </is>
      </c>
      <c r="B2872" t="inlineStr">
        <is>
          <t>82</t>
        </is>
      </c>
      <c r="C2872" t="inlineStr">
        <is>
          <t>82016000</t>
        </is>
      </c>
      <c r="D2872" t="inlineStr">
        <is>
          <t>HEDGE SHEARS,TWO-HANDED PRUNING SHEARS AND SIMLR TWO-HANDED SHEARS</t>
        </is>
      </c>
      <c r="E2872" s="3" t="n">
        <v>0</v>
      </c>
      <c r="F2872" s="3" t="n">
        <v>0</v>
      </c>
      <c r="G2872" s="3">
        <f>F2872-E2872</f>
        <v/>
      </c>
      <c r="H2872" s="4">
        <f>IF(E2872=0,"",F2872/E2872-1)</f>
        <v/>
      </c>
      <c r="I2872" t="inlineStr"/>
    </row>
    <row r="2873">
      <c r="A2873" t="inlineStr">
        <is>
          <t>Base metals &amp; articles</t>
        </is>
      </c>
      <c r="B2873" t="inlineStr">
        <is>
          <t>82</t>
        </is>
      </c>
      <c r="C2873" t="inlineStr">
        <is>
          <t>82019000</t>
        </is>
      </c>
      <c r="D2873" t="inlineStr">
        <is>
          <t>OTHR HNDTOLS USD IN AGRCLTR/HRTCLTR/FRSTRY</t>
        </is>
      </c>
      <c r="E2873" s="3" t="n">
        <v>0.01</v>
      </c>
      <c r="F2873" s="3" t="n">
        <v>0</v>
      </c>
      <c r="G2873" s="3">
        <f>F2873-E2873</f>
        <v/>
      </c>
      <c r="H2873" s="4">
        <f>IF(E2873=0,"",F2873/E2873-1)</f>
        <v/>
      </c>
      <c r="I2873" t="inlineStr"/>
    </row>
    <row r="2874">
      <c r="A2874" t="inlineStr">
        <is>
          <t>Base metals &amp; articles</t>
        </is>
      </c>
      <c r="B2874" t="inlineStr">
        <is>
          <t>82</t>
        </is>
      </c>
      <c r="C2874" t="inlineStr">
        <is>
          <t>82021010</t>
        </is>
      </c>
      <c r="D2874" t="inlineStr">
        <is>
          <t>METAL WORKING HAND SAWS</t>
        </is>
      </c>
      <c r="E2874" s="3" t="n">
        <v>0</v>
      </c>
      <c r="F2874" s="3" t="n">
        <v>0</v>
      </c>
      <c r="G2874" s="3">
        <f>F2874-E2874</f>
        <v/>
      </c>
      <c r="H2874" s="4">
        <f>IF(E2874=0,"",F2874/E2874-1)</f>
        <v/>
      </c>
      <c r="I2874" t="inlineStr"/>
    </row>
    <row r="2875">
      <c r="A2875" t="inlineStr">
        <is>
          <t>Base metals &amp; articles</t>
        </is>
      </c>
      <c r="B2875" t="inlineStr">
        <is>
          <t>82</t>
        </is>
      </c>
      <c r="C2875" t="inlineStr">
        <is>
          <t>82021090</t>
        </is>
      </c>
      <c r="D2875" t="inlineStr">
        <is>
          <t>OTHER HAND SAWS</t>
        </is>
      </c>
      <c r="E2875" s="3" t="n">
        <v>0.01</v>
      </c>
      <c r="F2875" s="3" t="n">
        <v>0</v>
      </c>
      <c r="G2875" s="3">
        <f>F2875-E2875</f>
        <v/>
      </c>
      <c r="H2875" s="4">
        <f>IF(E2875=0,"",F2875/E2875-1)</f>
        <v/>
      </c>
      <c r="I2875" t="inlineStr"/>
    </row>
    <row r="2876">
      <c r="A2876" t="inlineStr">
        <is>
          <t>Base metals &amp; articles</t>
        </is>
      </c>
      <c r="B2876" t="inlineStr">
        <is>
          <t>82</t>
        </is>
      </c>
      <c r="C2876" t="inlineStr">
        <is>
          <t>82034010</t>
        </is>
      </c>
      <c r="D2876" t="inlineStr">
        <is>
          <t>PERFORATING PUNCHES AND PIPE CUTTERS</t>
        </is>
      </c>
      <c r="E2876" s="3" t="n">
        <v>0</v>
      </c>
      <c r="F2876" s="3" t="n">
        <v>0</v>
      </c>
      <c r="G2876" s="3">
        <f>F2876-E2876</f>
        <v/>
      </c>
      <c r="H2876" s="4">
        <f>IF(E2876=0,"",F2876/E2876-1)</f>
        <v/>
      </c>
      <c r="I2876" t="inlineStr"/>
    </row>
    <row r="2877">
      <c r="A2877" t="inlineStr">
        <is>
          <t>Base metals &amp; articles</t>
        </is>
      </c>
      <c r="B2877" t="inlineStr">
        <is>
          <t>82</t>
        </is>
      </c>
      <c r="C2877" t="inlineStr">
        <is>
          <t>82055110</t>
        </is>
      </c>
      <c r="D2877" t="inlineStr">
        <is>
          <t>CAN OR CORK OPENERS</t>
        </is>
      </c>
      <c r="E2877" s="3" t="n">
        <v>0.01</v>
      </c>
      <c r="F2877" s="3" t="n">
        <v>0</v>
      </c>
      <c r="G2877" s="3">
        <f>F2877-E2877</f>
        <v/>
      </c>
      <c r="H2877" s="4">
        <f>IF(E2877=0,"",F2877/E2877-1)</f>
        <v/>
      </c>
      <c r="I2877" t="inlineStr"/>
    </row>
    <row r="2878">
      <c r="A2878" t="inlineStr">
        <is>
          <t>Base metals &amp; articles</t>
        </is>
      </c>
      <c r="B2878" t="inlineStr">
        <is>
          <t>82</t>
        </is>
      </c>
      <c r="C2878" t="inlineStr">
        <is>
          <t>82059020</t>
        </is>
      </c>
      <c r="D2878" t="inlineStr">
        <is>
          <t>GRINDING WHEELS WITH FRAME, HAND OR PEDAL-OPERATED</t>
        </is>
      </c>
      <c r="E2878" s="3" t="n">
        <v>0</v>
      </c>
      <c r="F2878" s="3" t="n">
        <v>0</v>
      </c>
      <c r="G2878" s="3">
        <f>F2878-E2878</f>
        <v/>
      </c>
      <c r="H2878" s="4">
        <f>IF(E2878=0,"",F2878/E2878-1)</f>
        <v/>
      </c>
      <c r="I2878" t="inlineStr"/>
    </row>
    <row r="2879">
      <c r="A2879" t="inlineStr">
        <is>
          <t>Base metals &amp; articles</t>
        </is>
      </c>
      <c r="B2879" t="inlineStr">
        <is>
          <t>82</t>
        </is>
      </c>
      <c r="C2879" t="inlineStr">
        <is>
          <t>82059030</t>
        </is>
      </c>
      <c r="D2879" t="inlineStr">
        <is>
          <t>SETS OF ARTICLES OF TWO OR MORE OF THE FOREGOING SUB-HEADINGS</t>
        </is>
      </c>
      <c r="E2879" s="3" t="n">
        <v>0</v>
      </c>
      <c r="F2879" s="3" t="n">
        <v>0</v>
      </c>
      <c r="G2879" s="3">
        <f>F2879-E2879</f>
        <v/>
      </c>
      <c r="H2879" s="4">
        <f>IF(E2879=0,"",F2879/E2879-1)</f>
        <v/>
      </c>
      <c r="I2879" t="inlineStr"/>
    </row>
    <row r="2880">
      <c r="A2880" t="inlineStr">
        <is>
          <t>Base metals &amp; articles</t>
        </is>
      </c>
      <c r="B2880" t="inlineStr">
        <is>
          <t>82</t>
        </is>
      </c>
      <c r="C2880" t="inlineStr">
        <is>
          <t>82076010</t>
        </is>
      </c>
      <c r="D2880" t="inlineStr">
        <is>
          <t>REAMERS</t>
        </is>
      </c>
      <c r="E2880" s="3" t="n">
        <v>0.01</v>
      </c>
      <c r="F2880" s="3" t="n">
        <v>0</v>
      </c>
      <c r="G2880" s="3">
        <f>F2880-E2880</f>
        <v/>
      </c>
      <c r="H2880" s="4">
        <f>IF(E2880=0,"",F2880/E2880-1)</f>
        <v/>
      </c>
      <c r="I2880" t="inlineStr"/>
    </row>
    <row r="2881">
      <c r="A2881" t="inlineStr">
        <is>
          <t>Base metals &amp; articles</t>
        </is>
      </c>
      <c r="B2881" t="inlineStr">
        <is>
          <t>82</t>
        </is>
      </c>
      <c r="C2881" t="inlineStr">
        <is>
          <t>82079020</t>
        </is>
      </c>
      <c r="D2881" t="inlineStr">
        <is>
          <t>WOOD WORKING HANDTOOLS</t>
        </is>
      </c>
      <c r="E2881" s="3" t="n">
        <v>0</v>
      </c>
      <c r="F2881" s="3" t="n">
        <v>0</v>
      </c>
      <c r="G2881" s="3">
        <f>F2881-E2881</f>
        <v/>
      </c>
      <c r="H2881" s="4">
        <f>IF(E2881=0,"",F2881/E2881-1)</f>
        <v/>
      </c>
      <c r="I2881" t="inlineStr"/>
    </row>
    <row r="2882">
      <c r="A2882" t="inlineStr">
        <is>
          <t>Base metals &amp; articles</t>
        </is>
      </c>
      <c r="B2882" t="inlineStr">
        <is>
          <t>82</t>
        </is>
      </c>
      <c r="C2882" t="inlineStr">
        <is>
          <t>82079030</t>
        </is>
      </c>
      <c r="D2882" t="inlineStr">
        <is>
          <t>LATHE TOOLS AND TOOL BELTS</t>
        </is>
      </c>
      <c r="E2882" s="3" t="n">
        <v>0</v>
      </c>
      <c r="F2882" s="3" t="n">
        <v>0</v>
      </c>
      <c r="G2882" s="3">
        <f>F2882-E2882</f>
        <v/>
      </c>
      <c r="H2882" s="4">
        <f>IF(E2882=0,"",F2882/E2882-1)</f>
        <v/>
      </c>
      <c r="I2882" t="inlineStr"/>
    </row>
    <row r="2883">
      <c r="A2883" t="inlineStr">
        <is>
          <t>Base metals &amp; articles</t>
        </is>
      </c>
      <c r="B2883" t="inlineStr">
        <is>
          <t>82</t>
        </is>
      </c>
      <c r="C2883" t="inlineStr">
        <is>
          <t>82083000</t>
        </is>
      </c>
      <c r="D2883" t="inlineStr">
        <is>
          <t>KNIVS AND CUTNG BLADES FOR KITCHN APPLNCS OF FOR MACHINES USD BY FOOD INDSTRY</t>
        </is>
      </c>
      <c r="E2883" s="3" t="n">
        <v>0</v>
      </c>
      <c r="F2883" s="3" t="n">
        <v>0</v>
      </c>
      <c r="G2883" s="3">
        <f>F2883-E2883</f>
        <v/>
      </c>
      <c r="H2883" s="4">
        <f>IF(E2883=0,"",F2883/E2883-1)</f>
        <v/>
      </c>
      <c r="I2883" t="inlineStr"/>
    </row>
    <row r="2884">
      <c r="A2884" t="inlineStr">
        <is>
          <t>Base metals &amp; articles</t>
        </is>
      </c>
      <c r="B2884" t="inlineStr">
        <is>
          <t>82</t>
        </is>
      </c>
      <c r="C2884" t="inlineStr">
        <is>
          <t>82084000</t>
        </is>
      </c>
      <c r="D2884" t="inlineStr">
        <is>
          <t>KNIVES AND CUTNG BLADES FOR AGRICULTURE, HORTICULTURE OR FORESTRY MACHINES</t>
        </is>
      </c>
      <c r="E2884" s="3" t="n">
        <v>0.02</v>
      </c>
      <c r="F2884" s="3" t="n">
        <v>0</v>
      </c>
      <c r="G2884" s="3">
        <f>F2884-E2884</f>
        <v/>
      </c>
      <c r="H2884" s="4">
        <f>IF(E2884=0,"",F2884/E2884-1)</f>
        <v/>
      </c>
      <c r="I2884" t="inlineStr"/>
    </row>
    <row r="2885">
      <c r="A2885" t="inlineStr">
        <is>
          <t>Base metals &amp; articles</t>
        </is>
      </c>
      <c r="B2885" t="inlineStr">
        <is>
          <t>82</t>
        </is>
      </c>
      <c r="C2885" t="inlineStr">
        <is>
          <t>82089020</t>
        </is>
      </c>
      <c r="D2885" t="inlineStr">
        <is>
          <t>BELL SKIVING KNIVES</t>
        </is>
      </c>
      <c r="E2885" s="3" t="n">
        <v>0</v>
      </c>
      <c r="F2885" s="3" t="n">
        <v>0</v>
      </c>
      <c r="G2885" s="3">
        <f>F2885-E2885</f>
        <v/>
      </c>
      <c r="H2885" s="4">
        <f>IF(E2885=0,"",F2885/E2885-1)</f>
        <v/>
      </c>
      <c r="I2885" t="inlineStr"/>
    </row>
    <row r="2886">
      <c r="A2886" t="inlineStr">
        <is>
          <t>Base metals &amp; articles</t>
        </is>
      </c>
      <c r="B2886" t="inlineStr">
        <is>
          <t>82</t>
        </is>
      </c>
      <c r="C2886" t="inlineStr">
        <is>
          <t>82111000</t>
        </is>
      </c>
      <c r="D2886" t="inlineStr">
        <is>
          <t>SETS OF ASSORTED ARTICLES</t>
        </is>
      </c>
      <c r="E2886" s="3" t="n">
        <v>0.01</v>
      </c>
      <c r="F2886" s="3" t="n">
        <v>0</v>
      </c>
      <c r="G2886" s="3">
        <f>F2886-E2886</f>
        <v/>
      </c>
      <c r="H2886" s="4">
        <f>IF(E2886=0,"",F2886/E2886-1)</f>
        <v/>
      </c>
      <c r="I2886" t="inlineStr"/>
    </row>
    <row r="2887">
      <c r="A2887" t="inlineStr">
        <is>
          <t>Base metals &amp; articles</t>
        </is>
      </c>
      <c r="B2887" t="inlineStr">
        <is>
          <t>82</t>
        </is>
      </c>
      <c r="C2887" t="inlineStr">
        <is>
          <t>82141090</t>
        </is>
      </c>
      <c r="D2887" t="inlineStr">
        <is>
          <t>BLADES</t>
        </is>
      </c>
      <c r="E2887" s="3" t="n">
        <v>0</v>
      </c>
      <c r="F2887" s="3" t="n">
        <v>0</v>
      </c>
      <c r="G2887" s="3">
        <f>F2887-E2887</f>
        <v/>
      </c>
      <c r="H2887" s="4">
        <f>IF(E2887=0,"",F2887/E2887-1)</f>
        <v/>
      </c>
      <c r="I2887" t="inlineStr"/>
    </row>
    <row r="2888">
      <c r="A2888" t="inlineStr">
        <is>
          <t>Base metals &amp; articles</t>
        </is>
      </c>
      <c r="B2888" t="inlineStr">
        <is>
          <t>82</t>
        </is>
      </c>
      <c r="C2888" t="inlineStr">
        <is>
          <t>82142010</t>
        </is>
      </c>
      <c r="D2888" t="inlineStr">
        <is>
          <t>NAIL CUTTERS</t>
        </is>
      </c>
      <c r="E2888" s="3" t="n">
        <v>0</v>
      </c>
      <c r="F2888" s="3" t="n">
        <v>0</v>
      </c>
      <c r="G2888" s="3">
        <f>F2888-E2888</f>
        <v/>
      </c>
      <c r="H2888" s="4">
        <f>IF(E2888=0,"",F2888/E2888-1)</f>
        <v/>
      </c>
      <c r="I2888" t="inlineStr"/>
    </row>
    <row r="2889">
      <c r="A2889" t="inlineStr">
        <is>
          <t>Base metals &amp; articles</t>
        </is>
      </c>
      <c r="B2889" t="inlineStr">
        <is>
          <t>82</t>
        </is>
      </c>
      <c r="C2889" t="inlineStr">
        <is>
          <t>82142090</t>
        </is>
      </c>
      <c r="D2889" t="inlineStr">
        <is>
          <t>OTHER MANICURE OR PEDICURE SETS AND INSTRMNTS(INCLD NAIL FILES)</t>
        </is>
      </c>
      <c r="E2889" s="3" t="n">
        <v>0</v>
      </c>
      <c r="F2889" s="3" t="n">
        <v>0</v>
      </c>
      <c r="G2889" s="3">
        <f>F2889-E2889</f>
        <v/>
      </c>
      <c r="H2889" s="4">
        <f>IF(E2889=0,"",F2889/E2889-1)</f>
        <v/>
      </c>
      <c r="I2889" t="inlineStr"/>
    </row>
    <row r="2890">
      <c r="A2890" t="inlineStr">
        <is>
          <t>Base metals &amp; articles</t>
        </is>
      </c>
      <c r="B2890" t="inlineStr">
        <is>
          <t>82</t>
        </is>
      </c>
      <c r="C2890" t="inlineStr">
        <is>
          <t>82159100</t>
        </is>
      </c>
      <c r="D2890" t="inlineStr">
        <is>
          <t>SPOONS,FORKS AND SMLR TABLE/KITCHEN WARE PLATED WTH PRECUS MTAL</t>
        </is>
      </c>
      <c r="E2890" s="3" t="n">
        <v>0</v>
      </c>
      <c r="F2890" s="3" t="n">
        <v>0</v>
      </c>
      <c r="G2890" s="3">
        <f>F2890-E2890</f>
        <v/>
      </c>
      <c r="H2890" s="4">
        <f>IF(E2890=0,"",F2890/E2890-1)</f>
        <v/>
      </c>
      <c r="I2890" t="inlineStr"/>
    </row>
    <row r="2891">
      <c r="A2891" t="inlineStr">
        <is>
          <t>Base metals &amp; articles</t>
        </is>
      </c>
      <c r="B2891" t="inlineStr">
        <is>
          <t>83</t>
        </is>
      </c>
      <c r="C2891" t="inlineStr">
        <is>
          <t>83023010</t>
        </is>
      </c>
      <c r="D2891" t="inlineStr">
        <is>
          <t>CURVE DRIVE STAKES</t>
        </is>
      </c>
      <c r="E2891" s="3" t="n">
        <v>0</v>
      </c>
      <c r="F2891" s="3" t="n">
        <v>0</v>
      </c>
      <c r="G2891" s="3">
        <f>F2891-E2891</f>
        <v/>
      </c>
      <c r="H2891" s="4">
        <f>IF(E2891=0,"",F2891/E2891-1)</f>
        <v/>
      </c>
      <c r="I2891" t="inlineStr"/>
    </row>
    <row r="2892">
      <c r="A2892" t="inlineStr">
        <is>
          <t>Base metals &amp; articles</t>
        </is>
      </c>
      <c r="B2892" t="inlineStr">
        <is>
          <t>83</t>
        </is>
      </c>
      <c r="C2892" t="inlineStr">
        <is>
          <t>83040000</t>
        </is>
      </c>
      <c r="D2892" t="inlineStr">
        <is>
          <t>FILING CABNT CRD INCX CABNT PAPR TRAY PAPRRSTS,PEN TRAYS,OFFICE-STMP STNDS AND SMLR OFFICE/DSK EQPMNT OF BS MTL</t>
        </is>
      </c>
      <c r="E2892" s="3" t="n">
        <v>0</v>
      </c>
      <c r="F2892" s="3" t="n">
        <v>0</v>
      </c>
      <c r="G2892" s="3">
        <f>F2892-E2892</f>
        <v/>
      </c>
      <c r="H2892" s="4">
        <f>IF(E2892=0,"",F2892/E2892-1)</f>
        <v/>
      </c>
      <c r="I2892" t="inlineStr"/>
    </row>
    <row r="2893">
      <c r="A2893" t="inlineStr">
        <is>
          <t>Base metals &amp; articles</t>
        </is>
      </c>
      <c r="B2893" t="inlineStr">
        <is>
          <t>83</t>
        </is>
      </c>
      <c r="C2893" t="inlineStr">
        <is>
          <t>83059020</t>
        </is>
      </c>
      <c r="D2893" t="inlineStr">
        <is>
          <t>CLIPS</t>
        </is>
      </c>
      <c r="E2893" s="3" t="n">
        <v>0</v>
      </c>
      <c r="F2893" s="3" t="n">
        <v>0</v>
      </c>
      <c r="G2893" s="3">
        <f>F2893-E2893</f>
        <v/>
      </c>
      <c r="H2893" s="4">
        <f>IF(E2893=0,"",F2893/E2893-1)</f>
        <v/>
      </c>
      <c r="I2893" t="inlineStr"/>
    </row>
    <row r="2894">
      <c r="A2894" t="inlineStr">
        <is>
          <t>Base metals &amp; articles</t>
        </is>
      </c>
      <c r="B2894" t="inlineStr">
        <is>
          <t>83</t>
        </is>
      </c>
      <c r="C2894" t="inlineStr">
        <is>
          <t>83061000</t>
        </is>
      </c>
      <c r="D2894" t="inlineStr">
        <is>
          <t>BELLS GONGS AND THE LIKE</t>
        </is>
      </c>
      <c r="E2894" s="3" t="n">
        <v>0.04</v>
      </c>
      <c r="F2894" s="3" t="n">
        <v>0</v>
      </c>
      <c r="G2894" s="3">
        <f>F2894-E2894</f>
        <v/>
      </c>
      <c r="H2894" s="4">
        <f>IF(E2894=0,"",F2894/E2894-1)</f>
        <v/>
      </c>
      <c r="I2894" t="inlineStr"/>
    </row>
    <row r="2895">
      <c r="A2895" t="inlineStr">
        <is>
          <t>Base metals &amp; articles</t>
        </is>
      </c>
      <c r="B2895" t="inlineStr">
        <is>
          <t>83</t>
        </is>
      </c>
      <c r="C2895" t="inlineStr">
        <is>
          <t>83062110</t>
        </is>
      </c>
      <c r="D2895" t="inlineStr">
        <is>
          <t>STATUETTES(EXCLUDNG WORKS OF ART) PLATED WITH PRECIOUS METAL</t>
        </is>
      </c>
      <c r="E2895" s="3" t="n">
        <v>0.01</v>
      </c>
      <c r="F2895" s="3" t="n">
        <v>0</v>
      </c>
      <c r="G2895" s="3">
        <f>F2895-E2895</f>
        <v/>
      </c>
      <c r="H2895" s="4">
        <f>IF(E2895=0,"",F2895/E2895-1)</f>
        <v/>
      </c>
      <c r="I2895" t="inlineStr"/>
    </row>
    <row r="2896">
      <c r="A2896" t="inlineStr">
        <is>
          <t>Base metals &amp; articles</t>
        </is>
      </c>
      <c r="B2896" t="inlineStr">
        <is>
          <t>83</t>
        </is>
      </c>
      <c r="C2896" t="inlineStr">
        <is>
          <t>83062910</t>
        </is>
      </c>
      <c r="D2896" t="inlineStr">
        <is>
          <t>OTHR STATUETTES(EXCLUDING WORKS OF ART)</t>
        </is>
      </c>
      <c r="E2896" s="3" t="n">
        <v>0.13</v>
      </c>
      <c r="F2896" s="3" t="n">
        <v>0</v>
      </c>
      <c r="G2896" s="3">
        <f>F2896-E2896</f>
        <v/>
      </c>
      <c r="H2896" s="4">
        <f>IF(E2896=0,"",F2896/E2896-1)</f>
        <v/>
      </c>
      <c r="I2896" t="inlineStr"/>
    </row>
    <row r="2897">
      <c r="A2897" t="inlineStr">
        <is>
          <t>Base metals &amp; articles</t>
        </is>
      </c>
      <c r="B2897" t="inlineStr">
        <is>
          <t>83</t>
        </is>
      </c>
      <c r="C2897" t="inlineStr">
        <is>
          <t>83063000</t>
        </is>
      </c>
      <c r="D2897" t="inlineStr">
        <is>
          <t>PHOTOGRPH,PICTURE/SMLR FRAMES,MIRORS</t>
        </is>
      </c>
      <c r="E2897" s="3" t="n">
        <v>0</v>
      </c>
      <c r="F2897" s="3" t="n">
        <v>0</v>
      </c>
      <c r="G2897" s="3">
        <f>F2897-E2897</f>
        <v/>
      </c>
      <c r="H2897" s="4">
        <f>IF(E2897=0,"",F2897/E2897-1)</f>
        <v/>
      </c>
      <c r="I2897" t="inlineStr"/>
    </row>
    <row r="2898">
      <c r="A2898" t="inlineStr">
        <is>
          <t>Base metals &amp; articles</t>
        </is>
      </c>
      <c r="B2898" t="inlineStr">
        <is>
          <t>83</t>
        </is>
      </c>
      <c r="C2898" t="inlineStr">
        <is>
          <t>83089039</t>
        </is>
      </c>
      <c r="D2898" t="inlineStr">
        <is>
          <t>OTHER BEADSAND SPANGLES OF BASE METAL</t>
        </is>
      </c>
      <c r="E2898" s="3" t="n">
        <v>0.01</v>
      </c>
      <c r="F2898" s="3" t="n">
        <v>0</v>
      </c>
      <c r="G2898" s="3">
        <f>F2898-E2898</f>
        <v/>
      </c>
      <c r="H2898" s="4">
        <f>IF(E2898=0,"",F2898/E2898-1)</f>
        <v/>
      </c>
      <c r="I2898" t="inlineStr"/>
    </row>
    <row r="2899">
      <c r="A2899" t="inlineStr">
        <is>
          <t>Base metals &amp; articles</t>
        </is>
      </c>
      <c r="B2899" t="inlineStr">
        <is>
          <t>83</t>
        </is>
      </c>
      <c r="C2899" t="inlineStr">
        <is>
          <t>83089099</t>
        </is>
      </c>
      <c r="D2899" t="inlineStr">
        <is>
          <t>OTHER MADERUP OF ARTICLES N.E.S.</t>
        </is>
      </c>
      <c r="E2899" s="3" t="n">
        <v>0</v>
      </c>
      <c r="F2899" s="3" t="n">
        <v>0</v>
      </c>
      <c r="G2899" s="3">
        <f>F2899-E2899</f>
        <v/>
      </c>
      <c r="H2899" s="4">
        <f>IF(E2899=0,"",F2899/E2899-1)</f>
        <v/>
      </c>
      <c r="I2899" t="inlineStr"/>
    </row>
    <row r="2900">
      <c r="A2900" t="inlineStr">
        <is>
          <t>Base metals &amp; articles</t>
        </is>
      </c>
      <c r="B2900" t="inlineStr">
        <is>
          <t>83</t>
        </is>
      </c>
      <c r="C2900" t="inlineStr">
        <is>
          <t>83091000</t>
        </is>
      </c>
      <c r="D2900" t="inlineStr">
        <is>
          <t>CROWN CORKS</t>
        </is>
      </c>
      <c r="E2900" s="3" t="n">
        <v>0</v>
      </c>
      <c r="F2900" s="3" t="n">
        <v>0</v>
      </c>
      <c r="G2900" s="3">
        <f>F2900-E2900</f>
        <v/>
      </c>
      <c r="H2900" s="4">
        <f>IF(E2900=0,"",F2900/E2900-1)</f>
        <v/>
      </c>
      <c r="I2900" t="inlineStr"/>
    </row>
    <row r="2901">
      <c r="A2901" t="inlineStr">
        <is>
          <t>Base metals &amp; articles</t>
        </is>
      </c>
      <c r="B2901" t="inlineStr">
        <is>
          <t>83</t>
        </is>
      </c>
      <c r="C2901" t="inlineStr">
        <is>
          <t>83113010</t>
        </is>
      </c>
      <c r="D2901" t="inlineStr">
        <is>
          <t>WIRE AND RODS OF AGGLOMERATED BASE METAL POWDER USED FOR METAL SPRAYING</t>
        </is>
      </c>
      <c r="E2901" s="3" t="n">
        <v>0</v>
      </c>
      <c r="F2901" s="3" t="n">
        <v>0</v>
      </c>
      <c r="G2901" s="3">
        <f>F2901-E2901</f>
        <v/>
      </c>
      <c r="H2901" s="4">
        <f>IF(E2901=0,"",F2901/E2901-1)</f>
        <v/>
      </c>
      <c r="I2901" t="inlineStr"/>
    </row>
    <row r="2902">
      <c r="A2902" s="6" t="inlineStr">
        <is>
          <t>Cosmetics, dyes &amp; other chemicals  —  373 lines</t>
        </is>
      </c>
      <c r="B2902" s="6" t="inlineStr"/>
      <c r="C2902" s="6" t="inlineStr"/>
      <c r="D2902" s="6" t="inlineStr"/>
      <c r="E2902" s="7" t="n">
        <v>1121.6</v>
      </c>
      <c r="F2902" s="7" t="n">
        <v>1680.49</v>
      </c>
      <c r="G2902" s="7" t="n">
        <v>558.89</v>
      </c>
      <c r="H2902" s="8" t="n">
        <v>0.4982970756062755</v>
      </c>
      <c r="I2902" s="6" t="inlineStr"/>
    </row>
    <row r="2903">
      <c r="A2903" t="inlineStr">
        <is>
          <t>Cosmetics, dyes &amp; other chemicals</t>
        </is>
      </c>
      <c r="B2903" t="inlineStr">
        <is>
          <t>33</t>
        </is>
      </c>
      <c r="C2903" t="inlineStr">
        <is>
          <t>33049990</t>
        </is>
      </c>
      <c r="D2903" t="inlineStr">
        <is>
          <t>OTHERS-OF-OTHR BEAUTY/MAKE UP PRPNS NES</t>
        </is>
      </c>
      <c r="E2903" s="3" t="n">
        <v>245.42</v>
      </c>
      <c r="F2903" s="3" t="n">
        <v>1071.45</v>
      </c>
      <c r="G2903" s="3">
        <f>F2903-E2903</f>
        <v/>
      </c>
      <c r="H2903" s="4">
        <f>IF(E2903=0,"",F2903/E2903-1)</f>
        <v/>
      </c>
      <c r="I2903" t="inlineStr"/>
    </row>
    <row r="2904">
      <c r="A2904" t="inlineStr">
        <is>
          <t>Cosmetics, dyes &amp; other chemicals</t>
        </is>
      </c>
      <c r="B2904" t="inlineStr">
        <is>
          <t>38</t>
        </is>
      </c>
      <c r="C2904" t="inlineStr">
        <is>
          <t>38249900</t>
        </is>
      </c>
      <c r="D2904" t="inlineStr">
        <is>
          <t>OTHERS-OF-OTHERS-OF-PRPD BNDRS FR FOUNDRY MOULDS/CORES,CHMCLPRDCTS AND PRPNS,RESDUAL PRDCTS OF CHMCLOR ALLIED INDUSTRIES N.E.S</t>
        </is>
      </c>
      <c r="E2904" s="3" t="n">
        <v>76.18000000000001</v>
      </c>
      <c r="F2904" s="3" t="n">
        <v>53.47</v>
      </c>
      <c r="G2904" s="3">
        <f>F2904-E2904</f>
        <v/>
      </c>
      <c r="H2904" s="4">
        <f>IF(E2904=0,"",F2904/E2904-1)</f>
        <v/>
      </c>
      <c r="I2904" t="inlineStr"/>
    </row>
    <row r="2905">
      <c r="A2905" t="inlineStr">
        <is>
          <t>Cosmetics, dyes &amp; other chemicals</t>
        </is>
      </c>
      <c r="B2905" t="inlineStr">
        <is>
          <t>38</t>
        </is>
      </c>
      <c r="C2905" t="inlineStr">
        <is>
          <t>38160000</t>
        </is>
      </c>
      <c r="D2905" t="inlineStr">
        <is>
          <t>REFRACTORY CEMENTS-MORTARS-CONCRETES AND SIMILAR COMPOSITION INCLUDING DOLOMITE RMMING MIX,OTHR THN PRDCTS OF HDG NO.3801</t>
        </is>
      </c>
      <c r="E2905" s="3" t="n">
        <v>17.51</v>
      </c>
      <c r="F2905" s="3" t="n">
        <v>48.38</v>
      </c>
      <c r="G2905" s="3">
        <f>F2905-E2905</f>
        <v/>
      </c>
      <c r="H2905" s="4">
        <f>IF(E2905=0,"",F2905/E2905-1)</f>
        <v/>
      </c>
      <c r="I2905" t="inlineStr"/>
    </row>
    <row r="2906">
      <c r="A2906" t="inlineStr">
        <is>
          <t>Cosmetics, dyes &amp; other chemicals</t>
        </is>
      </c>
      <c r="B2906" t="inlineStr">
        <is>
          <t>38</t>
        </is>
      </c>
      <c r="C2906" t="inlineStr">
        <is>
          <t>38119000</t>
        </is>
      </c>
      <c r="D2906" t="inlineStr">
        <is>
          <t>OTHER PREPARED ADDITIVES ANTI-CORRSIVE PRPNS AND OTHR PRPD ADDITVS</t>
        </is>
      </c>
      <c r="E2906" s="3" t="n">
        <v>39.98</v>
      </c>
      <c r="F2906" s="3" t="n">
        <v>34.33</v>
      </c>
      <c r="G2906" s="3">
        <f>F2906-E2906</f>
        <v/>
      </c>
      <c r="H2906" s="4">
        <f>IF(E2906=0,"",F2906/E2906-1)</f>
        <v/>
      </c>
      <c r="I2906" t="inlineStr"/>
    </row>
    <row r="2907">
      <c r="A2907" t="inlineStr">
        <is>
          <t>Cosmetics, dyes &amp; other chemicals</t>
        </is>
      </c>
      <c r="B2907" t="inlineStr">
        <is>
          <t>31</t>
        </is>
      </c>
      <c r="C2907" t="inlineStr">
        <is>
          <t>31023000</t>
        </is>
      </c>
      <c r="D2907" t="inlineStr">
        <is>
          <t>AMMONIUM NITRATE W/N IN AQUEOUS SOLUTION</t>
        </is>
      </c>
      <c r="E2907" s="3" t="n">
        <v>1.08</v>
      </c>
      <c r="F2907" s="3" t="n">
        <v>32.43</v>
      </c>
      <c r="G2907" s="3">
        <f>F2907-E2907</f>
        <v/>
      </c>
      <c r="H2907" s="4">
        <f>IF(E2907=0,"",F2907/E2907-1)</f>
        <v/>
      </c>
      <c r="I2907" t="inlineStr"/>
    </row>
    <row r="2908">
      <c r="A2908" t="inlineStr">
        <is>
          <t>Cosmetics, dyes &amp; other chemicals</t>
        </is>
      </c>
      <c r="B2908" t="inlineStr">
        <is>
          <t>34</t>
        </is>
      </c>
      <c r="C2908" t="inlineStr">
        <is>
          <t>34023100</t>
        </is>
      </c>
      <c r="D2908" t="inlineStr">
        <is>
          <t>LINEAR ALKYLBENZENESULPHONIC ACIDS AND THEIR SALTS (ANIONIC ORGANIC SURFACE ACTIVE AGENTS, W/N PUT UP FOR RETAIL SALE)</t>
        </is>
      </c>
      <c r="E2908" s="3" t="n">
        <v>25.36</v>
      </c>
      <c r="F2908" s="3" t="n">
        <v>28.48</v>
      </c>
      <c r="G2908" s="3">
        <f>F2908-E2908</f>
        <v/>
      </c>
      <c r="H2908" s="4">
        <f>IF(E2908=0,"",F2908/E2908-1)</f>
        <v/>
      </c>
      <c r="I2908" t="inlineStr"/>
    </row>
    <row r="2909">
      <c r="A2909" t="inlineStr">
        <is>
          <t>Cosmetics, dyes &amp; other chemicals</t>
        </is>
      </c>
      <c r="B2909" t="inlineStr">
        <is>
          <t>35</t>
        </is>
      </c>
      <c r="C2909" t="inlineStr">
        <is>
          <t>35051090</t>
        </is>
      </c>
      <c r="D2909" t="inlineStr">
        <is>
          <t>OTHER DEXTRINS AND OTHER MODIFIED STARCHES</t>
        </is>
      </c>
      <c r="E2909" s="3" t="n">
        <v>24.96</v>
      </c>
      <c r="F2909" s="3" t="n">
        <v>25.51</v>
      </c>
      <c r="G2909" s="3">
        <f>F2909-E2909</f>
        <v/>
      </c>
      <c r="H2909" s="4">
        <f>IF(E2909=0,"",F2909/E2909-1)</f>
        <v/>
      </c>
      <c r="I2909" t="inlineStr"/>
    </row>
    <row r="2910">
      <c r="A2910" t="inlineStr">
        <is>
          <t>Cosmetics, dyes &amp; other chemicals</t>
        </is>
      </c>
      <c r="B2910" t="inlineStr">
        <is>
          <t>38</t>
        </is>
      </c>
      <c r="C2910" t="inlineStr">
        <is>
          <t>38244090</t>
        </is>
      </c>
      <c r="D2910" t="inlineStr">
        <is>
          <t>OTHERS-OF-PRPD ADTVS FOR CEMENTS-MORTARS/CONCRETES</t>
        </is>
      </c>
      <c r="E2910" s="3" t="n">
        <v>9.41</v>
      </c>
      <c r="F2910" s="3" t="n">
        <v>16.67</v>
      </c>
      <c r="G2910" s="3">
        <f>F2910-E2910</f>
        <v/>
      </c>
      <c r="H2910" s="4">
        <f>IF(E2910=0,"",F2910/E2910-1)</f>
        <v/>
      </c>
      <c r="I2910" t="inlineStr"/>
    </row>
    <row r="2911">
      <c r="A2911" t="inlineStr">
        <is>
          <t>Cosmetics, dyes &amp; other chemicals</t>
        </is>
      </c>
      <c r="B2911" t="inlineStr">
        <is>
          <t>38</t>
        </is>
      </c>
      <c r="C2911" t="inlineStr">
        <is>
          <t>38013000</t>
        </is>
      </c>
      <c r="D2911" t="inlineStr">
        <is>
          <t>CRBNCEOUS PSTS FR ELECTRDS AND FURNCE LINEGS</t>
        </is>
      </c>
      <c r="E2911" s="3" t="n">
        <v>6.87</v>
      </c>
      <c r="F2911" s="3" t="n">
        <v>15.18</v>
      </c>
      <c r="G2911" s="3">
        <f>F2911-E2911</f>
        <v/>
      </c>
      <c r="H2911" s="4">
        <f>IF(E2911=0,"",F2911/E2911-1)</f>
        <v/>
      </c>
      <c r="I2911" t="inlineStr"/>
    </row>
    <row r="2912">
      <c r="A2912" t="inlineStr">
        <is>
          <t>Cosmetics, dyes &amp; other chemicals</t>
        </is>
      </c>
      <c r="B2912" t="inlineStr">
        <is>
          <t>35</t>
        </is>
      </c>
      <c r="C2912" t="inlineStr">
        <is>
          <t>35061000</t>
        </is>
      </c>
      <c r="D2912" t="inlineStr">
        <is>
          <t>PRDCTS FOR USE AS GLUES/ADHSVS PUT UP FOR RETL SALE AS GLUES/ADHSVS NT EXCDNG 1 KG</t>
        </is>
      </c>
      <c r="E2912" s="3" t="n">
        <v>9.44</v>
      </c>
      <c r="F2912" s="3" t="n">
        <v>12.65</v>
      </c>
      <c r="G2912" s="3">
        <f>F2912-E2912</f>
        <v/>
      </c>
      <c r="H2912" s="4">
        <f>IF(E2912=0,"",F2912/E2912-1)</f>
        <v/>
      </c>
      <c r="I2912" t="inlineStr"/>
    </row>
    <row r="2913">
      <c r="A2913" t="inlineStr">
        <is>
          <t>Cosmetics, dyes &amp; other chemicals</t>
        </is>
      </c>
      <c r="B2913" t="inlineStr">
        <is>
          <t>38</t>
        </is>
      </c>
      <c r="C2913" t="inlineStr">
        <is>
          <t>38029019</t>
        </is>
      </c>
      <c r="D2913" t="inlineStr">
        <is>
          <t>OTHER ACTVTD NATRL MNRL PRDCTS</t>
        </is>
      </c>
      <c r="E2913" s="3" t="n">
        <v>13.13</v>
      </c>
      <c r="F2913" s="3" t="n">
        <v>12.62</v>
      </c>
      <c r="G2913" s="3">
        <f>F2913-E2913</f>
        <v/>
      </c>
      <c r="H2913" s="4">
        <f>IF(E2913=0,"",F2913/E2913-1)</f>
        <v/>
      </c>
      <c r="I2913" t="inlineStr"/>
    </row>
    <row r="2914">
      <c r="A2914" t="inlineStr">
        <is>
          <t>Cosmetics, dyes &amp; other chemicals</t>
        </is>
      </c>
      <c r="B2914" t="inlineStr">
        <is>
          <t>34</t>
        </is>
      </c>
      <c r="C2914" t="inlineStr">
        <is>
          <t>34029011</t>
        </is>
      </c>
      <c r="D2914" t="inlineStr">
        <is>
          <t>WASHING AND CLEANING PREPARATIONS HAVING BASIS OF SOAP/OTHER ORGANIC SURFACE ACTIVE(SYNTHETIC DETERGENTS)</t>
        </is>
      </c>
      <c r="E2914" s="3" t="n">
        <v>8.529999999999999</v>
      </c>
      <c r="F2914" s="3" t="n">
        <v>12.25</v>
      </c>
      <c r="G2914" s="3">
        <f>F2914-E2914</f>
        <v/>
      </c>
      <c r="H2914" s="4">
        <f>IF(E2914=0,"",F2914/E2914-1)</f>
        <v/>
      </c>
      <c r="I2914" t="inlineStr"/>
    </row>
    <row r="2915">
      <c r="A2915" t="inlineStr">
        <is>
          <t>Cosmetics, dyes &amp; other chemicals</t>
        </is>
      </c>
      <c r="B2915" t="inlineStr">
        <is>
          <t>38</t>
        </is>
      </c>
      <c r="C2915" t="inlineStr">
        <is>
          <t>38123990</t>
        </is>
      </c>
      <c r="D2915" t="inlineStr">
        <is>
          <t>OTHERS-OF-OTHERS-OF-PRPD RUBR ACCLRTRS-CMPND PLSTCSRS-N.E.S ANTIOXDSNG PRPNS AND OTHR CMPND STBLSRS</t>
        </is>
      </c>
      <c r="E2915" s="3" t="n">
        <v>9.130000000000001</v>
      </c>
      <c r="F2915" s="3" t="n">
        <v>10.86</v>
      </c>
      <c r="G2915" s="3">
        <f>F2915-E2915</f>
        <v/>
      </c>
      <c r="H2915" s="4">
        <f>IF(E2915=0,"",F2915/E2915-1)</f>
        <v/>
      </c>
      <c r="I2915" t="inlineStr"/>
    </row>
    <row r="2916">
      <c r="A2916" t="inlineStr">
        <is>
          <t>Cosmetics, dyes &amp; other chemicals</t>
        </is>
      </c>
      <c r="B2916" t="inlineStr">
        <is>
          <t>34</t>
        </is>
      </c>
      <c r="C2916" t="inlineStr">
        <is>
          <t>34011190</t>
        </is>
      </c>
      <c r="D2916" t="inlineStr">
        <is>
          <t>OTHR SOAP AND ORGNC SURFACE ACTIVE PRODUCTFOR TIOLET USE (INCL MEDICATED PRDCTS)</t>
        </is>
      </c>
      <c r="E2916" s="3" t="n">
        <v>17.6</v>
      </c>
      <c r="F2916" s="3" t="n">
        <v>10.66</v>
      </c>
      <c r="G2916" s="3">
        <f>F2916-E2916</f>
        <v/>
      </c>
      <c r="H2916" s="4">
        <f>IF(E2916=0,"",F2916/E2916-1)</f>
        <v/>
      </c>
      <c r="I2916" t="inlineStr"/>
    </row>
    <row r="2917">
      <c r="A2917" t="inlineStr">
        <is>
          <t>Cosmetics, dyes &amp; other chemicals</t>
        </is>
      </c>
      <c r="B2917" t="inlineStr">
        <is>
          <t>33</t>
        </is>
      </c>
      <c r="C2917" t="inlineStr">
        <is>
          <t>33029011</t>
        </is>
      </c>
      <c r="D2917" t="inlineStr">
        <is>
          <t>SYNTHETIC PERFUMERY COMPOUNDS</t>
        </is>
      </c>
      <c r="E2917" s="3" t="n">
        <v>5.28</v>
      </c>
      <c r="F2917" s="3" t="n">
        <v>10.37</v>
      </c>
      <c r="G2917" s="3">
        <f>F2917-E2917</f>
        <v/>
      </c>
      <c r="H2917" s="4">
        <f>IF(E2917=0,"",F2917/E2917-1)</f>
        <v/>
      </c>
      <c r="I2917" t="inlineStr"/>
    </row>
    <row r="2918">
      <c r="A2918" t="inlineStr">
        <is>
          <t>Cosmetics, dyes &amp; other chemicals</t>
        </is>
      </c>
      <c r="B2918" t="inlineStr">
        <is>
          <t>38</t>
        </is>
      </c>
      <c r="C2918" t="inlineStr">
        <is>
          <t>38089199</t>
        </is>
      </c>
      <c r="D2918" t="inlineStr">
        <is>
          <t>OTHER INSECTICIDE NES</t>
        </is>
      </c>
      <c r="E2918" s="3" t="n">
        <v>8.029999999999999</v>
      </c>
      <c r="F2918" s="3" t="n">
        <v>9.85</v>
      </c>
      <c r="G2918" s="3">
        <f>F2918-E2918</f>
        <v/>
      </c>
      <c r="H2918" s="4">
        <f>IF(E2918=0,"",F2918/E2918-1)</f>
        <v/>
      </c>
      <c r="I2918" t="inlineStr"/>
    </row>
    <row r="2919">
      <c r="A2919" t="inlineStr">
        <is>
          <t>Cosmetics, dyes &amp; other chemicals</t>
        </is>
      </c>
      <c r="B2919" t="inlineStr">
        <is>
          <t>32</t>
        </is>
      </c>
      <c r="C2919" t="inlineStr">
        <is>
          <t>32151990</t>
        </is>
      </c>
      <c r="D2919" t="inlineStr">
        <is>
          <t>OTHR PRTNG INK AND PRINTRS COLRS</t>
        </is>
      </c>
      <c r="E2919" s="3" t="n">
        <v>8.68</v>
      </c>
      <c r="F2919" s="3" t="n">
        <v>9.58</v>
      </c>
      <c r="G2919" s="3">
        <f>F2919-E2919</f>
        <v/>
      </c>
      <c r="H2919" s="4">
        <f>IF(E2919=0,"",F2919/E2919-1)</f>
        <v/>
      </c>
      <c r="I2919" t="inlineStr"/>
    </row>
    <row r="2920">
      <c r="A2920" t="inlineStr">
        <is>
          <t>Cosmetics, dyes &amp; other chemicals</t>
        </is>
      </c>
      <c r="B2920" t="inlineStr">
        <is>
          <t>33</t>
        </is>
      </c>
      <c r="C2920" t="inlineStr">
        <is>
          <t>33029090</t>
        </is>
      </c>
      <c r="D2920" t="inlineStr">
        <is>
          <t>OTHER MIXTRS OF ODORIFRS SUBSTNS N.E.S.</t>
        </is>
      </c>
      <c r="E2920" s="3" t="n">
        <v>5.78</v>
      </c>
      <c r="F2920" s="3" t="n">
        <v>9.449999999999999</v>
      </c>
      <c r="G2920" s="3">
        <f>F2920-E2920</f>
        <v/>
      </c>
      <c r="H2920" s="4">
        <f>IF(E2920=0,"",F2920/E2920-1)</f>
        <v/>
      </c>
      <c r="I2920" t="inlineStr"/>
    </row>
    <row r="2921">
      <c r="A2921" t="inlineStr">
        <is>
          <t>Cosmetics, dyes &amp; other chemicals</t>
        </is>
      </c>
      <c r="B2921" t="inlineStr">
        <is>
          <t>38</t>
        </is>
      </c>
      <c r="C2921" t="inlineStr">
        <is>
          <t>38231900</t>
        </is>
      </c>
      <c r="D2921" t="inlineStr">
        <is>
          <t>OTHER INDUSTRIAL MONOCARBOXYLIC FATTY ACID</t>
        </is>
      </c>
      <c r="E2921" s="3" t="n">
        <v>14.28</v>
      </c>
      <c r="F2921" s="3" t="n">
        <v>9.359999999999999</v>
      </c>
      <c r="G2921" s="3">
        <f>F2921-E2921</f>
        <v/>
      </c>
      <c r="H2921" s="4">
        <f>IF(E2921=0,"",F2921/E2921-1)</f>
        <v/>
      </c>
      <c r="I2921" t="inlineStr"/>
    </row>
    <row r="2922">
      <c r="A2922" t="inlineStr">
        <is>
          <t>Cosmetics, dyes &amp; other chemicals</t>
        </is>
      </c>
      <c r="B2922" t="inlineStr">
        <is>
          <t>38</t>
        </is>
      </c>
      <c r="C2922" t="inlineStr">
        <is>
          <t>38159000</t>
        </is>
      </c>
      <c r="D2922" t="inlineStr">
        <is>
          <t>OTHER REACTION INITIATORS ETC</t>
        </is>
      </c>
      <c r="E2922" s="3" t="n">
        <v>37.23</v>
      </c>
      <c r="F2922" s="3" t="n">
        <v>8.66</v>
      </c>
      <c r="G2922" s="3">
        <f>F2922-E2922</f>
        <v/>
      </c>
      <c r="H2922" s="4">
        <f>IF(E2922=0,"",F2922/E2922-1)</f>
        <v/>
      </c>
      <c r="I2922" t="inlineStr"/>
    </row>
    <row r="2923">
      <c r="A2923" t="inlineStr">
        <is>
          <t>Cosmetics, dyes &amp; other chemicals</t>
        </is>
      </c>
      <c r="B2923" t="inlineStr">
        <is>
          <t>34</t>
        </is>
      </c>
      <c r="C2923" t="inlineStr">
        <is>
          <t>34031900</t>
        </is>
      </c>
      <c r="D2923" t="inlineStr">
        <is>
          <t>OTHR PRPNS CNTNG PTRLM OILS/OILS OBTAINED FROM BITUMINOUS MINERALS</t>
        </is>
      </c>
      <c r="E2923" s="3" t="n">
        <v>1.94</v>
      </c>
      <c r="F2923" s="3" t="n">
        <v>7.93</v>
      </c>
      <c r="G2923" s="3">
        <f>F2923-E2923</f>
        <v/>
      </c>
      <c r="H2923" s="4">
        <f>IF(E2923=0,"",F2923/E2923-1)</f>
        <v/>
      </c>
      <c r="I2923" t="inlineStr"/>
    </row>
    <row r="2924">
      <c r="A2924" t="inlineStr">
        <is>
          <t>Cosmetics, dyes &amp; other chemicals</t>
        </is>
      </c>
      <c r="B2924" t="inlineStr">
        <is>
          <t>32</t>
        </is>
      </c>
      <c r="C2924" t="inlineStr">
        <is>
          <t>32074000</t>
        </is>
      </c>
      <c r="D2924" t="inlineStr">
        <is>
          <t>GLAS FRIT AND OTHR GLAS IN PWDR GRANUL/FLKS</t>
        </is>
      </c>
      <c r="E2924" s="3" t="n">
        <v>5.84</v>
      </c>
      <c r="F2924" s="3" t="n">
        <v>7.71</v>
      </c>
      <c r="G2924" s="3">
        <f>F2924-E2924</f>
        <v/>
      </c>
      <c r="H2924" s="4">
        <f>IF(E2924=0,"",F2924/E2924-1)</f>
        <v/>
      </c>
      <c r="I2924" t="inlineStr"/>
    </row>
    <row r="2925">
      <c r="A2925" t="inlineStr">
        <is>
          <t>Cosmetics, dyes &amp; other chemicals</t>
        </is>
      </c>
      <c r="B2925" t="inlineStr">
        <is>
          <t>33</t>
        </is>
      </c>
      <c r="C2925" t="inlineStr">
        <is>
          <t>33059011</t>
        </is>
      </c>
      <c r="D2925" t="inlineStr">
        <is>
          <t>PERFUMED HAIR OIL</t>
        </is>
      </c>
      <c r="E2925" s="3" t="n">
        <v>5.07</v>
      </c>
      <c r="F2925" s="3" t="n">
        <v>7.46</v>
      </c>
      <c r="G2925" s="3">
        <f>F2925-E2925</f>
        <v/>
      </c>
      <c r="H2925" s="4">
        <f>IF(E2925=0,"",F2925/E2925-1)</f>
        <v/>
      </c>
      <c r="I2925" t="inlineStr"/>
    </row>
    <row r="2926">
      <c r="A2926" t="inlineStr">
        <is>
          <t>Cosmetics, dyes &amp; other chemicals</t>
        </is>
      </c>
      <c r="B2926" t="inlineStr">
        <is>
          <t>34</t>
        </is>
      </c>
      <c r="C2926" t="inlineStr">
        <is>
          <t>34024900</t>
        </is>
      </c>
      <c r="D2926" t="inlineStr">
        <is>
          <t>OTHERS-OF-OTHERS-OF-ORGNC SURFACE-ACTV AGENTS(OTHR THN SOAP)OTHR WASHING PRPNS W/N CNTNG SOAP OTHER THAN THOSE OF HEADING NO 3</t>
        </is>
      </c>
      <c r="E2926" s="3" t="n">
        <v>2.77</v>
      </c>
      <c r="F2926" s="3" t="n">
        <v>6.79</v>
      </c>
      <c r="G2926" s="3">
        <f>F2926-E2926</f>
        <v/>
      </c>
      <c r="H2926" s="4">
        <f>IF(E2926=0,"",F2926/E2926-1)</f>
        <v/>
      </c>
      <c r="I2926" t="inlineStr"/>
    </row>
    <row r="2927">
      <c r="A2927" t="inlineStr">
        <is>
          <t>Cosmetics, dyes &amp; other chemicals</t>
        </is>
      </c>
      <c r="B2927" t="inlineStr">
        <is>
          <t>38</t>
        </is>
      </c>
      <c r="C2927" t="inlineStr">
        <is>
          <t>38099200</t>
        </is>
      </c>
      <c r="D2927" t="inlineStr">
        <is>
          <t>PRPNS OF A KIND USED IN THE PAPER INDUSTRY</t>
        </is>
      </c>
      <c r="E2927" s="3" t="n">
        <v>4.37</v>
      </c>
      <c r="F2927" s="3" t="n">
        <v>6.39</v>
      </c>
      <c r="G2927" s="3">
        <f>F2927-E2927</f>
        <v/>
      </c>
      <c r="H2927" s="4">
        <f>IF(E2927=0,"",F2927/E2927-1)</f>
        <v/>
      </c>
      <c r="I2927" t="inlineStr"/>
    </row>
    <row r="2928">
      <c r="A2928" t="inlineStr">
        <is>
          <t>Cosmetics, dyes &amp; other chemicals</t>
        </is>
      </c>
      <c r="B2928" t="inlineStr">
        <is>
          <t>32</t>
        </is>
      </c>
      <c r="C2928" t="inlineStr">
        <is>
          <t>32064990</t>
        </is>
      </c>
      <c r="D2928" t="inlineStr">
        <is>
          <t>OTHER PREPARATIONS</t>
        </is>
      </c>
      <c r="E2928" s="3" t="n">
        <v>7.87</v>
      </c>
      <c r="F2928" s="3" t="n">
        <v>6.29</v>
      </c>
      <c r="G2928" s="3">
        <f>F2928-E2928</f>
        <v/>
      </c>
      <c r="H2928" s="4">
        <f>IF(E2928=0,"",F2928/E2928-1)</f>
        <v/>
      </c>
      <c r="I2928" t="inlineStr"/>
    </row>
    <row r="2929">
      <c r="A2929" t="inlineStr">
        <is>
          <t>Cosmetics, dyes &amp; other chemicals</t>
        </is>
      </c>
      <c r="B2929" t="inlineStr">
        <is>
          <t>33</t>
        </is>
      </c>
      <c r="C2929" t="inlineStr">
        <is>
          <t>33030090</t>
        </is>
      </c>
      <c r="D2929" t="inlineStr">
        <is>
          <t>OTHER PERFUME AND TOILET WATERS</t>
        </is>
      </c>
      <c r="E2929" s="3" t="n">
        <v>309.13</v>
      </c>
      <c r="F2929" s="3" t="n">
        <v>6.04</v>
      </c>
      <c r="G2929" s="3">
        <f>F2929-E2929</f>
        <v/>
      </c>
      <c r="H2929" s="4">
        <f>IF(E2929=0,"",F2929/E2929-1)</f>
        <v/>
      </c>
      <c r="I2929" t="inlineStr"/>
    </row>
    <row r="2930">
      <c r="A2930" t="inlineStr">
        <is>
          <t>Cosmetics, dyes &amp; other chemicals</t>
        </is>
      </c>
      <c r="B2930" t="inlineStr">
        <is>
          <t>38</t>
        </is>
      </c>
      <c r="C2930" t="inlineStr">
        <is>
          <t>38101010</t>
        </is>
      </c>
      <c r="D2930" t="inlineStr">
        <is>
          <t>PICLING PREPARATI0N AND 0THER S0LDERING BRAZING 0R WELDING P0WDER/PASTES ETC</t>
        </is>
      </c>
      <c r="E2930" s="3" t="n">
        <v>5.95</v>
      </c>
      <c r="F2930" s="3" t="n">
        <v>5.87</v>
      </c>
      <c r="G2930" s="3">
        <f>F2930-E2930</f>
        <v/>
      </c>
      <c r="H2930" s="4">
        <f>IF(E2930=0,"",F2930/E2930-1)</f>
        <v/>
      </c>
      <c r="I2930" t="inlineStr"/>
    </row>
    <row r="2931">
      <c r="A2931" t="inlineStr">
        <is>
          <t>Cosmetics, dyes &amp; other chemicals</t>
        </is>
      </c>
      <c r="B2931" t="inlineStr">
        <is>
          <t>34</t>
        </is>
      </c>
      <c r="C2931" t="inlineStr">
        <is>
          <t>34024200</t>
        </is>
      </c>
      <c r="D2931" t="inlineStr">
        <is>
          <t>NON-IONIC (OTHER ORGANIC SURFACE ACTIVE AGENTS, W/N PUT UP FOR RETAIL SALE)</t>
        </is>
      </c>
      <c r="E2931" s="3" t="n">
        <v>2.5</v>
      </c>
      <c r="F2931" s="3" t="n">
        <v>5.78</v>
      </c>
      <c r="G2931" s="3">
        <f>F2931-E2931</f>
        <v/>
      </c>
      <c r="H2931" s="4">
        <f>IF(E2931=0,"",F2931/E2931-1)</f>
        <v/>
      </c>
      <c r="I2931" t="inlineStr"/>
    </row>
    <row r="2932">
      <c r="A2932" t="inlineStr">
        <is>
          <t>Cosmetics, dyes &amp; other chemicals</t>
        </is>
      </c>
      <c r="B2932" t="inlineStr">
        <is>
          <t>33</t>
        </is>
      </c>
      <c r="C2932" t="inlineStr">
        <is>
          <t>33021010</t>
        </is>
      </c>
      <c r="D2932" t="inlineStr">
        <is>
          <t>*SYNTHETIC FLAVOURING ESSENCES</t>
        </is>
      </c>
      <c r="E2932" s="3" t="n">
        <v>4.31</v>
      </c>
      <c r="F2932" s="3" t="n">
        <v>5.42</v>
      </c>
      <c r="G2932" s="3">
        <f>F2932-E2932</f>
        <v/>
      </c>
      <c r="H2932" s="4">
        <f>IF(E2932=0,"",F2932/E2932-1)</f>
        <v/>
      </c>
      <c r="I2932" t="inlineStr"/>
    </row>
    <row r="2933">
      <c r="A2933" t="inlineStr">
        <is>
          <t>Cosmetics, dyes &amp; other chemicals</t>
        </is>
      </c>
      <c r="B2933" t="inlineStr">
        <is>
          <t>32</t>
        </is>
      </c>
      <c r="C2933" t="inlineStr">
        <is>
          <t>32071090</t>
        </is>
      </c>
      <c r="D2933" t="inlineStr">
        <is>
          <t>OTHER PREPRD PIGMNT OPACIFIER COLRS, SIMILAR PREPARATIONS.</t>
        </is>
      </c>
      <c r="E2933" s="3" t="n">
        <v>9.6</v>
      </c>
      <c r="F2933" s="3" t="n">
        <v>4.87</v>
      </c>
      <c r="G2933" s="3">
        <f>F2933-E2933</f>
        <v/>
      </c>
      <c r="H2933" s="4">
        <f>IF(E2933=0,"",F2933/E2933-1)</f>
        <v/>
      </c>
      <c r="I2933" t="inlineStr"/>
    </row>
    <row r="2934">
      <c r="A2934" t="inlineStr">
        <is>
          <t>Cosmetics, dyes &amp; other chemicals</t>
        </is>
      </c>
      <c r="B2934" t="inlineStr">
        <is>
          <t>38</t>
        </is>
      </c>
      <c r="C2934" t="inlineStr">
        <is>
          <t>38151900</t>
        </is>
      </c>
      <c r="D2934" t="inlineStr">
        <is>
          <t>OTHER SUPPORTED CATALYSTS</t>
        </is>
      </c>
      <c r="E2934" s="3" t="n">
        <v>0</v>
      </c>
      <c r="F2934" s="3" t="n">
        <v>4.68</v>
      </c>
      <c r="G2934" s="3">
        <f>F2934-E2934</f>
        <v/>
      </c>
      <c r="H2934" s="4">
        <f>IF(E2934=0,"",F2934/E2934-1)</f>
        <v/>
      </c>
      <c r="I2934" t="inlineStr"/>
    </row>
    <row r="2935">
      <c r="A2935" t="inlineStr">
        <is>
          <t>Cosmetics, dyes &amp; other chemicals</t>
        </is>
      </c>
      <c r="B2935" t="inlineStr">
        <is>
          <t>34</t>
        </is>
      </c>
      <c r="C2935" t="inlineStr">
        <is>
          <t>34023900</t>
        </is>
      </c>
      <c r="D2935" t="inlineStr">
        <is>
          <t>OTHERS-OF-OTHERS-OF-ORGNC SURFACE-ACTV AGENTS(OTHR THN SOAP)OTHR WASHING PRPNS W/N CNTNG SOAP OTHER THAN THOSE OF HEADING NO 3</t>
        </is>
      </c>
      <c r="E2935" s="3" t="n">
        <v>2.52</v>
      </c>
      <c r="F2935" s="3" t="n">
        <v>4.57</v>
      </c>
      <c r="G2935" s="3">
        <f>F2935-E2935</f>
        <v/>
      </c>
      <c r="H2935" s="4">
        <f>IF(E2935=0,"",F2935/E2935-1)</f>
        <v/>
      </c>
      <c r="I2935" t="inlineStr"/>
    </row>
    <row r="2936">
      <c r="A2936" t="inlineStr">
        <is>
          <t>Cosmetics, dyes &amp; other chemicals</t>
        </is>
      </c>
      <c r="B2936" t="inlineStr">
        <is>
          <t>34</t>
        </is>
      </c>
      <c r="C2936" t="inlineStr">
        <is>
          <t>34039900</t>
        </is>
      </c>
      <c r="D2936" t="inlineStr">
        <is>
          <t>OTHER LUBRICTNG PREPARATIONS</t>
        </is>
      </c>
      <c r="E2936" s="3" t="n">
        <v>4.29</v>
      </c>
      <c r="F2936" s="3" t="n">
        <v>4.54</v>
      </c>
      <c r="G2936" s="3">
        <f>F2936-E2936</f>
        <v/>
      </c>
      <c r="H2936" s="4">
        <f>IF(E2936=0,"",F2936/E2936-1)</f>
        <v/>
      </c>
      <c r="I2936" t="inlineStr"/>
    </row>
    <row r="2937">
      <c r="A2937" t="inlineStr">
        <is>
          <t>Cosmetics, dyes &amp; other chemicals</t>
        </is>
      </c>
      <c r="B2937" t="inlineStr">
        <is>
          <t>38</t>
        </is>
      </c>
      <c r="C2937" t="inlineStr">
        <is>
          <t>38059090</t>
        </is>
      </c>
      <c r="D2937" t="inlineStr">
        <is>
          <t>OTHER (CRUDE DIPENTINE ETC) NES</t>
        </is>
      </c>
      <c r="E2937" s="3" t="n">
        <v>2.87</v>
      </c>
      <c r="F2937" s="3" t="n">
        <v>4.48</v>
      </c>
      <c r="G2937" s="3">
        <f>F2937-E2937</f>
        <v/>
      </c>
      <c r="H2937" s="4">
        <f>IF(E2937=0,"",F2937/E2937-1)</f>
        <v/>
      </c>
      <c r="I2937" t="inlineStr"/>
    </row>
    <row r="2938">
      <c r="A2938" t="inlineStr">
        <is>
          <t>Cosmetics, dyes &amp; other chemicals</t>
        </is>
      </c>
      <c r="B2938" t="inlineStr">
        <is>
          <t>38</t>
        </is>
      </c>
      <c r="C2938" t="inlineStr">
        <is>
          <t>38241000</t>
        </is>
      </c>
      <c r="D2938" t="inlineStr">
        <is>
          <t>PRPD BINDERS FR FOUNDRY MOULDS/CORES</t>
        </is>
      </c>
      <c r="E2938" s="3" t="n">
        <v>5.16</v>
      </c>
      <c r="F2938" s="3" t="n">
        <v>4.43</v>
      </c>
      <c r="G2938" s="3">
        <f>F2938-E2938</f>
        <v/>
      </c>
      <c r="H2938" s="4">
        <f>IF(E2938=0,"",F2938/E2938-1)</f>
        <v/>
      </c>
      <c r="I2938" t="inlineStr"/>
    </row>
    <row r="2939">
      <c r="A2939" t="inlineStr">
        <is>
          <t>Cosmetics, dyes &amp; other chemicals</t>
        </is>
      </c>
      <c r="B2939" t="inlineStr">
        <is>
          <t>33</t>
        </is>
      </c>
      <c r="C2939" t="inlineStr">
        <is>
          <t>33051090</t>
        </is>
      </c>
      <c r="D2939" t="inlineStr">
        <is>
          <t>HAIR SHAMPOOS (NON-SPIRITUOUS)</t>
        </is>
      </c>
      <c r="E2939" s="3" t="n">
        <v>1.75</v>
      </c>
      <c r="F2939" s="3" t="n">
        <v>4.3</v>
      </c>
      <c r="G2939" s="3">
        <f>F2939-E2939</f>
        <v/>
      </c>
      <c r="H2939" s="4">
        <f>IF(E2939=0,"",F2939/E2939-1)</f>
        <v/>
      </c>
      <c r="I2939" t="inlineStr"/>
    </row>
    <row r="2940">
      <c r="A2940" t="inlineStr">
        <is>
          <t>Cosmetics, dyes &amp; other chemicals</t>
        </is>
      </c>
      <c r="B2940" t="inlineStr">
        <is>
          <t>35</t>
        </is>
      </c>
      <c r="C2940" t="inlineStr">
        <is>
          <t>35069190</t>
        </is>
      </c>
      <c r="D2940" t="inlineStr">
        <is>
          <t>OTHER ADHESIVES BASED ON POLYMERS OF HDING3901 TO 3913 OR ON RUBBER:</t>
        </is>
      </c>
      <c r="E2940" s="3" t="n">
        <v>3.62</v>
      </c>
      <c r="F2940" s="3" t="n">
        <v>4.06</v>
      </c>
      <c r="G2940" s="3">
        <f>F2940-E2940</f>
        <v/>
      </c>
      <c r="H2940" s="4">
        <f>IF(E2940=0,"",F2940/E2940-1)</f>
        <v/>
      </c>
      <c r="I2940" t="inlineStr"/>
    </row>
    <row r="2941">
      <c r="A2941" t="inlineStr">
        <is>
          <t>Cosmetics, dyes &amp; other chemicals</t>
        </is>
      </c>
      <c r="B2941" t="inlineStr">
        <is>
          <t>38</t>
        </is>
      </c>
      <c r="C2941" t="inlineStr">
        <is>
          <t>38089990</t>
        </is>
      </c>
      <c r="D2941" t="inlineStr">
        <is>
          <t>*OTHER SIMILAR PRODUCTS N.E.S.</t>
        </is>
      </c>
      <c r="E2941" s="3" t="n">
        <v>1.3</v>
      </c>
      <c r="F2941" s="3" t="n">
        <v>3.5</v>
      </c>
      <c r="G2941" s="3">
        <f>F2941-E2941</f>
        <v/>
      </c>
      <c r="H2941" s="4">
        <f>IF(E2941=0,"",F2941/E2941-1)</f>
        <v/>
      </c>
      <c r="I2941" t="inlineStr"/>
    </row>
    <row r="2942">
      <c r="A2942" t="inlineStr">
        <is>
          <t>Cosmetics, dyes &amp; other chemicals</t>
        </is>
      </c>
      <c r="B2942" t="inlineStr">
        <is>
          <t>34</t>
        </is>
      </c>
      <c r="C2942" t="inlineStr">
        <is>
          <t>34029099</t>
        </is>
      </c>
      <c r="D2942" t="inlineStr">
        <is>
          <t>OTHER (OTHER PREPARATIONS) NES</t>
        </is>
      </c>
      <c r="E2942" s="3" t="n">
        <v>3.89</v>
      </c>
      <c r="F2942" s="3" t="n">
        <v>3.29</v>
      </c>
      <c r="G2942" s="3">
        <f>F2942-E2942</f>
        <v/>
      </c>
      <c r="H2942" s="4">
        <f>IF(E2942=0,"",F2942/E2942-1)</f>
        <v/>
      </c>
      <c r="I2942" t="inlineStr"/>
    </row>
    <row r="2943">
      <c r="A2943" t="inlineStr">
        <is>
          <t>Cosmetics, dyes &amp; other chemicals</t>
        </is>
      </c>
      <c r="B2943" t="inlineStr">
        <is>
          <t>38</t>
        </is>
      </c>
      <c r="C2943" t="inlineStr">
        <is>
          <t>38019000</t>
        </is>
      </c>
      <c r="D2943" t="inlineStr">
        <is>
          <t>OTHER (GRAPHITE BASED PREPARATIONS)</t>
        </is>
      </c>
      <c r="E2943" s="3" t="n">
        <v>2.04</v>
      </c>
      <c r="F2943" s="3" t="n">
        <v>3.24</v>
      </c>
      <c r="G2943" s="3">
        <f>F2943-E2943</f>
        <v/>
      </c>
      <c r="H2943" s="4">
        <f>IF(E2943=0,"",F2943/E2943-1)</f>
        <v/>
      </c>
      <c r="I2943" t="inlineStr"/>
    </row>
    <row r="2944">
      <c r="A2944" t="inlineStr">
        <is>
          <t>Cosmetics, dyes &amp; other chemicals</t>
        </is>
      </c>
      <c r="B2944" t="inlineStr">
        <is>
          <t>34</t>
        </is>
      </c>
      <c r="C2944" t="inlineStr">
        <is>
          <t>34011110</t>
        </is>
      </c>
      <c r="D2944" t="inlineStr">
        <is>
          <t>MEDICATED SOAPS</t>
        </is>
      </c>
      <c r="E2944" s="3" t="n">
        <v>3.82</v>
      </c>
      <c r="F2944" s="3" t="n">
        <v>3.22</v>
      </c>
      <c r="G2944" s="3">
        <f>F2944-E2944</f>
        <v/>
      </c>
      <c r="H2944" s="4">
        <f>IF(E2944=0,"",F2944/E2944-1)</f>
        <v/>
      </c>
      <c r="I2944" t="inlineStr"/>
    </row>
    <row r="2945">
      <c r="A2945" t="inlineStr">
        <is>
          <t>Cosmetics, dyes &amp; other chemicals</t>
        </is>
      </c>
      <c r="B2945" t="inlineStr">
        <is>
          <t>33</t>
        </is>
      </c>
      <c r="C2945" t="inlineStr">
        <is>
          <t>33030040</t>
        </is>
      </c>
      <c r="D2945" t="inlineStr">
        <is>
          <t>PERFUMES AND PERFUMERY COMPOUNDS (EXCL AQS DSTLTS) NOT FOR RTL SALE</t>
        </is>
      </c>
      <c r="E2945" s="3" t="n">
        <v>3.76</v>
      </c>
      <c r="F2945" s="3" t="n">
        <v>3.1</v>
      </c>
      <c r="G2945" s="3">
        <f>F2945-E2945</f>
        <v/>
      </c>
      <c r="H2945" s="4">
        <f>IF(E2945=0,"",F2945/E2945-1)</f>
        <v/>
      </c>
      <c r="I2945" t="inlineStr"/>
    </row>
    <row r="2946">
      <c r="A2946" t="inlineStr">
        <is>
          <t>Cosmetics, dyes &amp; other chemicals</t>
        </is>
      </c>
      <c r="B2946" t="inlineStr">
        <is>
          <t>32</t>
        </is>
      </c>
      <c r="C2946" t="inlineStr">
        <is>
          <t>32151910</t>
        </is>
      </c>
      <c r="D2946" t="inlineStr">
        <is>
          <t>OTHER LITHOGRAPHIC INK AND JELLY</t>
        </is>
      </c>
      <c r="E2946" s="3" t="n">
        <v>2.15</v>
      </c>
      <c r="F2946" s="3" t="n">
        <v>3.04</v>
      </c>
      <c r="G2946" s="3">
        <f>F2946-E2946</f>
        <v/>
      </c>
      <c r="H2946" s="4">
        <f>IF(E2946=0,"",F2946/E2946-1)</f>
        <v/>
      </c>
      <c r="I2946" t="inlineStr"/>
    </row>
    <row r="2947">
      <c r="A2947" t="inlineStr">
        <is>
          <t>Cosmetics, dyes &amp; other chemicals</t>
        </is>
      </c>
      <c r="B2947" t="inlineStr">
        <is>
          <t>38</t>
        </is>
      </c>
      <c r="C2947" t="inlineStr">
        <is>
          <t>38130000</t>
        </is>
      </c>
      <c r="D2947" t="inlineStr">
        <is>
          <t>*PRPNS AND CHARGES FOR FIRE EXTINGUISHERS CHARGED FIRE-EXTINGUISHING GRENADES</t>
        </is>
      </c>
      <c r="E2947" s="3" t="n">
        <v>4.17</v>
      </c>
      <c r="F2947" s="3" t="n">
        <v>2.98</v>
      </c>
      <c r="G2947" s="3">
        <f>F2947-E2947</f>
        <v/>
      </c>
      <c r="H2947" s="4">
        <f>IF(E2947=0,"",F2947/E2947-1)</f>
        <v/>
      </c>
      <c r="I2947" t="inlineStr"/>
    </row>
    <row r="2948">
      <c r="A2948" t="inlineStr">
        <is>
          <t>Cosmetics, dyes &amp; other chemicals</t>
        </is>
      </c>
      <c r="B2948" t="inlineStr">
        <is>
          <t>38</t>
        </is>
      </c>
      <c r="C2948" t="inlineStr">
        <is>
          <t>38021000</t>
        </is>
      </c>
      <c r="D2948" t="inlineStr">
        <is>
          <t>ACTIVATED CARBON</t>
        </is>
      </c>
      <c r="E2948" s="3" t="n">
        <v>3.95</v>
      </c>
      <c r="F2948" s="3" t="n">
        <v>2.93</v>
      </c>
      <c r="G2948" s="3">
        <f>F2948-E2948</f>
        <v/>
      </c>
      <c r="H2948" s="4">
        <f>IF(E2948=0,"",F2948/E2948-1)</f>
        <v/>
      </c>
      <c r="I2948" t="inlineStr"/>
    </row>
    <row r="2949">
      <c r="A2949" t="inlineStr">
        <is>
          <t>Cosmetics, dyes &amp; other chemicals</t>
        </is>
      </c>
      <c r="B2949" t="inlineStr">
        <is>
          <t>36</t>
        </is>
      </c>
      <c r="C2949" t="inlineStr">
        <is>
          <t>36032000</t>
        </is>
      </c>
      <c r="D2949" t="inlineStr">
        <is>
          <t>DETONATING CORDS</t>
        </is>
      </c>
      <c r="E2949" s="3" t="n">
        <v>5.5</v>
      </c>
      <c r="F2949" s="3" t="n">
        <v>2.84</v>
      </c>
      <c r="G2949" s="3">
        <f>F2949-E2949</f>
        <v/>
      </c>
      <c r="H2949" s="4">
        <f>IF(E2949=0,"",F2949/E2949-1)</f>
        <v/>
      </c>
      <c r="I2949" t="inlineStr"/>
    </row>
    <row r="2950">
      <c r="A2950" t="inlineStr">
        <is>
          <t>Cosmetics, dyes &amp; other chemicals</t>
        </is>
      </c>
      <c r="B2950" t="inlineStr">
        <is>
          <t>33</t>
        </is>
      </c>
      <c r="C2950" t="inlineStr">
        <is>
          <t>33059030</t>
        </is>
      </c>
      <c r="D2950" t="inlineStr">
        <is>
          <t>HAIR CREAM</t>
        </is>
      </c>
      <c r="E2950" s="3" t="n">
        <v>3.09</v>
      </c>
      <c r="F2950" s="3" t="n">
        <v>2.8</v>
      </c>
      <c r="G2950" s="3">
        <f>F2950-E2950</f>
        <v/>
      </c>
      <c r="H2950" s="4">
        <f>IF(E2950=0,"",F2950/E2950-1)</f>
        <v/>
      </c>
      <c r="I2950" t="inlineStr"/>
    </row>
    <row r="2951">
      <c r="A2951" t="inlineStr">
        <is>
          <t>Cosmetics, dyes &amp; other chemicals</t>
        </is>
      </c>
      <c r="B2951" t="inlineStr">
        <is>
          <t>33</t>
        </is>
      </c>
      <c r="C2951" t="inlineStr">
        <is>
          <t>33074100</t>
        </is>
      </c>
      <c r="D2951" t="inlineStr">
        <is>
          <t>AGARBATTI AND OTHR ODORIFEROUS PRPNS WHICHOPERATE BY BURNIN</t>
        </is>
      </c>
      <c r="E2951" s="3" t="n">
        <v>2.59</v>
      </c>
      <c r="F2951" s="3" t="n">
        <v>2.77</v>
      </c>
      <c r="G2951" s="3">
        <f>F2951-E2951</f>
        <v/>
      </c>
      <c r="H2951" s="4">
        <f>IF(E2951=0,"",F2951/E2951-1)</f>
        <v/>
      </c>
      <c r="I2951" t="inlineStr"/>
    </row>
    <row r="2952">
      <c r="A2952" t="inlineStr">
        <is>
          <t>Cosmetics, dyes &amp; other chemicals</t>
        </is>
      </c>
      <c r="B2952" t="inlineStr">
        <is>
          <t>38</t>
        </is>
      </c>
      <c r="C2952" t="inlineStr">
        <is>
          <t>38229090</t>
        </is>
      </c>
      <c r="D2952" t="inlineStr">
        <is>
          <t>OTHERS-OF-OTHERS-OF-DIAG./LAB REAGNT ON A BCKNG,PRPRD DIAG./LAB REAGNTS WH/NOT ON BACKNG ,WHTR OR NT IN THE FORM OFKIT EXCL HD</t>
        </is>
      </c>
      <c r="E2952" s="3" t="n">
        <v>2.23</v>
      </c>
      <c r="F2952" s="3" t="n">
        <v>2.74</v>
      </c>
      <c r="G2952" s="3">
        <f>F2952-E2952</f>
        <v/>
      </c>
      <c r="H2952" s="4">
        <f>IF(E2952=0,"",F2952/E2952-1)</f>
        <v/>
      </c>
      <c r="I2952" t="inlineStr"/>
    </row>
    <row r="2953">
      <c r="A2953" t="inlineStr">
        <is>
          <t>Cosmetics, dyes &amp; other chemicals</t>
        </is>
      </c>
      <c r="B2953" t="inlineStr">
        <is>
          <t>33</t>
        </is>
      </c>
      <c r="C2953" t="inlineStr">
        <is>
          <t>33061020</t>
        </is>
      </c>
      <c r="D2953" t="inlineStr">
        <is>
          <t>TOOTH PASTE</t>
        </is>
      </c>
      <c r="E2953" s="3" t="n">
        <v>2.53</v>
      </c>
      <c r="F2953" s="3" t="n">
        <v>2.65</v>
      </c>
      <c r="G2953" s="3">
        <f>F2953-E2953</f>
        <v/>
      </c>
      <c r="H2953" s="4">
        <f>IF(E2953=0,"",F2953/E2953-1)</f>
        <v/>
      </c>
      <c r="I2953" t="inlineStr"/>
    </row>
    <row r="2954">
      <c r="A2954" t="inlineStr">
        <is>
          <t>Cosmetics, dyes &amp; other chemicals</t>
        </is>
      </c>
      <c r="B2954" t="inlineStr">
        <is>
          <t>34</t>
        </is>
      </c>
      <c r="C2954" t="inlineStr">
        <is>
          <t>34049020</t>
        </is>
      </c>
      <c r="D2954" t="inlineStr">
        <is>
          <t>POLYETHYLENE WAX</t>
        </is>
      </c>
      <c r="E2954" s="3" t="n">
        <v>2.3</v>
      </c>
      <c r="F2954" s="3" t="n">
        <v>2.59</v>
      </c>
      <c r="G2954" s="3">
        <f>F2954-E2954</f>
        <v/>
      </c>
      <c r="H2954" s="4">
        <f>IF(E2954=0,"",F2954/E2954-1)</f>
        <v/>
      </c>
      <c r="I2954" t="inlineStr"/>
    </row>
    <row r="2955">
      <c r="A2955" t="inlineStr">
        <is>
          <t>Cosmetics, dyes &amp; other chemicals</t>
        </is>
      </c>
      <c r="B2955" t="inlineStr">
        <is>
          <t>33</t>
        </is>
      </c>
      <c r="C2955" t="inlineStr">
        <is>
          <t>33059019</t>
        </is>
      </c>
      <c r="D2955" t="inlineStr">
        <is>
          <t>OTHER HAIR OIL</t>
        </is>
      </c>
      <c r="E2955" s="3" t="n">
        <v>2.18</v>
      </c>
      <c r="F2955" s="3" t="n">
        <v>2.58</v>
      </c>
      <c r="G2955" s="3">
        <f>F2955-E2955</f>
        <v/>
      </c>
      <c r="H2955" s="4">
        <f>IF(E2955=0,"",F2955/E2955-1)</f>
        <v/>
      </c>
      <c r="I2955" t="inlineStr"/>
    </row>
    <row r="2956">
      <c r="A2956" t="inlineStr">
        <is>
          <t>Cosmetics, dyes &amp; other chemicals</t>
        </is>
      </c>
      <c r="B2956" t="inlineStr">
        <is>
          <t>38</t>
        </is>
      </c>
      <c r="C2956" t="inlineStr">
        <is>
          <t>38099190</t>
        </is>
      </c>
      <c r="D2956" t="inlineStr">
        <is>
          <t>OTHR FINISH AGENTS USED IN TXTILE INDUSTRY</t>
        </is>
      </c>
      <c r="E2956" s="3" t="n">
        <v>3.41</v>
      </c>
      <c r="F2956" s="3" t="n">
        <v>2.55</v>
      </c>
      <c r="G2956" s="3">
        <f>F2956-E2956</f>
        <v/>
      </c>
      <c r="H2956" s="4">
        <f>IF(E2956=0,"",F2956/E2956-1)</f>
        <v/>
      </c>
      <c r="I2956" t="inlineStr"/>
    </row>
    <row r="2957">
      <c r="A2957" t="inlineStr">
        <is>
          <t>Cosmetics, dyes &amp; other chemicals</t>
        </is>
      </c>
      <c r="B2957" t="inlineStr">
        <is>
          <t>38</t>
        </is>
      </c>
      <c r="C2957" t="inlineStr">
        <is>
          <t>38109090</t>
        </is>
      </c>
      <c r="D2957" t="inlineStr">
        <is>
          <t>OTHERS-OF-FLUXESANDOTHR AXLRY PRPN FR SLDRNG,BRAZING/ WLDNG;PRPN USD AS CORES/COTNGS FR WLDNG</t>
        </is>
      </c>
      <c r="E2957" s="3" t="n">
        <v>1.75</v>
      </c>
      <c r="F2957" s="3" t="n">
        <v>2.43</v>
      </c>
      <c r="G2957" s="3">
        <f>F2957-E2957</f>
        <v/>
      </c>
      <c r="H2957" s="4">
        <f>IF(E2957=0,"",F2957/E2957-1)</f>
        <v/>
      </c>
      <c r="I2957" t="inlineStr"/>
    </row>
    <row r="2958">
      <c r="A2958" t="inlineStr">
        <is>
          <t>Cosmetics, dyes &amp; other chemicals</t>
        </is>
      </c>
      <c r="B2958" t="inlineStr">
        <is>
          <t>36</t>
        </is>
      </c>
      <c r="C2958" t="inlineStr">
        <is>
          <t>36050010</t>
        </is>
      </c>
      <c r="D2958" t="inlineStr">
        <is>
          <t>MATCHES SAFETY</t>
        </is>
      </c>
      <c r="E2958" s="3" t="n">
        <v>3.28</v>
      </c>
      <c r="F2958" s="3" t="n">
        <v>2.31</v>
      </c>
      <c r="G2958" s="3">
        <f>F2958-E2958</f>
        <v/>
      </c>
      <c r="H2958" s="4">
        <f>IF(E2958=0,"",F2958/E2958-1)</f>
        <v/>
      </c>
      <c r="I2958" t="inlineStr"/>
    </row>
    <row r="2959">
      <c r="A2959" t="inlineStr">
        <is>
          <t>Cosmetics, dyes &amp; other chemicals</t>
        </is>
      </c>
      <c r="B2959" t="inlineStr">
        <is>
          <t>33</t>
        </is>
      </c>
      <c r="C2959" t="inlineStr">
        <is>
          <t>33021090</t>
        </is>
      </c>
      <c r="D2959" t="inlineStr">
        <is>
          <t>*OTHER MXTR OF ODORFRS SBSTNS OF A KIND USDKIND USD IN FOOD/DRINK INDUSTRIES</t>
        </is>
      </c>
      <c r="E2959" s="3" t="n">
        <v>0.93</v>
      </c>
      <c r="F2959" s="3" t="n">
        <v>2.21</v>
      </c>
      <c r="G2959" s="3">
        <f>F2959-E2959</f>
        <v/>
      </c>
      <c r="H2959" s="4">
        <f>IF(E2959=0,"",F2959/E2959-1)</f>
        <v/>
      </c>
      <c r="I2959" t="inlineStr"/>
    </row>
    <row r="2960">
      <c r="A2960" t="inlineStr">
        <is>
          <t>Cosmetics, dyes &amp; other chemicals</t>
        </is>
      </c>
      <c r="B2960" t="inlineStr">
        <is>
          <t>33</t>
        </is>
      </c>
      <c r="C2960" t="inlineStr">
        <is>
          <t>33049120</t>
        </is>
      </c>
      <c r="D2960" t="inlineStr">
        <is>
          <t>POWDER TALCUM</t>
        </is>
      </c>
      <c r="E2960" s="3" t="n">
        <v>1.05</v>
      </c>
      <c r="F2960" s="3" t="n">
        <v>2.21</v>
      </c>
      <c r="G2960" s="3">
        <f>F2960-E2960</f>
        <v/>
      </c>
      <c r="H2960" s="4">
        <f>IF(E2960=0,"",F2960/E2960-1)</f>
        <v/>
      </c>
      <c r="I2960" t="inlineStr"/>
    </row>
    <row r="2961">
      <c r="A2961" t="inlineStr">
        <is>
          <t>Cosmetics, dyes &amp; other chemicals</t>
        </is>
      </c>
      <c r="B2961" t="inlineStr">
        <is>
          <t>36</t>
        </is>
      </c>
      <c r="C2961" t="inlineStr">
        <is>
          <t>36034000</t>
        </is>
      </c>
      <c r="D2961" t="inlineStr">
        <is>
          <t>DETONATING CAPS</t>
        </is>
      </c>
      <c r="E2961" s="3" t="n">
        <v>10.5</v>
      </c>
      <c r="F2961" s="3" t="n">
        <v>2.16</v>
      </c>
      <c r="G2961" s="3">
        <f>F2961-E2961</f>
        <v/>
      </c>
      <c r="H2961" s="4">
        <f>IF(E2961=0,"",F2961/E2961-1)</f>
        <v/>
      </c>
      <c r="I2961" t="inlineStr"/>
    </row>
    <row r="2962">
      <c r="A2962" t="inlineStr">
        <is>
          <t>Cosmetics, dyes &amp; other chemicals</t>
        </is>
      </c>
      <c r="B2962" t="inlineStr">
        <is>
          <t>35</t>
        </is>
      </c>
      <c r="C2962" t="inlineStr">
        <is>
          <t>35069110</t>
        </is>
      </c>
      <c r="D2962" t="inlineStr">
        <is>
          <t>BASED ON LATEX, PHENOL FORMALDEHYDE (PF), UREA FORMALDEHYDE (UF) AND POLYVINYL</t>
        </is>
      </c>
      <c r="E2962" s="3" t="n">
        <v>2.7</v>
      </c>
      <c r="F2962" s="3" t="n">
        <v>2.14</v>
      </c>
      <c r="G2962" s="3">
        <f>F2962-E2962</f>
        <v/>
      </c>
      <c r="H2962" s="4">
        <f>IF(E2962=0,"",F2962/E2962-1)</f>
        <v/>
      </c>
      <c r="I2962" t="inlineStr"/>
    </row>
    <row r="2963">
      <c r="A2963" t="inlineStr">
        <is>
          <t>Cosmetics, dyes &amp; other chemicals</t>
        </is>
      </c>
      <c r="B2963" t="inlineStr">
        <is>
          <t>38</t>
        </is>
      </c>
      <c r="C2963" t="inlineStr">
        <is>
          <t>38011000</t>
        </is>
      </c>
      <c r="D2963" t="inlineStr">
        <is>
          <t>ARTIFICIAL GRAPHITE</t>
        </is>
      </c>
      <c r="E2963" s="3" t="n">
        <v>2.62</v>
      </c>
      <c r="F2963" s="3" t="n">
        <v>2.01</v>
      </c>
      <c r="G2963" s="3">
        <f>F2963-E2963</f>
        <v/>
      </c>
      <c r="H2963" s="4">
        <f>IF(E2963=0,"",F2963/E2963-1)</f>
        <v/>
      </c>
      <c r="I2963" t="inlineStr"/>
    </row>
    <row r="2964">
      <c r="A2964" t="inlineStr">
        <is>
          <t>Cosmetics, dyes &amp; other chemicals</t>
        </is>
      </c>
      <c r="B2964" t="inlineStr">
        <is>
          <t>33</t>
        </is>
      </c>
      <c r="C2964" t="inlineStr">
        <is>
          <t>33059040</t>
        </is>
      </c>
      <c r="D2964" t="inlineStr">
        <is>
          <t>HAIR DYES ( NATURAL,HERBAL 0R SYNTHETIC )</t>
        </is>
      </c>
      <c r="E2964" s="3" t="n">
        <v>2.59</v>
      </c>
      <c r="F2964" s="3" t="n">
        <v>1.82</v>
      </c>
      <c r="G2964" s="3">
        <f>F2964-E2964</f>
        <v/>
      </c>
      <c r="H2964" s="4">
        <f>IF(E2964=0,"",F2964/E2964-1)</f>
        <v/>
      </c>
      <c r="I2964" t="inlineStr"/>
    </row>
    <row r="2965">
      <c r="A2965" t="inlineStr">
        <is>
          <t>Cosmetics, dyes &amp; other chemicals</t>
        </is>
      </c>
      <c r="B2965" t="inlineStr">
        <is>
          <t>33</t>
        </is>
      </c>
      <c r="C2965" t="inlineStr">
        <is>
          <t>33019029</t>
        </is>
      </c>
      <c r="D2965" t="inlineStr">
        <is>
          <t>OLEORESINES OF SPICES N.E.S.,</t>
        </is>
      </c>
      <c r="E2965" s="3" t="n">
        <v>1.65</v>
      </c>
      <c r="F2965" s="3" t="n">
        <v>1.81</v>
      </c>
      <c r="G2965" s="3">
        <f>F2965-E2965</f>
        <v/>
      </c>
      <c r="H2965" s="4">
        <f>IF(E2965=0,"",F2965/E2965-1)</f>
        <v/>
      </c>
      <c r="I2965" t="inlineStr"/>
    </row>
    <row r="2966">
      <c r="A2966" t="inlineStr">
        <is>
          <t>Cosmetics, dyes &amp; other chemicals</t>
        </is>
      </c>
      <c r="B2966" t="inlineStr">
        <is>
          <t>32</t>
        </is>
      </c>
      <c r="C2966" t="inlineStr">
        <is>
          <t>32061900</t>
        </is>
      </c>
      <c r="D2966" t="inlineStr">
        <is>
          <t>OTHR CLRNG MATR CNTNG &lt;80% TITNIUM DIOXLDE</t>
        </is>
      </c>
      <c r="E2966" s="3" t="n">
        <v>1.72</v>
      </c>
      <c r="F2966" s="3" t="n">
        <v>1.77</v>
      </c>
      <c r="G2966" s="3">
        <f>F2966-E2966</f>
        <v/>
      </c>
      <c r="H2966" s="4">
        <f>IF(E2966=0,"",F2966/E2966-1)</f>
        <v/>
      </c>
      <c r="I2966" t="inlineStr"/>
    </row>
    <row r="2967">
      <c r="A2967" t="inlineStr">
        <is>
          <t>Cosmetics, dyes &amp; other chemicals</t>
        </is>
      </c>
      <c r="B2967" t="inlineStr">
        <is>
          <t>38</t>
        </is>
      </c>
      <c r="C2967" t="inlineStr">
        <is>
          <t>38086900</t>
        </is>
      </c>
      <c r="D2967" t="inlineStr">
        <is>
          <t>OTHERS-OF-OTHERS-OF-INSCTCDS,RDNTCDS,FNGCDS,HRBCDS,ANTSPROUTNGPRDCTS AND PLNTGRWTH RGLTRS-DSINFCTNTS ETCIN PCKNGS/AS ARTCLS (S</t>
        </is>
      </c>
      <c r="E2967" s="3" t="n">
        <v>1.22</v>
      </c>
      <c r="F2967" s="3" t="n">
        <v>1.71</v>
      </c>
      <c r="G2967" s="3">
        <f>F2967-E2967</f>
        <v/>
      </c>
      <c r="H2967" s="4">
        <f>IF(E2967=0,"",F2967/E2967-1)</f>
        <v/>
      </c>
      <c r="I2967" t="inlineStr"/>
    </row>
    <row r="2968">
      <c r="A2968" t="inlineStr">
        <is>
          <t>Cosmetics, dyes &amp; other chemicals</t>
        </is>
      </c>
      <c r="B2968" t="inlineStr">
        <is>
          <t>35</t>
        </is>
      </c>
      <c r="C2968" t="inlineStr">
        <is>
          <t>35069999</t>
        </is>
      </c>
      <c r="D2968" t="inlineStr">
        <is>
          <t>OTHR PRPD GLUES AND OTHR ADHSVS NES</t>
        </is>
      </c>
      <c r="E2968" s="3" t="n">
        <v>2.07</v>
      </c>
      <c r="F2968" s="3" t="n">
        <v>1.7</v>
      </c>
      <c r="G2968" s="3">
        <f>F2968-E2968</f>
        <v/>
      </c>
      <c r="H2968" s="4">
        <f>IF(E2968=0,"",F2968/E2968-1)</f>
        <v/>
      </c>
      <c r="I2968" t="inlineStr"/>
    </row>
    <row r="2969">
      <c r="A2969" t="inlineStr">
        <is>
          <t>Cosmetics, dyes &amp; other chemicals</t>
        </is>
      </c>
      <c r="B2969" t="inlineStr">
        <is>
          <t>38</t>
        </is>
      </c>
      <c r="C2969" t="inlineStr">
        <is>
          <t>38245090</t>
        </is>
      </c>
      <c r="D2969" t="inlineStr">
        <is>
          <t>OTHER NON-REFRACTORY MORTARES AND CONCRETES</t>
        </is>
      </c>
      <c r="E2969" s="3" t="n">
        <v>0.3</v>
      </c>
      <c r="F2969" s="3" t="n">
        <v>1.7</v>
      </c>
      <c r="G2969" s="3">
        <f>F2969-E2969</f>
        <v/>
      </c>
      <c r="H2969" s="4">
        <f>IF(E2969=0,"",F2969/E2969-1)</f>
        <v/>
      </c>
      <c r="I2969" t="inlineStr"/>
    </row>
    <row r="2970">
      <c r="A2970" t="inlineStr">
        <is>
          <t>Cosmetics, dyes &amp; other chemicals</t>
        </is>
      </c>
      <c r="B2970" t="inlineStr">
        <is>
          <t>32</t>
        </is>
      </c>
      <c r="C2970" t="inlineStr">
        <is>
          <t>32141000</t>
        </is>
      </c>
      <c r="D2970" t="inlineStr">
        <is>
          <t>GLAZIERS PUTTY, GRFTNG PUTTY RESIN CEMNTS,CAULKNG CMPDS AND OTHR MASTICS;PAINTERS FILLINGS.</t>
        </is>
      </c>
      <c r="E2970" s="3" t="n">
        <v>0.93</v>
      </c>
      <c r="F2970" s="3" t="n">
        <v>1.68</v>
      </c>
      <c r="G2970" s="3">
        <f>F2970-E2970</f>
        <v/>
      </c>
      <c r="H2970" s="4">
        <f>IF(E2970=0,"",F2970/E2970-1)</f>
        <v/>
      </c>
      <c r="I2970" t="inlineStr"/>
    </row>
    <row r="2971">
      <c r="A2971" t="inlineStr">
        <is>
          <t>Cosmetics, dyes &amp; other chemicals</t>
        </is>
      </c>
      <c r="B2971" t="inlineStr">
        <is>
          <t>32</t>
        </is>
      </c>
      <c r="C2971" t="inlineStr">
        <is>
          <t>32089090</t>
        </is>
      </c>
      <c r="D2971" t="inlineStr">
        <is>
          <t>OTHR PAINT VARNSH(INCL ENML AND LACQR) BSD ON SYNTIC PLYMR/CHMLY MDFD NATRL PLYMR NES</t>
        </is>
      </c>
      <c r="E2971" s="3" t="n">
        <v>3.64</v>
      </c>
      <c r="F2971" s="3" t="n">
        <v>1.64</v>
      </c>
      <c r="G2971" s="3">
        <f>F2971-E2971</f>
        <v/>
      </c>
      <c r="H2971" s="4">
        <f>IF(E2971=0,"",F2971/E2971-1)</f>
        <v/>
      </c>
      <c r="I2971" t="inlineStr"/>
    </row>
    <row r="2972">
      <c r="A2972" t="inlineStr">
        <is>
          <t>Cosmetics, dyes &amp; other chemicals</t>
        </is>
      </c>
      <c r="B2972" t="inlineStr">
        <is>
          <t>32</t>
        </is>
      </c>
      <c r="C2972" t="inlineStr">
        <is>
          <t>32072020</t>
        </is>
      </c>
      <c r="D2972" t="inlineStr">
        <is>
          <t>ENGOBS(SLIP) AND SIMLR PRPTNS</t>
        </is>
      </c>
      <c r="E2972" s="3" t="n">
        <v>0.12</v>
      </c>
      <c r="F2972" s="3" t="n">
        <v>1.62</v>
      </c>
      <c r="G2972" s="3">
        <f>F2972-E2972</f>
        <v/>
      </c>
      <c r="H2972" s="4">
        <f>IF(E2972=0,"",F2972/E2972-1)</f>
        <v/>
      </c>
      <c r="I2972" t="inlineStr"/>
    </row>
    <row r="2973">
      <c r="A2973" t="inlineStr">
        <is>
          <t>Cosmetics, dyes &amp; other chemicals</t>
        </is>
      </c>
      <c r="B2973" t="inlineStr">
        <is>
          <t>37</t>
        </is>
      </c>
      <c r="C2973" t="inlineStr">
        <is>
          <t>37011010</t>
        </is>
      </c>
      <c r="D2973" t="inlineStr">
        <is>
          <t>X-RAY FLMS AND PLATS FOR MEDICAL IN FLAT</t>
        </is>
      </c>
      <c r="E2973" s="3" t="n">
        <v>0.82</v>
      </c>
      <c r="F2973" s="3" t="n">
        <v>1.57</v>
      </c>
      <c r="G2973" s="3">
        <f>F2973-E2973</f>
        <v/>
      </c>
      <c r="H2973" s="4">
        <f>IF(E2973=0,"",F2973/E2973-1)</f>
        <v/>
      </c>
      <c r="I2973" t="inlineStr"/>
    </row>
    <row r="2974">
      <c r="A2974" t="inlineStr">
        <is>
          <t>Cosmetics, dyes &amp; other chemicals</t>
        </is>
      </c>
      <c r="B2974" t="inlineStr">
        <is>
          <t>38</t>
        </is>
      </c>
      <c r="C2974" t="inlineStr">
        <is>
          <t>38140010</t>
        </is>
      </c>
      <c r="D2974" t="inlineStr">
        <is>
          <t>*ORGANIC COMPOSITE SOLVENTS AND THINNERS NES</t>
        </is>
      </c>
      <c r="E2974" s="3" t="n">
        <v>2.37</v>
      </c>
      <c r="F2974" s="3" t="n">
        <v>1.52</v>
      </c>
      <c r="G2974" s="3">
        <f>F2974-E2974</f>
        <v/>
      </c>
      <c r="H2974" s="4">
        <f>IF(E2974=0,"",F2974/E2974-1)</f>
        <v/>
      </c>
      <c r="I2974" t="inlineStr"/>
    </row>
    <row r="2975">
      <c r="A2975" t="inlineStr">
        <is>
          <t>Cosmetics, dyes &amp; other chemicals</t>
        </is>
      </c>
      <c r="B2975" t="inlineStr">
        <is>
          <t>32</t>
        </is>
      </c>
      <c r="C2975" t="inlineStr">
        <is>
          <t>32061110</t>
        </is>
      </c>
      <c r="D2975" t="inlineStr">
        <is>
          <t>PEARSLNT PIGMNT (TITANIUM DIOXDE COTD MICANNEOUS AND LUSTRE PRL PGMNT)</t>
        </is>
      </c>
      <c r="E2975" s="3" t="n">
        <v>1.84</v>
      </c>
      <c r="F2975" s="3" t="n">
        <v>1.5</v>
      </c>
      <c r="G2975" s="3">
        <f>F2975-E2975</f>
        <v/>
      </c>
      <c r="H2975" s="4">
        <f>IF(E2975=0,"",F2975/E2975-1)</f>
        <v/>
      </c>
      <c r="I2975" t="inlineStr"/>
    </row>
    <row r="2976">
      <c r="A2976" t="inlineStr">
        <is>
          <t>Cosmetics, dyes &amp; other chemicals</t>
        </is>
      </c>
      <c r="B2976" t="inlineStr">
        <is>
          <t>33</t>
        </is>
      </c>
      <c r="C2976" t="inlineStr">
        <is>
          <t>33019031</t>
        </is>
      </c>
      <c r="D2976" t="inlineStr">
        <is>
          <t>ATTARS OF ALL KINDS IN FIXED OIL BASE</t>
        </is>
      </c>
      <c r="E2976" s="3" t="n">
        <v>0.62</v>
      </c>
      <c r="F2976" s="3" t="n">
        <v>1.5</v>
      </c>
      <c r="G2976" s="3">
        <f>F2976-E2976</f>
        <v/>
      </c>
      <c r="H2976" s="4">
        <f>IF(E2976=0,"",F2976/E2976-1)</f>
        <v/>
      </c>
      <c r="I2976" t="inlineStr"/>
    </row>
    <row r="2977">
      <c r="A2977" t="inlineStr">
        <is>
          <t>Cosmetics, dyes &amp; other chemicals</t>
        </is>
      </c>
      <c r="B2977" t="inlineStr">
        <is>
          <t>32</t>
        </is>
      </c>
      <c r="C2977" t="inlineStr">
        <is>
          <t>32041989</t>
        </is>
      </c>
      <c r="D2977" t="inlineStr">
        <is>
          <t>OTHER FOOD COLOURING</t>
        </is>
      </c>
      <c r="E2977" s="3" t="n">
        <v>1.2</v>
      </c>
      <c r="F2977" s="3" t="n">
        <v>1.47</v>
      </c>
      <c r="G2977" s="3">
        <f>F2977-E2977</f>
        <v/>
      </c>
      <c r="H2977" s="4">
        <f>IF(E2977=0,"",F2977/E2977-1)</f>
        <v/>
      </c>
      <c r="I2977" t="inlineStr"/>
    </row>
    <row r="2978">
      <c r="A2978" t="inlineStr">
        <is>
          <t>Cosmetics, dyes &amp; other chemicals</t>
        </is>
      </c>
      <c r="B2978" t="inlineStr">
        <is>
          <t>32</t>
        </is>
      </c>
      <c r="C2978" t="inlineStr">
        <is>
          <t>32072010</t>
        </is>
      </c>
      <c r="D2978" t="inlineStr">
        <is>
          <t>VITRIFIABLE ENAMEL AND GLAZES</t>
        </is>
      </c>
      <c r="E2978" s="3" t="n">
        <v>0.33</v>
      </c>
      <c r="F2978" s="3" t="n">
        <v>1.4</v>
      </c>
      <c r="G2978" s="3">
        <f>F2978-E2978</f>
        <v/>
      </c>
      <c r="H2978" s="4">
        <f>IF(E2978=0,"",F2978/E2978-1)</f>
        <v/>
      </c>
      <c r="I2978" t="inlineStr"/>
    </row>
    <row r="2979">
      <c r="A2979" t="inlineStr">
        <is>
          <t>Cosmetics, dyes &amp; other chemicals</t>
        </is>
      </c>
      <c r="B2979" t="inlineStr">
        <is>
          <t>32</t>
        </is>
      </c>
      <c r="C2979" t="inlineStr">
        <is>
          <t>32041990</t>
        </is>
      </c>
      <c r="D2979" t="inlineStr">
        <is>
          <t>OTHR INCL MIXR OF COLRNG MATR OF TWO OR MORE OF SUB-HDNG 320411 TO 320419 N.E.S.</t>
        </is>
      </c>
      <c r="E2979" s="3" t="n">
        <v>1</v>
      </c>
      <c r="F2979" s="3" t="n">
        <v>1.37</v>
      </c>
      <c r="G2979" s="3">
        <f>F2979-E2979</f>
        <v/>
      </c>
      <c r="H2979" s="4">
        <f>IF(E2979=0,"",F2979/E2979-1)</f>
        <v/>
      </c>
      <c r="I2979" t="inlineStr"/>
    </row>
    <row r="2980">
      <c r="A2980" t="inlineStr">
        <is>
          <t>Cosmetics, dyes &amp; other chemicals</t>
        </is>
      </c>
      <c r="B2980" t="inlineStr">
        <is>
          <t>33</t>
        </is>
      </c>
      <c r="C2980" t="inlineStr">
        <is>
          <t>33049930</t>
        </is>
      </c>
      <c r="D2980" t="inlineStr">
        <is>
          <t>MOISTURISING LOTION</t>
        </is>
      </c>
      <c r="E2980" s="3" t="n">
        <v>0.92</v>
      </c>
      <c r="F2980" s="3" t="n">
        <v>1.23</v>
      </c>
      <c r="G2980" s="3">
        <f>F2980-E2980</f>
        <v/>
      </c>
      <c r="H2980" s="4">
        <f>IF(E2980=0,"",F2980/E2980-1)</f>
        <v/>
      </c>
      <c r="I2980" t="inlineStr"/>
    </row>
    <row r="2981">
      <c r="A2981" t="inlineStr">
        <is>
          <t>Cosmetics, dyes &amp; other chemicals</t>
        </is>
      </c>
      <c r="B2981" t="inlineStr">
        <is>
          <t>33</t>
        </is>
      </c>
      <c r="C2981" t="inlineStr">
        <is>
          <t>33061090</t>
        </is>
      </c>
      <c r="D2981" t="inlineStr">
        <is>
          <t>OTHER DENTRIFRICES</t>
        </is>
      </c>
      <c r="E2981" s="3" t="n">
        <v>1.34</v>
      </c>
      <c r="F2981" s="3" t="n">
        <v>1.23</v>
      </c>
      <c r="G2981" s="3">
        <f>F2981-E2981</f>
        <v/>
      </c>
      <c r="H2981" s="4">
        <f>IF(E2981=0,"",F2981/E2981-1)</f>
        <v/>
      </c>
      <c r="I2981" t="inlineStr"/>
    </row>
    <row r="2982">
      <c r="A2982" t="inlineStr">
        <is>
          <t>Cosmetics, dyes &amp; other chemicals</t>
        </is>
      </c>
      <c r="B2982" t="inlineStr">
        <is>
          <t>32</t>
        </is>
      </c>
      <c r="C2982" t="inlineStr">
        <is>
          <t>32061190</t>
        </is>
      </c>
      <c r="D2982" t="inlineStr">
        <is>
          <t>PEARLSNT PIGMNT COTD WTH OTHR PRL PIGMNT</t>
        </is>
      </c>
      <c r="E2982" s="3" t="n">
        <v>0</v>
      </c>
      <c r="F2982" s="3" t="n">
        <v>1.19</v>
      </c>
      <c r="G2982" s="3">
        <f>F2982-E2982</f>
        <v/>
      </c>
      <c r="H2982" s="4">
        <f>IF(E2982=0,"",F2982/E2982-1)</f>
        <v/>
      </c>
      <c r="I2982" t="inlineStr"/>
    </row>
    <row r="2983">
      <c r="A2983" t="inlineStr">
        <is>
          <t>Cosmetics, dyes &amp; other chemicals</t>
        </is>
      </c>
      <c r="B2983" t="inlineStr">
        <is>
          <t>33</t>
        </is>
      </c>
      <c r="C2983" t="inlineStr">
        <is>
          <t>33019022</t>
        </is>
      </c>
      <c r="D2983" t="inlineStr">
        <is>
          <t>CAPSICUM OLEORESINES</t>
        </is>
      </c>
      <c r="E2983" s="3" t="n">
        <v>2.06</v>
      </c>
      <c r="F2983" s="3" t="n">
        <v>1.16</v>
      </c>
      <c r="G2983" s="3">
        <f>F2983-E2983</f>
        <v/>
      </c>
      <c r="H2983" s="4">
        <f>IF(E2983=0,"",F2983/E2983-1)</f>
        <v/>
      </c>
      <c r="I2983" t="inlineStr"/>
    </row>
    <row r="2984">
      <c r="A2984" t="inlineStr">
        <is>
          <t>Cosmetics, dyes &amp; other chemicals</t>
        </is>
      </c>
      <c r="B2984" t="inlineStr">
        <is>
          <t>32</t>
        </is>
      </c>
      <c r="C2984" t="inlineStr">
        <is>
          <t>32129090</t>
        </is>
      </c>
      <c r="D2984" t="inlineStr">
        <is>
          <t>OTHR PIGMNTS DYS AND CLRNG MATR N.E.S.</t>
        </is>
      </c>
      <c r="E2984" s="3" t="n">
        <v>1.15</v>
      </c>
      <c r="F2984" s="3" t="n">
        <v>1.12</v>
      </c>
      <c r="G2984" s="3">
        <f>F2984-E2984</f>
        <v/>
      </c>
      <c r="H2984" s="4">
        <f>IF(E2984=0,"",F2984/E2984-1)</f>
        <v/>
      </c>
      <c r="I2984" t="inlineStr"/>
    </row>
    <row r="2985">
      <c r="A2985" t="inlineStr">
        <is>
          <t>Cosmetics, dyes &amp; other chemicals</t>
        </is>
      </c>
      <c r="B2985" t="inlineStr">
        <is>
          <t>38</t>
        </is>
      </c>
      <c r="C2985" t="inlineStr">
        <is>
          <t>38089290</t>
        </is>
      </c>
      <c r="D2985" t="inlineStr">
        <is>
          <t>*OTHERS FUNGICIDE NES</t>
        </is>
      </c>
      <c r="E2985" s="3" t="n">
        <v>0.79</v>
      </c>
      <c r="F2985" s="3" t="n">
        <v>1.1</v>
      </c>
      <c r="G2985" s="3">
        <f>F2985-E2985</f>
        <v/>
      </c>
      <c r="H2985" s="4">
        <f>IF(E2985=0,"",F2985/E2985-1)</f>
        <v/>
      </c>
      <c r="I2985" t="inlineStr"/>
    </row>
    <row r="2986">
      <c r="A2986" t="inlineStr">
        <is>
          <t>Cosmetics, dyes &amp; other chemicals</t>
        </is>
      </c>
      <c r="B2986" t="inlineStr">
        <is>
          <t>32</t>
        </is>
      </c>
      <c r="C2986" t="inlineStr">
        <is>
          <t>32041790</t>
        </is>
      </c>
      <c r="D2986" t="inlineStr">
        <is>
          <t>OTHER PIGMENTS</t>
        </is>
      </c>
      <c r="E2986" s="3" t="n">
        <v>0.88</v>
      </c>
      <c r="F2986" s="3" t="n">
        <v>1.09</v>
      </c>
      <c r="G2986" s="3">
        <f>F2986-E2986</f>
        <v/>
      </c>
      <c r="H2986" s="4">
        <f>IF(E2986=0,"",F2986/E2986-1)</f>
        <v/>
      </c>
      <c r="I2986" t="inlineStr"/>
    </row>
    <row r="2987">
      <c r="A2987" t="inlineStr">
        <is>
          <t>Cosmetics, dyes &amp; other chemicals</t>
        </is>
      </c>
      <c r="B2987" t="inlineStr">
        <is>
          <t>32</t>
        </is>
      </c>
      <c r="C2987" t="inlineStr">
        <is>
          <t>32121000</t>
        </is>
      </c>
      <c r="D2987" t="inlineStr">
        <is>
          <t>STAMPNG FOILS</t>
        </is>
      </c>
      <c r="E2987" s="3" t="n">
        <v>1.93</v>
      </c>
      <c r="F2987" s="3" t="n">
        <v>1.07</v>
      </c>
      <c r="G2987" s="3">
        <f>F2987-E2987</f>
        <v/>
      </c>
      <c r="H2987" s="4">
        <f>IF(E2987=0,"",F2987/E2987-1)</f>
        <v/>
      </c>
      <c r="I2987" t="inlineStr"/>
    </row>
    <row r="2988">
      <c r="A2988" t="inlineStr">
        <is>
          <t>Cosmetics, dyes &amp; other chemicals</t>
        </is>
      </c>
      <c r="B2988" t="inlineStr">
        <is>
          <t>33</t>
        </is>
      </c>
      <c r="C2988" t="inlineStr">
        <is>
          <t>33049910</t>
        </is>
      </c>
      <c r="D2988" t="inlineStr">
        <is>
          <t>CREAMS FACE (EXCL TURMARIC)</t>
        </is>
      </c>
      <c r="E2988" s="3" t="n">
        <v>0.6899999999999999</v>
      </c>
      <c r="F2988" s="3" t="n">
        <v>0.97</v>
      </c>
      <c r="G2988" s="3">
        <f>F2988-E2988</f>
        <v/>
      </c>
      <c r="H2988" s="4">
        <f>IF(E2988=0,"",F2988/E2988-1)</f>
        <v/>
      </c>
      <c r="I2988" t="inlineStr"/>
    </row>
    <row r="2989">
      <c r="A2989" t="inlineStr">
        <is>
          <t>Cosmetics, dyes &amp; other chemicals</t>
        </is>
      </c>
      <c r="B2989" t="inlineStr">
        <is>
          <t>33</t>
        </is>
      </c>
      <c r="C2989" t="inlineStr">
        <is>
          <t>33072000</t>
        </is>
      </c>
      <c r="D2989" t="inlineStr">
        <is>
          <t>PERSONL DEODORNTS AND ANTIPERSPIRANTS</t>
        </is>
      </c>
      <c r="E2989" s="3" t="n">
        <v>0.5600000000000001</v>
      </c>
      <c r="F2989" s="3" t="n">
        <v>0.96</v>
      </c>
      <c r="G2989" s="3">
        <f>F2989-E2989</f>
        <v/>
      </c>
      <c r="H2989" s="4">
        <f>IF(E2989=0,"",F2989/E2989-1)</f>
        <v/>
      </c>
      <c r="I2989" t="inlineStr"/>
    </row>
    <row r="2990">
      <c r="A2990" t="inlineStr">
        <is>
          <t>Cosmetics, dyes &amp; other chemicals</t>
        </is>
      </c>
      <c r="B2990" t="inlineStr">
        <is>
          <t>34</t>
        </is>
      </c>
      <c r="C2990" t="inlineStr">
        <is>
          <t>34011942</t>
        </is>
      </c>
      <c r="D2990" t="inlineStr">
        <is>
          <t>LAUNDRY SOAPS</t>
        </is>
      </c>
      <c r="E2990" s="3" t="n">
        <v>1.65</v>
      </c>
      <c r="F2990" s="3" t="n">
        <v>0.96</v>
      </c>
      <c r="G2990" s="3">
        <f>F2990-E2990</f>
        <v/>
      </c>
      <c r="H2990" s="4">
        <f>IF(E2990=0,"",F2990/E2990-1)</f>
        <v/>
      </c>
      <c r="I2990" t="inlineStr"/>
    </row>
    <row r="2991">
      <c r="A2991" t="inlineStr">
        <is>
          <t>Cosmetics, dyes &amp; other chemicals</t>
        </is>
      </c>
      <c r="B2991" t="inlineStr">
        <is>
          <t>38</t>
        </is>
      </c>
      <c r="C2991" t="inlineStr">
        <is>
          <t>38069090</t>
        </is>
      </c>
      <c r="D2991" t="inlineStr">
        <is>
          <t>OTHER (RUN GUMS, ROSIN SPIRITS ETC) NES</t>
        </is>
      </c>
      <c r="E2991" s="3" t="n">
        <v>0.71</v>
      </c>
      <c r="F2991" s="3" t="n">
        <v>0.96</v>
      </c>
      <c r="G2991" s="3">
        <f>F2991-E2991</f>
        <v/>
      </c>
      <c r="H2991" s="4">
        <f>IF(E2991=0,"",F2991/E2991-1)</f>
        <v/>
      </c>
      <c r="I2991" t="inlineStr"/>
    </row>
    <row r="2992">
      <c r="A2992" t="inlineStr">
        <is>
          <t>Cosmetics, dyes &amp; other chemicals</t>
        </is>
      </c>
      <c r="B2992" t="inlineStr">
        <is>
          <t>33</t>
        </is>
      </c>
      <c r="C2992" t="inlineStr">
        <is>
          <t>33030050</t>
        </is>
      </c>
      <c r="D2992" t="inlineStr">
        <is>
          <t>PERFMES CONTNG SPIRIT FOR RETAIL SALE</t>
        </is>
      </c>
      <c r="E2992" s="3" t="n">
        <v>1.15</v>
      </c>
      <c r="F2992" s="3" t="n">
        <v>0.89</v>
      </c>
      <c r="G2992" s="3">
        <f>F2992-E2992</f>
        <v/>
      </c>
      <c r="H2992" s="4">
        <f>IF(E2992=0,"",F2992/E2992-1)</f>
        <v/>
      </c>
      <c r="I2992" t="inlineStr"/>
    </row>
    <row r="2993">
      <c r="A2993" t="inlineStr">
        <is>
          <t>Cosmetics, dyes &amp; other chemicals</t>
        </is>
      </c>
      <c r="B2993" t="inlineStr">
        <is>
          <t>34</t>
        </is>
      </c>
      <c r="C2993" t="inlineStr">
        <is>
          <t>34013090</t>
        </is>
      </c>
      <c r="D2993" t="inlineStr">
        <is>
          <t>OTHER ORGANIC SURFACE-ACTIVE PRODUCT NES</t>
        </is>
      </c>
      <c r="E2993" s="3" t="n">
        <v>0.34</v>
      </c>
      <c r="F2993" s="3" t="n">
        <v>0.89</v>
      </c>
      <c r="G2993" s="3">
        <f>F2993-E2993</f>
        <v/>
      </c>
      <c r="H2993" s="4">
        <f>IF(E2993=0,"",F2993/E2993-1)</f>
        <v/>
      </c>
      <c r="I2993" t="inlineStr"/>
    </row>
    <row r="2994">
      <c r="A2994" t="inlineStr">
        <is>
          <t>Cosmetics, dyes &amp; other chemicals</t>
        </is>
      </c>
      <c r="B2994" t="inlineStr">
        <is>
          <t>38</t>
        </is>
      </c>
      <c r="C2994" t="inlineStr">
        <is>
          <t>38210000</t>
        </is>
      </c>
      <c r="D2994" t="inlineStr">
        <is>
          <t>PRPD CULTR MEDIA FR MICRO-ORGNSMS DVLPMNT</t>
        </is>
      </c>
      <c r="E2994" s="3" t="n">
        <v>0.48</v>
      </c>
      <c r="F2994" s="3" t="n">
        <v>0.84</v>
      </c>
      <c r="G2994" s="3">
        <f>F2994-E2994</f>
        <v/>
      </c>
      <c r="H2994" s="4">
        <f>IF(E2994=0,"",F2994/E2994-1)</f>
        <v/>
      </c>
      <c r="I2994" t="inlineStr"/>
    </row>
    <row r="2995">
      <c r="A2995" t="inlineStr">
        <is>
          <t>Cosmetics, dyes &amp; other chemicals</t>
        </is>
      </c>
      <c r="B2995" t="inlineStr">
        <is>
          <t>32</t>
        </is>
      </c>
      <c r="C2995" t="inlineStr">
        <is>
          <t>32139000</t>
        </is>
      </c>
      <c r="D2995" t="inlineStr">
        <is>
          <t>OTHER (OTHER THAN IN SETS)</t>
        </is>
      </c>
      <c r="E2995" s="3" t="n">
        <v>1.17</v>
      </c>
      <c r="F2995" s="3" t="n">
        <v>0.83</v>
      </c>
      <c r="G2995" s="3">
        <f>F2995-E2995</f>
        <v/>
      </c>
      <c r="H2995" s="4">
        <f>IF(E2995=0,"",F2995/E2995-1)</f>
        <v/>
      </c>
      <c r="I2995" t="inlineStr"/>
    </row>
    <row r="2996">
      <c r="A2996" t="inlineStr">
        <is>
          <t>Cosmetics, dyes &amp; other chemicals</t>
        </is>
      </c>
      <c r="B2996" t="inlineStr">
        <is>
          <t>32</t>
        </is>
      </c>
      <c r="C2996" t="inlineStr">
        <is>
          <t>32041982</t>
        </is>
      </c>
      <c r="D2996" t="inlineStr">
        <is>
          <t>FOOD COLOURING YELLOW 4 (TARTRAZINE)</t>
        </is>
      </c>
      <c r="E2996" s="3" t="n">
        <v>0.67</v>
      </c>
      <c r="F2996" s="3" t="n">
        <v>0.79</v>
      </c>
      <c r="G2996" s="3">
        <f>F2996-E2996</f>
        <v/>
      </c>
      <c r="H2996" s="4">
        <f>IF(E2996=0,"",F2996/E2996-1)</f>
        <v/>
      </c>
      <c r="I2996" t="inlineStr"/>
    </row>
    <row r="2997">
      <c r="A2997" t="inlineStr">
        <is>
          <t>Cosmetics, dyes &amp; other chemicals</t>
        </is>
      </c>
      <c r="B2997" t="inlineStr">
        <is>
          <t>38</t>
        </is>
      </c>
      <c r="C2997" t="inlineStr">
        <is>
          <t>38231100</t>
        </is>
      </c>
      <c r="D2997" t="inlineStr">
        <is>
          <t>STEARIC ACID</t>
        </is>
      </c>
      <c r="E2997" s="3" t="n">
        <v>0.4</v>
      </c>
      <c r="F2997" s="3" t="n">
        <v>0.78</v>
      </c>
      <c r="G2997" s="3">
        <f>F2997-E2997</f>
        <v/>
      </c>
      <c r="H2997" s="4">
        <f>IF(E2997=0,"",F2997/E2997-1)</f>
        <v/>
      </c>
      <c r="I2997" t="inlineStr"/>
    </row>
    <row r="2998">
      <c r="A2998" t="inlineStr">
        <is>
          <t>Cosmetics, dyes &amp; other chemicals</t>
        </is>
      </c>
      <c r="B2998" t="inlineStr">
        <is>
          <t>33</t>
        </is>
      </c>
      <c r="C2998" t="inlineStr">
        <is>
          <t>33059090</t>
        </is>
      </c>
      <c r="D2998" t="inlineStr">
        <is>
          <t>OTHR PRPNS FOR USE ON HAIR N.E.S.</t>
        </is>
      </c>
      <c r="E2998" s="3" t="n">
        <v>0.48</v>
      </c>
      <c r="F2998" s="3" t="n">
        <v>0.77</v>
      </c>
      <c r="G2998" s="3">
        <f>F2998-E2998</f>
        <v/>
      </c>
      <c r="H2998" s="4">
        <f>IF(E2998=0,"",F2998/E2998-1)</f>
        <v/>
      </c>
      <c r="I2998" t="inlineStr"/>
    </row>
    <row r="2999">
      <c r="A2999" t="inlineStr">
        <is>
          <t>Cosmetics, dyes &amp; other chemicals</t>
        </is>
      </c>
      <c r="B2999" t="inlineStr">
        <is>
          <t>38</t>
        </is>
      </c>
      <c r="C2999" t="inlineStr">
        <is>
          <t>38221990</t>
        </is>
      </c>
      <c r="D2999" t="inlineStr">
        <is>
          <t>OTHERS-OF-OTHERS-OF-DIAG./LAB REAGNT ON A BCKNG,PRPRD DIAG./LAB REAGNTS WH/NOT ON BACKNG ,WHTR OR NT IN THE FORM OFKIT EXCL HD</t>
        </is>
      </c>
      <c r="E2999" s="3" t="n">
        <v>0.46</v>
      </c>
      <c r="F2999" s="3" t="n">
        <v>0.76</v>
      </c>
      <c r="G2999" s="3">
        <f>F2999-E2999</f>
        <v/>
      </c>
      <c r="H2999" s="4">
        <f>IF(E2999=0,"",F2999/E2999-1)</f>
        <v/>
      </c>
      <c r="I2999" t="inlineStr"/>
    </row>
    <row r="3000">
      <c r="A3000" t="inlineStr">
        <is>
          <t>Cosmetics, dyes &amp; other chemicals</t>
        </is>
      </c>
      <c r="B3000" t="inlineStr">
        <is>
          <t>34</t>
        </is>
      </c>
      <c r="C3000" t="inlineStr">
        <is>
          <t>34049090</t>
        </is>
      </c>
      <c r="D3000" t="inlineStr">
        <is>
          <t>OTHER ARTFCL WAXES AND PREPD WAXES NES.</t>
        </is>
      </c>
      <c r="E3000" s="3" t="n">
        <v>1.12</v>
      </c>
      <c r="F3000" s="3" t="n">
        <v>0.75</v>
      </c>
      <c r="G3000" s="3">
        <f>F3000-E3000</f>
        <v/>
      </c>
      <c r="H3000" s="4">
        <f>IF(E3000=0,"",F3000/E3000-1)</f>
        <v/>
      </c>
      <c r="I3000" t="inlineStr"/>
    </row>
    <row r="3001">
      <c r="A3001" t="inlineStr">
        <is>
          <t>Cosmetics, dyes &amp; other chemicals</t>
        </is>
      </c>
      <c r="B3001" t="inlineStr">
        <is>
          <t>32</t>
        </is>
      </c>
      <c r="C3001" t="inlineStr">
        <is>
          <t>32082090</t>
        </is>
      </c>
      <c r="D3001" t="inlineStr">
        <is>
          <t>OTHR PAINT VRNSH BSD ON ACRYLC/VNYL PLYMR</t>
        </is>
      </c>
      <c r="E3001" s="3" t="n">
        <v>0.99</v>
      </c>
      <c r="F3001" s="3" t="n">
        <v>0.74</v>
      </c>
      <c r="G3001" s="3">
        <f>F3001-E3001</f>
        <v/>
      </c>
      <c r="H3001" s="4">
        <f>IF(E3001=0,"",F3001/E3001-1)</f>
        <v/>
      </c>
      <c r="I3001" t="inlineStr"/>
    </row>
    <row r="3002">
      <c r="A3002" t="inlineStr">
        <is>
          <t>Cosmetics, dyes &amp; other chemicals</t>
        </is>
      </c>
      <c r="B3002" t="inlineStr">
        <is>
          <t>38</t>
        </is>
      </c>
      <c r="C3002" t="inlineStr">
        <is>
          <t>38190010</t>
        </is>
      </c>
      <c r="D3002" t="inlineStr">
        <is>
          <t>BRAKE FLUIDS (HYDRAULIC FLUIDS)</t>
        </is>
      </c>
      <c r="E3002" s="3" t="n">
        <v>0.68</v>
      </c>
      <c r="F3002" s="3" t="n">
        <v>0.73</v>
      </c>
      <c r="G3002" s="3">
        <f>F3002-E3002</f>
        <v/>
      </c>
      <c r="H3002" s="4">
        <f>IF(E3002=0,"",F3002/E3002-1)</f>
        <v/>
      </c>
      <c r="I3002" t="inlineStr"/>
    </row>
    <row r="3003">
      <c r="A3003" t="inlineStr">
        <is>
          <t>Cosmetics, dyes &amp; other chemicals</t>
        </is>
      </c>
      <c r="B3003" t="inlineStr">
        <is>
          <t>33</t>
        </is>
      </c>
      <c r="C3003" t="inlineStr">
        <is>
          <t>33019090</t>
        </is>
      </c>
      <c r="D3003" t="inlineStr">
        <is>
          <t>OTHR CONC OF ESNL OILS IN FATS/FIXD/WAX LIKE TRPNC BYPRDCTS OF DETERPENATION OF ESNL OILS AQUS DISTLTS/SOLTN ESNL OL</t>
        </is>
      </c>
      <c r="E3003" s="3" t="n">
        <v>0.54</v>
      </c>
      <c r="F3003" s="3" t="n">
        <v>0.7</v>
      </c>
      <c r="G3003" s="3">
        <f>F3003-E3003</f>
        <v/>
      </c>
      <c r="H3003" s="4">
        <f>IF(E3003=0,"",F3003/E3003-1)</f>
        <v/>
      </c>
      <c r="I3003" t="inlineStr"/>
    </row>
    <row r="3004">
      <c r="A3004" t="inlineStr">
        <is>
          <t>Cosmetics, dyes &amp; other chemicals</t>
        </is>
      </c>
      <c r="B3004" t="inlineStr">
        <is>
          <t>38</t>
        </is>
      </c>
      <c r="C3004" t="inlineStr">
        <is>
          <t>38086200</t>
        </is>
      </c>
      <c r="D3004" t="inlineStr">
        <is>
          <t>IN PACKINGS OF A NET WEIGHT CONTENT EXCEEDING 300 G BUT NOT EXCEEDING 7.5 KG</t>
        </is>
      </c>
      <c r="E3004" s="3" t="n">
        <v>0.65</v>
      </c>
      <c r="F3004" s="3" t="n">
        <v>0.7</v>
      </c>
      <c r="G3004" s="3">
        <f>F3004-E3004</f>
        <v/>
      </c>
      <c r="H3004" s="4">
        <f>IF(E3004=0,"",F3004/E3004-1)</f>
        <v/>
      </c>
      <c r="I3004" t="inlineStr"/>
    </row>
    <row r="3005">
      <c r="A3005" t="inlineStr">
        <is>
          <t>Cosmetics, dyes &amp; other chemicals</t>
        </is>
      </c>
      <c r="B3005" t="inlineStr">
        <is>
          <t>32</t>
        </is>
      </c>
      <c r="C3005" t="inlineStr">
        <is>
          <t>32041719</t>
        </is>
      </c>
      <c r="D3005" t="inlineStr">
        <is>
          <t>OTHERS PIGMENT YELLOW (ORGANIC)</t>
        </is>
      </c>
      <c r="E3005" s="3" t="n">
        <v>0.89</v>
      </c>
      <c r="F3005" s="3" t="n">
        <v>0.6899999999999999</v>
      </c>
      <c r="G3005" s="3">
        <f>F3005-E3005</f>
        <v/>
      </c>
      <c r="H3005" s="4">
        <f>IF(E3005=0,"",F3005/E3005-1)</f>
        <v/>
      </c>
      <c r="I3005" t="inlineStr"/>
    </row>
    <row r="3006">
      <c r="A3006" t="inlineStr">
        <is>
          <t>Cosmetics, dyes &amp; other chemicals</t>
        </is>
      </c>
      <c r="B3006" t="inlineStr">
        <is>
          <t>38</t>
        </is>
      </c>
      <c r="C3006" t="inlineStr">
        <is>
          <t>38140020</t>
        </is>
      </c>
      <c r="D3006" t="inlineStr">
        <is>
          <t>*PREPARED PAINT OR VARNISH REMOVERS</t>
        </is>
      </c>
      <c r="E3006" s="3" t="n">
        <v>0.42</v>
      </c>
      <c r="F3006" s="3" t="n">
        <v>0.68</v>
      </c>
      <c r="G3006" s="3">
        <f>F3006-E3006</f>
        <v/>
      </c>
      <c r="H3006" s="4">
        <f>IF(E3006=0,"",F3006/E3006-1)</f>
        <v/>
      </c>
      <c r="I3006" t="inlineStr"/>
    </row>
    <row r="3007">
      <c r="A3007" t="inlineStr">
        <is>
          <t>Cosmetics, dyes &amp; other chemicals</t>
        </is>
      </c>
      <c r="B3007" t="inlineStr">
        <is>
          <t>35</t>
        </is>
      </c>
      <c r="C3007" t="inlineStr">
        <is>
          <t>35079091</t>
        </is>
      </c>
      <c r="D3007" t="inlineStr">
        <is>
          <t>ENZYMATIC PRPNS CNTNG FOOD STUFFS</t>
        </is>
      </c>
      <c r="E3007" s="3" t="n">
        <v>0.5</v>
      </c>
      <c r="F3007" s="3" t="n">
        <v>0.67</v>
      </c>
      <c r="G3007" s="3">
        <f>F3007-E3007</f>
        <v/>
      </c>
      <c r="H3007" s="4">
        <f>IF(E3007=0,"",F3007/E3007-1)</f>
        <v/>
      </c>
      <c r="I3007" t="inlineStr"/>
    </row>
    <row r="3008">
      <c r="A3008" t="inlineStr">
        <is>
          <t>Cosmetics, dyes &amp; other chemicals</t>
        </is>
      </c>
      <c r="B3008" t="inlineStr">
        <is>
          <t>38</t>
        </is>
      </c>
      <c r="C3008" t="inlineStr">
        <is>
          <t>38151100</t>
        </is>
      </c>
      <c r="D3008" t="inlineStr">
        <is>
          <t>SUPPRTD CATALYSTS WTH NICKEL/NICKEL CMPNDS</t>
        </is>
      </c>
      <c r="E3008" s="3" t="n">
        <v>3.68</v>
      </c>
      <c r="F3008" s="3" t="n">
        <v>0.65</v>
      </c>
      <c r="G3008" s="3">
        <f>F3008-E3008</f>
        <v/>
      </c>
      <c r="H3008" s="4">
        <f>IF(E3008=0,"",F3008/E3008-1)</f>
        <v/>
      </c>
      <c r="I3008" t="inlineStr"/>
    </row>
    <row r="3009">
      <c r="A3009" t="inlineStr">
        <is>
          <t>Cosmetics, dyes &amp; other chemicals</t>
        </is>
      </c>
      <c r="B3009" t="inlineStr">
        <is>
          <t>37</t>
        </is>
      </c>
      <c r="C3009" t="inlineStr">
        <is>
          <t>37079090</t>
        </is>
      </c>
      <c r="D3009" t="inlineStr">
        <is>
          <t>OTHR CHMCL PRPRNS FR PHOTGRPHC USES NES</t>
        </is>
      </c>
      <c r="E3009" s="3" t="n">
        <v>0.57</v>
      </c>
      <c r="F3009" s="3" t="n">
        <v>0.61</v>
      </c>
      <c r="G3009" s="3">
        <f>F3009-E3009</f>
        <v/>
      </c>
      <c r="H3009" s="4">
        <f>IF(E3009=0,"",F3009/E3009-1)</f>
        <v/>
      </c>
      <c r="I3009" t="inlineStr"/>
    </row>
    <row r="3010">
      <c r="A3010" t="inlineStr">
        <is>
          <t>Cosmetics, dyes &amp; other chemicals</t>
        </is>
      </c>
      <c r="B3010" t="inlineStr">
        <is>
          <t>38</t>
        </is>
      </c>
      <c r="C3010" t="inlineStr">
        <is>
          <t>38089910</t>
        </is>
      </c>
      <c r="D3010" t="inlineStr">
        <is>
          <t>*PESTICIDES, NOT ELSEWHERE SPECIFIED OR INC</t>
        </is>
      </c>
      <c r="E3010" s="3" t="n">
        <v>0.28</v>
      </c>
      <c r="F3010" s="3" t="n">
        <v>0.61</v>
      </c>
      <c r="G3010" s="3">
        <f>F3010-E3010</f>
        <v/>
      </c>
      <c r="H3010" s="4">
        <f>IF(E3010=0,"",F3010/E3010-1)</f>
        <v/>
      </c>
      <c r="I3010" t="inlineStr"/>
    </row>
    <row r="3011">
      <c r="A3011" t="inlineStr">
        <is>
          <t>Cosmetics, dyes &amp; other chemicals</t>
        </is>
      </c>
      <c r="B3011" t="inlineStr">
        <is>
          <t>38</t>
        </is>
      </c>
      <c r="C3011" t="inlineStr">
        <is>
          <t>38200000</t>
        </is>
      </c>
      <c r="D3011" t="inlineStr">
        <is>
          <t>ANTI-FRZING PRPNS AND PRPD DE-ICING FLUIDS</t>
        </is>
      </c>
      <c r="E3011" s="3" t="n">
        <v>0.42</v>
      </c>
      <c r="F3011" s="3" t="n">
        <v>0.58</v>
      </c>
      <c r="G3011" s="3">
        <f>F3011-E3011</f>
        <v/>
      </c>
      <c r="H3011" s="4">
        <f>IF(E3011=0,"",F3011/E3011-1)</f>
        <v/>
      </c>
      <c r="I3011" t="inlineStr"/>
    </row>
    <row r="3012">
      <c r="A3012" t="inlineStr">
        <is>
          <t>Cosmetics, dyes &amp; other chemicals</t>
        </is>
      </c>
      <c r="B3012" t="inlineStr">
        <is>
          <t>32</t>
        </is>
      </c>
      <c r="C3012" t="inlineStr">
        <is>
          <t>32041411</t>
        </is>
      </c>
      <c r="D3012" t="inlineStr">
        <is>
          <t>DIRECT YELLOW 12 (CHRYSOPHENINE G)-AZO</t>
        </is>
      </c>
      <c r="E3012" s="3" t="n">
        <v>0</v>
      </c>
      <c r="F3012" s="3" t="n">
        <v>0.55</v>
      </c>
      <c r="G3012" s="3">
        <f>F3012-E3012</f>
        <v/>
      </c>
      <c r="H3012" s="4">
        <f>IF(E3012=0,"",F3012/E3012-1)</f>
        <v/>
      </c>
      <c r="I3012" t="inlineStr"/>
    </row>
    <row r="3013">
      <c r="A3013" t="inlineStr">
        <is>
          <t>Cosmetics, dyes &amp; other chemicals</t>
        </is>
      </c>
      <c r="B3013" t="inlineStr">
        <is>
          <t>32</t>
        </is>
      </c>
      <c r="C3013" t="inlineStr">
        <is>
          <t>32091010</t>
        </is>
      </c>
      <c r="D3013" t="inlineStr">
        <is>
          <t>ACRYLIC EMULSION</t>
        </is>
      </c>
      <c r="E3013" s="3" t="n">
        <v>0.11</v>
      </c>
      <c r="F3013" s="3" t="n">
        <v>0.55</v>
      </c>
      <c r="G3013" s="3">
        <f>F3013-E3013</f>
        <v/>
      </c>
      <c r="H3013" s="4">
        <f>IF(E3013=0,"",F3013/E3013-1)</f>
        <v/>
      </c>
      <c r="I3013" t="inlineStr"/>
    </row>
    <row r="3014">
      <c r="A3014" t="inlineStr">
        <is>
          <t>Cosmetics, dyes &amp; other chemicals</t>
        </is>
      </c>
      <c r="B3014" t="inlineStr">
        <is>
          <t>32</t>
        </is>
      </c>
      <c r="C3014" t="inlineStr">
        <is>
          <t>32081010</t>
        </is>
      </c>
      <c r="D3014" t="inlineStr">
        <is>
          <t>ENAMELS BASED ON POLYESTERS</t>
        </is>
      </c>
      <c r="E3014" s="3" t="n">
        <v>0.43</v>
      </c>
      <c r="F3014" s="3" t="n">
        <v>0.54</v>
      </c>
      <c r="G3014" s="3">
        <f>F3014-E3014</f>
        <v/>
      </c>
      <c r="H3014" s="4">
        <f>IF(E3014=0,"",F3014/E3014-1)</f>
        <v/>
      </c>
      <c r="I3014" t="inlineStr"/>
    </row>
    <row r="3015">
      <c r="A3015" t="inlineStr">
        <is>
          <t>Cosmetics, dyes &amp; other chemicals</t>
        </is>
      </c>
      <c r="B3015" t="inlineStr">
        <is>
          <t>32</t>
        </is>
      </c>
      <c r="C3015" t="inlineStr">
        <is>
          <t>32149020</t>
        </is>
      </c>
      <c r="D3015" t="inlineStr">
        <is>
          <t>RESIN CEMENT</t>
        </is>
      </c>
      <c r="E3015" s="3" t="n">
        <v>0</v>
      </c>
      <c r="F3015" s="3" t="n">
        <v>0.54</v>
      </c>
      <c r="G3015" s="3">
        <f>F3015-E3015</f>
        <v/>
      </c>
      <c r="H3015" s="4">
        <f>IF(E3015=0,"",F3015/E3015-1)</f>
        <v/>
      </c>
      <c r="I3015" t="inlineStr"/>
    </row>
    <row r="3016">
      <c r="A3016" t="inlineStr">
        <is>
          <t>Cosmetics, dyes &amp; other chemicals</t>
        </is>
      </c>
      <c r="B3016" t="inlineStr">
        <is>
          <t>32</t>
        </is>
      </c>
      <c r="C3016" t="inlineStr">
        <is>
          <t>32089049</t>
        </is>
      </c>
      <c r="D3016" t="inlineStr">
        <is>
          <t>OTHER VARNISHES</t>
        </is>
      </c>
      <c r="E3016" s="3" t="n">
        <v>0.45</v>
      </c>
      <c r="F3016" s="3" t="n">
        <v>0.53</v>
      </c>
      <c r="G3016" s="3">
        <f>F3016-E3016</f>
        <v/>
      </c>
      <c r="H3016" s="4">
        <f>IF(E3016=0,"",F3016/E3016-1)</f>
        <v/>
      </c>
      <c r="I3016" t="inlineStr"/>
    </row>
    <row r="3017">
      <c r="A3017" t="inlineStr">
        <is>
          <t>Cosmetics, dyes &amp; other chemicals</t>
        </is>
      </c>
      <c r="B3017" t="inlineStr">
        <is>
          <t>32</t>
        </is>
      </c>
      <c r="C3017" t="inlineStr">
        <is>
          <t>32151110</t>
        </is>
      </c>
      <c r="D3017" t="inlineStr">
        <is>
          <t>BLACK LITHOGRAPHIC INK AND JELLY</t>
        </is>
      </c>
      <c r="E3017" s="3" t="n">
        <v>0.46</v>
      </c>
      <c r="F3017" s="3" t="n">
        <v>0.53</v>
      </c>
      <c r="G3017" s="3">
        <f>F3017-E3017</f>
        <v/>
      </c>
      <c r="H3017" s="4">
        <f>IF(E3017=0,"",F3017/E3017-1)</f>
        <v/>
      </c>
      <c r="I3017" t="inlineStr"/>
    </row>
    <row r="3018">
      <c r="A3018" t="inlineStr">
        <is>
          <t>Cosmetics, dyes &amp; other chemicals</t>
        </is>
      </c>
      <c r="B3018" t="inlineStr">
        <is>
          <t>34</t>
        </is>
      </c>
      <c r="C3018" t="inlineStr">
        <is>
          <t>34024100</t>
        </is>
      </c>
      <c r="D3018" t="inlineStr">
        <is>
          <t>CATIONIC (OTHER ORGANIC SURFACE ACTIVE AGENTS, W/N PUT UP FOR RETAIL SALE)</t>
        </is>
      </c>
      <c r="E3018" s="3" t="n">
        <v>1.31</v>
      </c>
      <c r="F3018" s="3" t="n">
        <v>0.49</v>
      </c>
      <c r="G3018" s="3">
        <f>F3018-E3018</f>
        <v/>
      </c>
      <c r="H3018" s="4">
        <f>IF(E3018=0,"",F3018/E3018-1)</f>
        <v/>
      </c>
      <c r="I3018" t="inlineStr"/>
    </row>
    <row r="3019">
      <c r="A3019" t="inlineStr">
        <is>
          <t>Cosmetics, dyes &amp; other chemicals</t>
        </is>
      </c>
      <c r="B3019" t="inlineStr">
        <is>
          <t>32</t>
        </is>
      </c>
      <c r="C3019" t="inlineStr">
        <is>
          <t>32151190</t>
        </is>
      </c>
      <c r="D3019" t="inlineStr">
        <is>
          <t>OTHER BLACK PRINTING INK</t>
        </is>
      </c>
      <c r="E3019" s="3" t="n">
        <v>0.41</v>
      </c>
      <c r="F3019" s="3" t="n">
        <v>0.48</v>
      </c>
      <c r="G3019" s="3">
        <f>F3019-E3019</f>
        <v/>
      </c>
      <c r="H3019" s="4">
        <f>IF(E3019=0,"",F3019/E3019-1)</f>
        <v/>
      </c>
      <c r="I3019" t="inlineStr"/>
    </row>
    <row r="3020">
      <c r="A3020" t="inlineStr">
        <is>
          <t>Cosmetics, dyes &amp; other chemicals</t>
        </is>
      </c>
      <c r="B3020" t="inlineStr">
        <is>
          <t>38</t>
        </is>
      </c>
      <c r="C3020" t="inlineStr">
        <is>
          <t>38089400</t>
        </is>
      </c>
      <c r="D3020" t="inlineStr">
        <is>
          <t>*DISINFECTANTS</t>
        </is>
      </c>
      <c r="E3020" s="3" t="n">
        <v>1.76</v>
      </c>
      <c r="F3020" s="3" t="n">
        <v>0.48</v>
      </c>
      <c r="G3020" s="3">
        <f>F3020-E3020</f>
        <v/>
      </c>
      <c r="H3020" s="4">
        <f>IF(E3020=0,"",F3020/E3020-1)</f>
        <v/>
      </c>
      <c r="I3020" t="inlineStr"/>
    </row>
    <row r="3021">
      <c r="A3021" t="inlineStr">
        <is>
          <t>Cosmetics, dyes &amp; other chemicals</t>
        </is>
      </c>
      <c r="B3021" t="inlineStr">
        <is>
          <t>33</t>
        </is>
      </c>
      <c r="C3021" t="inlineStr">
        <is>
          <t>33049190</t>
        </is>
      </c>
      <c r="D3021" t="inlineStr">
        <is>
          <t>OTHER POWDERS WHETHER OR NOT COMPRESSED</t>
        </is>
      </c>
      <c r="E3021" s="3" t="n">
        <v>0.37</v>
      </c>
      <c r="F3021" s="3" t="n">
        <v>0.47</v>
      </c>
      <c r="G3021" s="3">
        <f>F3021-E3021</f>
        <v/>
      </c>
      <c r="H3021" s="4">
        <f>IF(E3021=0,"",F3021/E3021-1)</f>
        <v/>
      </c>
      <c r="I3021" t="inlineStr"/>
    </row>
    <row r="3022">
      <c r="A3022" t="inlineStr">
        <is>
          <t>Cosmetics, dyes &amp; other chemicals</t>
        </is>
      </c>
      <c r="B3022" t="inlineStr">
        <is>
          <t>34</t>
        </is>
      </c>
      <c r="C3022" t="inlineStr">
        <is>
          <t>34012000</t>
        </is>
      </c>
      <c r="D3022" t="inlineStr">
        <is>
          <t>SOAP IN OTHER FORMS</t>
        </is>
      </c>
      <c r="E3022" s="3" t="n">
        <v>0.55</v>
      </c>
      <c r="F3022" s="3" t="n">
        <v>0.46</v>
      </c>
      <c r="G3022" s="3">
        <f>F3022-E3022</f>
        <v/>
      </c>
      <c r="H3022" s="4">
        <f>IF(E3022=0,"",F3022/E3022-1)</f>
        <v/>
      </c>
      <c r="I3022" t="inlineStr"/>
    </row>
    <row r="3023">
      <c r="A3023" t="inlineStr">
        <is>
          <t>Cosmetics, dyes &amp; other chemicals</t>
        </is>
      </c>
      <c r="B3023" t="inlineStr">
        <is>
          <t>32</t>
        </is>
      </c>
      <c r="C3023" t="inlineStr">
        <is>
          <t>32062000</t>
        </is>
      </c>
      <c r="D3023" t="inlineStr">
        <is>
          <t>PIGMNTS AND PRPTNS BASD ON CHROM COMPND</t>
        </is>
      </c>
      <c r="E3023" s="3" t="n">
        <v>0.48</v>
      </c>
      <c r="F3023" s="3" t="n">
        <v>0.45</v>
      </c>
      <c r="G3023" s="3">
        <f>F3023-E3023</f>
        <v/>
      </c>
      <c r="H3023" s="4">
        <f>IF(E3023=0,"",F3023/E3023-1)</f>
        <v/>
      </c>
      <c r="I3023" t="inlineStr"/>
    </row>
    <row r="3024">
      <c r="A3024" t="inlineStr">
        <is>
          <t>Cosmetics, dyes &amp; other chemicals</t>
        </is>
      </c>
      <c r="B3024" t="inlineStr">
        <is>
          <t>38</t>
        </is>
      </c>
      <c r="C3024" t="inlineStr">
        <is>
          <t>38086100</t>
        </is>
      </c>
      <c r="D3024" t="inlineStr">
        <is>
          <t>IN PACKINGS OF A NET WEIGHT CONTENT NOT EXCEEDING 300 G</t>
        </is>
      </c>
      <c r="E3024" s="3" t="n">
        <v>0.8100000000000001</v>
      </c>
      <c r="F3024" s="3" t="n">
        <v>0.45</v>
      </c>
      <c r="G3024" s="3">
        <f>F3024-E3024</f>
        <v/>
      </c>
      <c r="H3024" s="4">
        <f>IF(E3024=0,"",F3024/E3024-1)</f>
        <v/>
      </c>
      <c r="I3024" t="inlineStr"/>
    </row>
    <row r="3025">
      <c r="A3025" t="inlineStr">
        <is>
          <t>Cosmetics, dyes &amp; other chemicals</t>
        </is>
      </c>
      <c r="B3025" t="inlineStr">
        <is>
          <t>32</t>
        </is>
      </c>
      <c r="C3025" t="inlineStr">
        <is>
          <t>32041976</t>
        </is>
      </c>
      <c r="D3025" t="inlineStr">
        <is>
          <t>SOLVENT BASED COLOURING MATTERS: GREENS</t>
        </is>
      </c>
      <c r="E3025" s="3" t="n">
        <v>0.14</v>
      </c>
      <c r="F3025" s="3" t="n">
        <v>0.43</v>
      </c>
      <c r="G3025" s="3">
        <f>F3025-E3025</f>
        <v/>
      </c>
      <c r="H3025" s="4">
        <f>IF(E3025=0,"",F3025/E3025-1)</f>
        <v/>
      </c>
      <c r="I3025" t="inlineStr"/>
    </row>
    <row r="3026">
      <c r="A3026" t="inlineStr">
        <is>
          <t>Cosmetics, dyes &amp; other chemicals</t>
        </is>
      </c>
      <c r="B3026" t="inlineStr">
        <is>
          <t>32</t>
        </is>
      </c>
      <c r="C3026" t="inlineStr">
        <is>
          <t>32159090</t>
        </is>
      </c>
      <c r="D3026" t="inlineStr">
        <is>
          <t>OTHER INK NES</t>
        </is>
      </c>
      <c r="E3026" s="3" t="n">
        <v>0.41</v>
      </c>
      <c r="F3026" s="3" t="n">
        <v>0.43</v>
      </c>
      <c r="G3026" s="3">
        <f>F3026-E3026</f>
        <v/>
      </c>
      <c r="H3026" s="4">
        <f>IF(E3026=0,"",F3026/E3026-1)</f>
        <v/>
      </c>
      <c r="I3026" t="inlineStr"/>
    </row>
    <row r="3027">
      <c r="A3027" t="inlineStr">
        <is>
          <t>Cosmetics, dyes &amp; other chemicals</t>
        </is>
      </c>
      <c r="B3027" t="inlineStr">
        <is>
          <t>32</t>
        </is>
      </c>
      <c r="C3027" t="inlineStr">
        <is>
          <t>32071040</t>
        </is>
      </c>
      <c r="D3027" t="inlineStr">
        <is>
          <t>PREPARED OPACIFIERS,PREPARED COLOURS AND SIMILAR PREPARATIONS.</t>
        </is>
      </c>
      <c r="E3027" s="3" t="n">
        <v>0</v>
      </c>
      <c r="F3027" s="3" t="n">
        <v>0.42</v>
      </c>
      <c r="G3027" s="3">
        <f>F3027-E3027</f>
        <v/>
      </c>
      <c r="H3027" s="4">
        <f>IF(E3027=0,"",F3027/E3027-1)</f>
        <v/>
      </c>
      <c r="I3027" t="inlineStr"/>
    </row>
    <row r="3028">
      <c r="A3028" t="inlineStr">
        <is>
          <t>Cosmetics, dyes &amp; other chemicals</t>
        </is>
      </c>
      <c r="B3028" t="inlineStr">
        <is>
          <t>32</t>
        </is>
      </c>
      <c r="C3028" t="inlineStr">
        <is>
          <t>32041971</t>
        </is>
      </c>
      <c r="D3028" t="inlineStr">
        <is>
          <t>SOLVENT BASED COLOURING MATTERS: YELLOWS</t>
        </is>
      </c>
      <c r="E3028" s="3" t="n">
        <v>0.12</v>
      </c>
      <c r="F3028" s="3" t="n">
        <v>0.37</v>
      </c>
      <c r="G3028" s="3">
        <f>F3028-E3028</f>
        <v/>
      </c>
      <c r="H3028" s="4">
        <f>IF(E3028=0,"",F3028/E3028-1)</f>
        <v/>
      </c>
      <c r="I3028" t="inlineStr"/>
    </row>
    <row r="3029">
      <c r="A3029" t="inlineStr">
        <is>
          <t>Cosmetics, dyes &amp; other chemicals</t>
        </is>
      </c>
      <c r="B3029" t="inlineStr">
        <is>
          <t>33</t>
        </is>
      </c>
      <c r="C3029" t="inlineStr">
        <is>
          <t>33019012</t>
        </is>
      </c>
      <c r="D3029" t="inlineStr">
        <is>
          <t>GINGER OLEORESINS</t>
        </is>
      </c>
      <c r="E3029" s="3" t="n">
        <v>0.13</v>
      </c>
      <c r="F3029" s="3" t="n">
        <v>0.34</v>
      </c>
      <c r="G3029" s="3">
        <f>F3029-E3029</f>
        <v/>
      </c>
      <c r="H3029" s="4">
        <f>IF(E3029=0,"",F3029/E3029-1)</f>
        <v/>
      </c>
      <c r="I3029" t="inlineStr"/>
    </row>
    <row r="3030">
      <c r="A3030" t="inlineStr">
        <is>
          <t>Cosmetics, dyes &amp; other chemicals</t>
        </is>
      </c>
      <c r="B3030" t="inlineStr">
        <is>
          <t>32</t>
        </is>
      </c>
      <c r="C3030" t="inlineStr">
        <is>
          <t>32041739</t>
        </is>
      </c>
      <c r="D3030" t="inlineStr">
        <is>
          <t>OTHERS PIGMENT RED</t>
        </is>
      </c>
      <c r="E3030" s="3" t="n">
        <v>0.31</v>
      </c>
      <c r="F3030" s="3" t="n">
        <v>0.33</v>
      </c>
      <c r="G3030" s="3">
        <f>F3030-E3030</f>
        <v/>
      </c>
      <c r="H3030" s="4">
        <f>IF(E3030=0,"",F3030/E3030-1)</f>
        <v/>
      </c>
      <c r="I3030" t="inlineStr"/>
    </row>
    <row r="3031">
      <c r="A3031" t="inlineStr">
        <is>
          <t>Cosmetics, dyes &amp; other chemicals</t>
        </is>
      </c>
      <c r="B3031" t="inlineStr">
        <is>
          <t>32</t>
        </is>
      </c>
      <c r="C3031" t="inlineStr">
        <is>
          <t>32131000</t>
        </is>
      </c>
      <c r="D3031" t="inlineStr">
        <is>
          <t>COLOURS IN SETS</t>
        </is>
      </c>
      <c r="E3031" s="3" t="n">
        <v>0.25</v>
      </c>
      <c r="F3031" s="3" t="n">
        <v>0.31</v>
      </c>
      <c r="G3031" s="3">
        <f>F3031-E3031</f>
        <v/>
      </c>
      <c r="H3031" s="4">
        <f>IF(E3031=0,"",F3031/E3031-1)</f>
        <v/>
      </c>
      <c r="I3031" t="inlineStr"/>
    </row>
    <row r="3032">
      <c r="A3032" t="inlineStr">
        <is>
          <t>Cosmetics, dyes &amp; other chemicals</t>
        </is>
      </c>
      <c r="B3032" t="inlineStr">
        <is>
          <t>32</t>
        </is>
      </c>
      <c r="C3032" t="inlineStr">
        <is>
          <t>32041751</t>
        </is>
      </c>
      <c r="D3032" t="inlineStr">
        <is>
          <t>PIGMENT BLUE 15 (PATHALOCYANINE BLUE)</t>
        </is>
      </c>
      <c r="E3032" s="3" t="n">
        <v>0.65</v>
      </c>
      <c r="F3032" s="3" t="n">
        <v>0.3</v>
      </c>
      <c r="G3032" s="3">
        <f>F3032-E3032</f>
        <v/>
      </c>
      <c r="H3032" s="4">
        <f>IF(E3032=0,"",F3032/E3032-1)</f>
        <v/>
      </c>
      <c r="I3032" t="inlineStr"/>
    </row>
    <row r="3033">
      <c r="A3033" t="inlineStr">
        <is>
          <t>Cosmetics, dyes &amp; other chemicals</t>
        </is>
      </c>
      <c r="B3033" t="inlineStr">
        <is>
          <t>38</t>
        </is>
      </c>
      <c r="C3033" t="inlineStr">
        <is>
          <t>38244010</t>
        </is>
      </c>
      <c r="D3033" t="inlineStr">
        <is>
          <t>DAMPPROOF/WTRPRF CMPNDS(E.G. ACQUO-PROOF)</t>
        </is>
      </c>
      <c r="E3033" s="3" t="n">
        <v>0.09</v>
      </c>
      <c r="F3033" s="3" t="n">
        <v>0.3</v>
      </c>
      <c r="G3033" s="3">
        <f>F3033-E3033</f>
        <v/>
      </c>
      <c r="H3033" s="4">
        <f>IF(E3033=0,"",F3033/E3033-1)</f>
        <v/>
      </c>
      <c r="I3033" t="inlineStr"/>
    </row>
    <row r="3034">
      <c r="A3034" t="inlineStr">
        <is>
          <t>Cosmetics, dyes &amp; other chemicals</t>
        </is>
      </c>
      <c r="B3034" t="inlineStr">
        <is>
          <t>34</t>
        </is>
      </c>
      <c r="C3034" t="inlineStr">
        <is>
          <t>34031100</t>
        </is>
      </c>
      <c r="D3034" t="inlineStr">
        <is>
          <t>PRPNS FOR THE TRTMNT OF TXTL MATRLS LEATHER FURSKINS/OTHER MATERIALS CONTNG PETROLIUM OILS/OIL OBTND FROM BITMNS</t>
        </is>
      </c>
      <c r="E3034" s="3" t="n">
        <v>0.22</v>
      </c>
      <c r="F3034" s="3" t="n">
        <v>0.29</v>
      </c>
      <c r="G3034" s="3">
        <f>F3034-E3034</f>
        <v/>
      </c>
      <c r="H3034" s="4">
        <f>IF(E3034=0,"",F3034/E3034-1)</f>
        <v/>
      </c>
      <c r="I3034" t="inlineStr"/>
    </row>
    <row r="3035">
      <c r="A3035" t="inlineStr">
        <is>
          <t>Cosmetics, dyes &amp; other chemicals</t>
        </is>
      </c>
      <c r="B3035" t="inlineStr">
        <is>
          <t>38</t>
        </is>
      </c>
      <c r="C3035" t="inlineStr">
        <is>
          <t>38279000</t>
        </is>
      </c>
      <c r="D3035" t="inlineStr">
        <is>
          <t>OTHERS-OF-OTHERS-OF-MIXTURES CONTAINING HALOGENATED DERIVATIVES OF METHANE,ETHANE OR PROPANE, NOT ELSEWHERE SPECIFIED OR INCLU</t>
        </is>
      </c>
      <c r="E3035" s="3" t="n">
        <v>0.27</v>
      </c>
      <c r="F3035" s="3" t="n">
        <v>0.29</v>
      </c>
      <c r="G3035" s="3">
        <f>F3035-E3035</f>
        <v/>
      </c>
      <c r="H3035" s="4">
        <f>IF(E3035=0,"",F3035/E3035-1)</f>
        <v/>
      </c>
      <c r="I3035" t="inlineStr"/>
    </row>
    <row r="3036">
      <c r="A3036" t="inlineStr">
        <is>
          <t>Cosmetics, dyes &amp; other chemicals</t>
        </is>
      </c>
      <c r="B3036" t="inlineStr">
        <is>
          <t>38</t>
        </is>
      </c>
      <c r="C3036" t="inlineStr">
        <is>
          <t>38089151</t>
        </is>
      </c>
      <c r="D3036" t="inlineStr">
        <is>
          <t>Goods specified in Supplementary Note 3 to this Chapter</t>
        </is>
      </c>
      <c r="E3036" s="3" t="n">
        <v>0</v>
      </c>
      <c r="F3036" s="3" t="n">
        <v>0.28</v>
      </c>
      <c r="G3036" s="3">
        <f>F3036-E3036</f>
        <v/>
      </c>
      <c r="H3036" s="4">
        <f>IF(E3036=0,"",F3036/E3036-1)</f>
        <v/>
      </c>
      <c r="I3036" t="inlineStr"/>
    </row>
    <row r="3037">
      <c r="A3037" t="inlineStr">
        <is>
          <t>Cosmetics, dyes &amp; other chemicals</t>
        </is>
      </c>
      <c r="B3037" t="inlineStr">
        <is>
          <t>38</t>
        </is>
      </c>
      <c r="C3037" t="inlineStr">
        <is>
          <t>38109010</t>
        </is>
      </c>
      <c r="D3037" t="inlineStr">
        <is>
          <t>PREPARATIONS OF A KIND USED AS CORES OR COATINGS FOR WELDING ELECTRODES AND RODS</t>
        </is>
      </c>
      <c r="E3037" s="3" t="n">
        <v>0</v>
      </c>
      <c r="F3037" s="3" t="n">
        <v>0.28</v>
      </c>
      <c r="G3037" s="3">
        <f>F3037-E3037</f>
        <v/>
      </c>
      <c r="H3037" s="4">
        <f>IF(E3037=0,"",F3037/E3037-1)</f>
        <v/>
      </c>
      <c r="I3037" t="inlineStr"/>
    </row>
    <row r="3038">
      <c r="A3038" t="inlineStr">
        <is>
          <t>Cosmetics, dyes &amp; other chemicals</t>
        </is>
      </c>
      <c r="B3038" t="inlineStr">
        <is>
          <t>31</t>
        </is>
      </c>
      <c r="C3038" t="inlineStr">
        <is>
          <t>31010099</t>
        </is>
      </c>
      <c r="D3038" t="inlineStr">
        <is>
          <t>OTHER ANML/VGTBL FRTLSRS,W/N MIXED TOGETH.CHMCLY TRTD;FERTILISERS PRDCD BY THE MXNG/CHMCL TREATMNT OF ANML/VEGTBL PRDCTS</t>
        </is>
      </c>
      <c r="E3038" s="3" t="n">
        <v>0.02</v>
      </c>
      <c r="F3038" s="3" t="n">
        <v>0.27</v>
      </c>
      <c r="G3038" s="3">
        <f>F3038-E3038</f>
        <v/>
      </c>
      <c r="H3038" s="4">
        <f>IF(E3038=0,"",F3038/E3038-1)</f>
        <v/>
      </c>
      <c r="I3038" t="inlineStr"/>
    </row>
    <row r="3039">
      <c r="A3039" t="inlineStr">
        <is>
          <t>Cosmetics, dyes &amp; other chemicals</t>
        </is>
      </c>
      <c r="B3039" t="inlineStr">
        <is>
          <t>35</t>
        </is>
      </c>
      <c r="C3039" t="inlineStr">
        <is>
          <t>35079010</t>
        </is>
      </c>
      <c r="D3039" t="inlineStr">
        <is>
          <t>INDUSTRIAL ENZYMES(TEXTILE ASSISTANT)</t>
        </is>
      </c>
      <c r="E3039" s="3" t="n">
        <v>0.25</v>
      </c>
      <c r="F3039" s="3" t="n">
        <v>0.27</v>
      </c>
      <c r="G3039" s="3">
        <f>F3039-E3039</f>
        <v/>
      </c>
      <c r="H3039" s="4">
        <f>IF(E3039=0,"",F3039/E3039-1)</f>
        <v/>
      </c>
      <c r="I3039" t="inlineStr"/>
    </row>
    <row r="3040">
      <c r="A3040" t="inlineStr">
        <is>
          <t>Cosmetics, dyes &amp; other chemicals</t>
        </is>
      </c>
      <c r="B3040" t="inlineStr">
        <is>
          <t>38</t>
        </is>
      </c>
      <c r="C3040" t="inlineStr">
        <is>
          <t>38099130</t>
        </is>
      </c>
      <c r="D3040" t="inlineStr">
        <is>
          <t>TEXTILE ASSISTANTS DISPERSING AGENTS</t>
        </is>
      </c>
      <c r="E3040" s="3" t="n">
        <v>0.07000000000000001</v>
      </c>
      <c r="F3040" s="3" t="n">
        <v>0.27</v>
      </c>
      <c r="G3040" s="3">
        <f>F3040-E3040</f>
        <v/>
      </c>
      <c r="H3040" s="4">
        <f>IF(E3040=0,"",F3040/E3040-1)</f>
        <v/>
      </c>
      <c r="I3040" t="inlineStr"/>
    </row>
    <row r="3041">
      <c r="A3041" t="inlineStr">
        <is>
          <t>Cosmetics, dyes &amp; other chemicals</t>
        </is>
      </c>
      <c r="B3041" t="inlineStr">
        <is>
          <t>38</t>
        </is>
      </c>
      <c r="C3041" t="inlineStr">
        <is>
          <t>38101020</t>
        </is>
      </c>
      <c r="D3041" t="inlineStr">
        <is>
          <t>THERMITE P0RTI0N F0R WELDING (ALUMINA THERMIC HEAT GENERAT0RS)</t>
        </is>
      </c>
      <c r="E3041" s="3" t="n">
        <v>0.06</v>
      </c>
      <c r="F3041" s="3" t="n">
        <v>0.26</v>
      </c>
      <c r="G3041" s="3">
        <f>F3041-E3041</f>
        <v/>
      </c>
      <c r="H3041" s="4">
        <f>IF(E3041=0,"",F3041/E3041-1)</f>
        <v/>
      </c>
      <c r="I3041" t="inlineStr"/>
    </row>
    <row r="3042">
      <c r="A3042" t="inlineStr">
        <is>
          <t>Cosmetics, dyes &amp; other chemicals</t>
        </is>
      </c>
      <c r="B3042" t="inlineStr">
        <is>
          <t>32</t>
        </is>
      </c>
      <c r="C3042" t="inlineStr">
        <is>
          <t>32041711</t>
        </is>
      </c>
      <c r="D3042" t="inlineStr">
        <is>
          <t>PIGMENTS YELLOW 1(HANSA YELLOW)</t>
        </is>
      </c>
      <c r="E3042" s="3" t="n">
        <v>0.2</v>
      </c>
      <c r="F3042" s="3" t="n">
        <v>0.25</v>
      </c>
      <c r="G3042" s="3">
        <f>F3042-E3042</f>
        <v/>
      </c>
      <c r="H3042" s="4">
        <f>IF(E3042=0,"",F3042/E3042-1)</f>
        <v/>
      </c>
      <c r="I3042" t="inlineStr"/>
    </row>
    <row r="3043">
      <c r="A3043" t="inlineStr">
        <is>
          <t>Cosmetics, dyes &amp; other chemicals</t>
        </is>
      </c>
      <c r="B3043" t="inlineStr">
        <is>
          <t>38</t>
        </is>
      </c>
      <c r="C3043" t="inlineStr">
        <is>
          <t>38276300</t>
        </is>
      </c>
      <c r="D3043" t="inlineStr">
        <is>
          <t>OTHER,NOT INCLUDED IN THE SUB-HEADINGS ABOVE, CONTAINING 40% OR MORE BY MASS OF PENTAFLUROETHANE (HFC-125)</t>
        </is>
      </c>
      <c r="E3043" s="3" t="n">
        <v>0</v>
      </c>
      <c r="F3043" s="3" t="n">
        <v>0.25</v>
      </c>
      <c r="G3043" s="3">
        <f>F3043-E3043</f>
        <v/>
      </c>
      <c r="H3043" s="4">
        <f>IF(E3043=0,"",F3043/E3043-1)</f>
        <v/>
      </c>
      <c r="I3043" t="inlineStr"/>
    </row>
    <row r="3044">
      <c r="A3044" t="inlineStr">
        <is>
          <t>Cosmetics, dyes &amp; other chemicals</t>
        </is>
      </c>
      <c r="B3044" t="inlineStr">
        <is>
          <t>34</t>
        </is>
      </c>
      <c r="C3044" t="inlineStr">
        <is>
          <t>34042000</t>
        </is>
      </c>
      <c r="D3044" t="inlineStr">
        <is>
          <t>ARTFCL WAXES POLYETHYLENE GLYCOL</t>
        </is>
      </c>
      <c r="E3044" s="3" t="n">
        <v>0.21</v>
      </c>
      <c r="F3044" s="3" t="n">
        <v>0.24</v>
      </c>
      <c r="G3044" s="3">
        <f>F3044-E3044</f>
        <v/>
      </c>
      <c r="H3044" s="4">
        <f>IF(E3044=0,"",F3044/E3044-1)</f>
        <v/>
      </c>
      <c r="I3044" t="inlineStr"/>
    </row>
    <row r="3045">
      <c r="A3045" t="inlineStr">
        <is>
          <t>Cosmetics, dyes &amp; other chemicals</t>
        </is>
      </c>
      <c r="B3045" t="inlineStr">
        <is>
          <t>32</t>
        </is>
      </c>
      <c r="C3045" t="inlineStr">
        <is>
          <t>32041761</t>
        </is>
      </c>
      <c r="D3045" t="inlineStr">
        <is>
          <t>PIGMENT GREEN 7 (PATHALOVYANINE GREEN)</t>
        </is>
      </c>
      <c r="E3045" s="3" t="n">
        <v>0.23</v>
      </c>
      <c r="F3045" s="3" t="n">
        <v>0.2</v>
      </c>
      <c r="G3045" s="3">
        <f>F3045-E3045</f>
        <v/>
      </c>
      <c r="H3045" s="4">
        <f>IF(E3045=0,"",F3045/E3045-1)</f>
        <v/>
      </c>
      <c r="I3045" t="inlineStr"/>
    </row>
    <row r="3046">
      <c r="A3046" t="inlineStr">
        <is>
          <t>Cosmetics, dyes &amp; other chemicals</t>
        </is>
      </c>
      <c r="B3046" t="inlineStr">
        <is>
          <t>33</t>
        </is>
      </c>
      <c r="C3046" t="inlineStr">
        <is>
          <t>33030020</t>
        </is>
      </c>
      <c r="D3046" t="inlineStr">
        <is>
          <t>ROSE WATER</t>
        </is>
      </c>
      <c r="E3046" s="3" t="n">
        <v>0.29</v>
      </c>
      <c r="F3046" s="3" t="n">
        <v>0.2</v>
      </c>
      <c r="G3046" s="3">
        <f>F3046-E3046</f>
        <v/>
      </c>
      <c r="H3046" s="4">
        <f>IF(E3046=0,"",F3046/E3046-1)</f>
        <v/>
      </c>
      <c r="I3046" t="inlineStr"/>
    </row>
    <row r="3047">
      <c r="A3047" t="inlineStr">
        <is>
          <t>Cosmetics, dyes &amp; other chemicals</t>
        </is>
      </c>
      <c r="B3047" t="inlineStr">
        <is>
          <t>34</t>
        </is>
      </c>
      <c r="C3047" t="inlineStr">
        <is>
          <t>34011911</t>
        </is>
      </c>
      <c r="D3047" t="inlineStr">
        <is>
          <t>INDUSTRIAL SOAP &gt; 500GM IN WEIGHT</t>
        </is>
      </c>
      <c r="E3047" s="3" t="n">
        <v>0.23</v>
      </c>
      <c r="F3047" s="3" t="n">
        <v>0.2</v>
      </c>
      <c r="G3047" s="3">
        <f>F3047-E3047</f>
        <v/>
      </c>
      <c r="H3047" s="4">
        <f>IF(E3047=0,"",F3047/E3047-1)</f>
        <v/>
      </c>
      <c r="I3047" t="inlineStr"/>
    </row>
    <row r="3048">
      <c r="A3048" t="inlineStr">
        <is>
          <t>Cosmetics, dyes &amp; other chemicals</t>
        </is>
      </c>
      <c r="B3048" t="inlineStr">
        <is>
          <t>38</t>
        </is>
      </c>
      <c r="C3048" t="inlineStr">
        <is>
          <t>38229010</t>
        </is>
      </c>
      <c r="D3048" t="inlineStr">
        <is>
          <t>CERTIFIED REFERENCE MATERIALS</t>
        </is>
      </c>
      <c r="E3048" s="3" t="n">
        <v>0.13</v>
      </c>
      <c r="F3048" s="3" t="n">
        <v>0.2</v>
      </c>
      <c r="G3048" s="3">
        <f>F3048-E3048</f>
        <v/>
      </c>
      <c r="H3048" s="4">
        <f>IF(E3048=0,"",F3048/E3048-1)</f>
        <v/>
      </c>
      <c r="I3048" t="inlineStr"/>
    </row>
    <row r="3049">
      <c r="A3049" t="inlineStr">
        <is>
          <t>Cosmetics, dyes &amp; other chemicals</t>
        </is>
      </c>
      <c r="B3049" t="inlineStr">
        <is>
          <t>33</t>
        </is>
      </c>
      <c r="C3049" t="inlineStr">
        <is>
          <t>33029012</t>
        </is>
      </c>
      <c r="D3049" t="inlineStr">
        <is>
          <t>SYNTHETIC ESSENTIAL OILS</t>
        </is>
      </c>
      <c r="E3049" s="3" t="n">
        <v>0</v>
      </c>
      <c r="F3049" s="3" t="n">
        <v>0.19</v>
      </c>
      <c r="G3049" s="3">
        <f>F3049-E3049</f>
        <v/>
      </c>
      <c r="H3049" s="4">
        <f>IF(E3049=0,"",F3049/E3049-1)</f>
        <v/>
      </c>
      <c r="I3049" t="inlineStr"/>
    </row>
    <row r="3050">
      <c r="A3050" t="inlineStr">
        <is>
          <t>Cosmetics, dyes &amp; other chemicals</t>
        </is>
      </c>
      <c r="B3050" t="inlineStr">
        <is>
          <t>33</t>
        </is>
      </c>
      <c r="C3050" t="inlineStr">
        <is>
          <t>33030010</t>
        </is>
      </c>
      <c r="D3050" t="inlineStr">
        <is>
          <t>EAU-DE-COLOGNE</t>
        </is>
      </c>
      <c r="E3050" s="3" t="n">
        <v>0.47</v>
      </c>
      <c r="F3050" s="3" t="n">
        <v>0.19</v>
      </c>
      <c r="G3050" s="3">
        <f>F3050-E3050</f>
        <v/>
      </c>
      <c r="H3050" s="4">
        <f>IF(E3050=0,"",F3050/E3050-1)</f>
        <v/>
      </c>
      <c r="I3050" t="inlineStr"/>
    </row>
    <row r="3051">
      <c r="A3051" t="inlineStr">
        <is>
          <t>Cosmetics, dyes &amp; other chemicals</t>
        </is>
      </c>
      <c r="B3051" t="inlineStr">
        <is>
          <t>34</t>
        </is>
      </c>
      <c r="C3051" t="inlineStr">
        <is>
          <t>34029059</t>
        </is>
      </c>
      <c r="D3051" t="inlineStr">
        <is>
          <t>OTHER (WASHING PREPARATIONS)</t>
        </is>
      </c>
      <c r="E3051" s="3" t="n">
        <v>0.23</v>
      </c>
      <c r="F3051" s="3" t="n">
        <v>0.19</v>
      </c>
      <c r="G3051" s="3">
        <f>F3051-E3051</f>
        <v/>
      </c>
      <c r="H3051" s="4">
        <f>IF(E3051=0,"",F3051/E3051-1)</f>
        <v/>
      </c>
      <c r="I3051" t="inlineStr"/>
    </row>
    <row r="3052">
      <c r="A3052" t="inlineStr">
        <is>
          <t>Cosmetics, dyes &amp; other chemicals</t>
        </is>
      </c>
      <c r="B3052" t="inlineStr">
        <is>
          <t>32</t>
        </is>
      </c>
      <c r="C3052" t="inlineStr">
        <is>
          <t>32064100</t>
        </is>
      </c>
      <c r="D3052" t="inlineStr">
        <is>
          <t>ULTRAMARIN AND PRPTNS BASD THEREON</t>
        </is>
      </c>
      <c r="E3052" s="3" t="n">
        <v>0.19</v>
      </c>
      <c r="F3052" s="3" t="n">
        <v>0.18</v>
      </c>
      <c r="G3052" s="3">
        <f>F3052-E3052</f>
        <v/>
      </c>
      <c r="H3052" s="4">
        <f>IF(E3052=0,"",F3052/E3052-1)</f>
        <v/>
      </c>
      <c r="I3052" t="inlineStr"/>
    </row>
    <row r="3053">
      <c r="A3053" t="inlineStr">
        <is>
          <t>Cosmetics, dyes &amp; other chemicals</t>
        </is>
      </c>
      <c r="B3053" t="inlineStr">
        <is>
          <t>32</t>
        </is>
      </c>
      <c r="C3053" t="inlineStr">
        <is>
          <t>32091090</t>
        </is>
      </c>
      <c r="D3053" t="inlineStr">
        <is>
          <t>OTHR PAINTS BSD ON ACRYLC/VNYL POLYMR</t>
        </is>
      </c>
      <c r="E3053" s="3" t="n">
        <v>0</v>
      </c>
      <c r="F3053" s="3" t="n">
        <v>0.18</v>
      </c>
      <c r="G3053" s="3">
        <f>F3053-E3053</f>
        <v/>
      </c>
      <c r="H3053" s="4">
        <f>IF(E3053=0,"",F3053/E3053-1)</f>
        <v/>
      </c>
      <c r="I3053" t="inlineStr"/>
    </row>
    <row r="3054">
      <c r="A3054" t="inlineStr">
        <is>
          <t>Cosmetics, dyes &amp; other chemicals</t>
        </is>
      </c>
      <c r="B3054" t="inlineStr">
        <is>
          <t>38</t>
        </is>
      </c>
      <c r="C3054" t="inlineStr">
        <is>
          <t>38089390</t>
        </is>
      </c>
      <c r="D3054" t="inlineStr">
        <is>
          <t>*OTHER HERBICIDES-ANTI-SPROUTING PRODUCTS</t>
        </is>
      </c>
      <c r="E3054" s="3" t="n">
        <v>0.12</v>
      </c>
      <c r="F3054" s="3" t="n">
        <v>0.18</v>
      </c>
      <c r="G3054" s="3">
        <f>F3054-E3054</f>
        <v/>
      </c>
      <c r="H3054" s="4">
        <f>IF(E3054=0,"",F3054/E3054-1)</f>
        <v/>
      </c>
      <c r="I3054" t="inlineStr"/>
    </row>
    <row r="3055">
      <c r="A3055" t="inlineStr">
        <is>
          <t>Cosmetics, dyes &amp; other chemicals</t>
        </is>
      </c>
      <c r="B3055" t="inlineStr">
        <is>
          <t>38</t>
        </is>
      </c>
      <c r="C3055" t="inlineStr">
        <is>
          <t>38237090</t>
        </is>
      </c>
      <c r="D3055" t="inlineStr">
        <is>
          <t>OTHER INDUSTRIAL FATTY ALCOHOL</t>
        </is>
      </c>
      <c r="E3055" s="3" t="n">
        <v>0.13</v>
      </c>
      <c r="F3055" s="3" t="n">
        <v>0.18</v>
      </c>
      <c r="G3055" s="3">
        <f>F3055-E3055</f>
        <v/>
      </c>
      <c r="H3055" s="4">
        <f>IF(E3055=0,"",F3055/E3055-1)</f>
        <v/>
      </c>
      <c r="I3055" t="inlineStr"/>
    </row>
    <row r="3056">
      <c r="A3056" t="inlineStr">
        <is>
          <t>Cosmetics, dyes &amp; other chemicals</t>
        </is>
      </c>
      <c r="B3056" t="inlineStr">
        <is>
          <t>34</t>
        </is>
      </c>
      <c r="C3056" t="inlineStr">
        <is>
          <t>34060010</t>
        </is>
      </c>
      <c r="D3056" t="inlineStr">
        <is>
          <t>CANDLES</t>
        </is>
      </c>
      <c r="E3056" s="3" t="n">
        <v>0.01</v>
      </c>
      <c r="F3056" s="3" t="n">
        <v>0.17</v>
      </c>
      <c r="G3056" s="3">
        <f>F3056-E3056</f>
        <v/>
      </c>
      <c r="H3056" s="4">
        <f>IF(E3056=0,"",F3056/E3056-1)</f>
        <v/>
      </c>
      <c r="I3056" t="inlineStr"/>
    </row>
    <row r="3057">
      <c r="A3057" t="inlineStr">
        <is>
          <t>Cosmetics, dyes &amp; other chemicals</t>
        </is>
      </c>
      <c r="B3057" t="inlineStr">
        <is>
          <t>38</t>
        </is>
      </c>
      <c r="C3057" t="inlineStr">
        <is>
          <t>38085900</t>
        </is>
      </c>
      <c r="D3057" t="inlineStr">
        <is>
          <t>OTHERS-OF-OTHERS-OF-INSCTCDS,RDNTCDS,FNGCDS,HRBCDS,ANTSPROUTNGPRDCTS AND PLNTGRWTH RGLTRS-DSINFCTNTS ETCIN PCKNGS/AS ARTCLS (S</t>
        </is>
      </c>
      <c r="E3057" s="3" t="n">
        <v>0</v>
      </c>
      <c r="F3057" s="3" t="n">
        <v>0.17</v>
      </c>
      <c r="G3057" s="3">
        <f>F3057-E3057</f>
        <v/>
      </c>
      <c r="H3057" s="4">
        <f>IF(E3057=0,"",F3057/E3057-1)</f>
        <v/>
      </c>
      <c r="I3057" t="inlineStr"/>
    </row>
    <row r="3058">
      <c r="A3058" t="inlineStr">
        <is>
          <t>Cosmetics, dyes &amp; other chemicals</t>
        </is>
      </c>
      <c r="B3058" t="inlineStr">
        <is>
          <t>32</t>
        </is>
      </c>
      <c r="C3058" t="inlineStr">
        <is>
          <t>32151940</t>
        </is>
      </c>
      <c r="D3058" t="inlineStr">
        <is>
          <t>OTHER SCREEN PRINTING INK</t>
        </is>
      </c>
      <c r="E3058" s="3" t="n">
        <v>0.09</v>
      </c>
      <c r="F3058" s="3" t="n">
        <v>0.16</v>
      </c>
      <c r="G3058" s="3">
        <f>F3058-E3058</f>
        <v/>
      </c>
      <c r="H3058" s="4">
        <f>IF(E3058=0,"",F3058/E3058-1)</f>
        <v/>
      </c>
      <c r="I3058" t="inlineStr"/>
    </row>
    <row r="3059">
      <c r="A3059" t="inlineStr">
        <is>
          <t>Cosmetics, dyes &amp; other chemicals</t>
        </is>
      </c>
      <c r="B3059" t="inlineStr">
        <is>
          <t>33</t>
        </is>
      </c>
      <c r="C3059" t="inlineStr">
        <is>
          <t>33019013</t>
        </is>
      </c>
      <c r="D3059" t="inlineStr">
        <is>
          <t>PEPPER OLEORESINS</t>
        </is>
      </c>
      <c r="E3059" s="3" t="n">
        <v>0.42</v>
      </c>
      <c r="F3059" s="3" t="n">
        <v>0.16</v>
      </c>
      <c r="G3059" s="3">
        <f>F3059-E3059</f>
        <v/>
      </c>
      <c r="H3059" s="4">
        <f>IF(E3059=0,"",F3059/E3059-1)</f>
        <v/>
      </c>
      <c r="I3059" t="inlineStr"/>
    </row>
    <row r="3060">
      <c r="A3060" t="inlineStr">
        <is>
          <t>Cosmetics, dyes &amp; other chemicals</t>
        </is>
      </c>
      <c r="B3060" t="inlineStr">
        <is>
          <t>35</t>
        </is>
      </c>
      <c r="C3060" t="inlineStr">
        <is>
          <t>35051010</t>
        </is>
      </c>
      <c r="D3060" t="inlineStr">
        <is>
          <t>ESTERIFIED STARCHES</t>
        </is>
      </c>
      <c r="E3060" s="3" t="n">
        <v>0</v>
      </c>
      <c r="F3060" s="3" t="n">
        <v>0.16</v>
      </c>
      <c r="G3060" s="3">
        <f>F3060-E3060</f>
        <v/>
      </c>
      <c r="H3060" s="4">
        <f>IF(E3060=0,"",F3060/E3060-1)</f>
        <v/>
      </c>
      <c r="I3060" t="inlineStr"/>
    </row>
    <row r="3061">
      <c r="A3061" t="inlineStr">
        <is>
          <t>Cosmetics, dyes &amp; other chemicals</t>
        </is>
      </c>
      <c r="B3061" t="inlineStr">
        <is>
          <t>35</t>
        </is>
      </c>
      <c r="C3061" t="inlineStr">
        <is>
          <t>35079099</t>
        </is>
      </c>
      <c r="D3061" t="inlineStr">
        <is>
          <t>OTHR ENZYMES PREPARED ENZYMES NES</t>
        </is>
      </c>
      <c r="E3061" s="3" t="n">
        <v>0.09</v>
      </c>
      <c r="F3061" s="3" t="n">
        <v>0.16</v>
      </c>
      <c r="G3061" s="3">
        <f>F3061-E3061</f>
        <v/>
      </c>
      <c r="H3061" s="4">
        <f>IF(E3061=0,"",F3061/E3061-1)</f>
        <v/>
      </c>
      <c r="I3061" t="inlineStr"/>
    </row>
    <row r="3062">
      <c r="A3062" t="inlineStr">
        <is>
          <t>Cosmetics, dyes &amp; other chemicals</t>
        </is>
      </c>
      <c r="B3062" t="inlineStr">
        <is>
          <t>33</t>
        </is>
      </c>
      <c r="C3062" t="inlineStr">
        <is>
          <t>33069000</t>
        </is>
      </c>
      <c r="D3062" t="inlineStr">
        <is>
          <t>OTHR PRPNS ORAL/DENTAL HYGNE</t>
        </is>
      </c>
      <c r="E3062" s="3" t="n">
        <v>0.03</v>
      </c>
      <c r="F3062" s="3" t="n">
        <v>0.15</v>
      </c>
      <c r="G3062" s="3">
        <f>F3062-E3062</f>
        <v/>
      </c>
      <c r="H3062" s="4">
        <f>IF(E3062=0,"",F3062/E3062-1)</f>
        <v/>
      </c>
      <c r="I3062" t="inlineStr"/>
    </row>
    <row r="3063">
      <c r="A3063" t="inlineStr">
        <is>
          <t>Cosmetics, dyes &amp; other chemicals</t>
        </is>
      </c>
      <c r="B3063" t="inlineStr">
        <is>
          <t>34</t>
        </is>
      </c>
      <c r="C3063" t="inlineStr">
        <is>
          <t>34059090</t>
        </is>
      </c>
      <c r="D3063" t="inlineStr">
        <is>
          <t>OTHER POLISHES AND CREAMS</t>
        </is>
      </c>
      <c r="E3063" s="3" t="n">
        <v>0.2</v>
      </c>
      <c r="F3063" s="3" t="n">
        <v>0.15</v>
      </c>
      <c r="G3063" s="3">
        <f>F3063-E3063</f>
        <v/>
      </c>
      <c r="H3063" s="4">
        <f>IF(E3063=0,"",F3063/E3063-1)</f>
        <v/>
      </c>
      <c r="I3063" t="inlineStr"/>
    </row>
    <row r="3064">
      <c r="A3064" t="inlineStr">
        <is>
          <t>Cosmetics, dyes &amp; other chemicals</t>
        </is>
      </c>
      <c r="B3064" t="inlineStr">
        <is>
          <t>33</t>
        </is>
      </c>
      <c r="C3064" t="inlineStr">
        <is>
          <t>33029019</t>
        </is>
      </c>
      <c r="D3064" t="inlineStr">
        <is>
          <t>OTHER MXTR OF AROMATIC CHEMICALS ANDESSN OIL</t>
        </is>
      </c>
      <c r="E3064" s="3" t="n">
        <v>0.38</v>
      </c>
      <c r="F3064" s="3" t="n">
        <v>0.14</v>
      </c>
      <c r="G3064" s="3">
        <f>F3064-E3064</f>
        <v/>
      </c>
      <c r="H3064" s="4">
        <f>IF(E3064=0,"",F3064/E3064-1)</f>
        <v/>
      </c>
      <c r="I3064" t="inlineStr"/>
    </row>
    <row r="3065">
      <c r="A3065" t="inlineStr">
        <is>
          <t>Cosmetics, dyes &amp; other chemicals</t>
        </is>
      </c>
      <c r="B3065" t="inlineStr">
        <is>
          <t>34</t>
        </is>
      </c>
      <c r="C3065" t="inlineStr">
        <is>
          <t>34029091</t>
        </is>
      </c>
      <c r="D3065" t="inlineStr">
        <is>
          <t>WASHING AND CLEANING PREPARATIONS HAVING BASIS OF SOAP/OTHER ORGANIC SURFACE ACTIVE(OTHER PREPARATIONS)</t>
        </is>
      </c>
      <c r="E3065" s="3" t="n">
        <v>0.05</v>
      </c>
      <c r="F3065" s="3" t="n">
        <v>0.14</v>
      </c>
      <c r="G3065" s="3">
        <f>F3065-E3065</f>
        <v/>
      </c>
      <c r="H3065" s="4">
        <f>IF(E3065=0,"",F3065/E3065-1)</f>
        <v/>
      </c>
      <c r="I3065" t="inlineStr"/>
    </row>
    <row r="3066">
      <c r="A3066" t="inlineStr">
        <is>
          <t>Cosmetics, dyes &amp; other chemicals</t>
        </is>
      </c>
      <c r="B3066" t="inlineStr">
        <is>
          <t>33</t>
        </is>
      </c>
      <c r="C3066" t="inlineStr">
        <is>
          <t>33030030</t>
        </is>
      </c>
      <c r="D3066" t="inlineStr">
        <is>
          <t>KEORA WATER</t>
        </is>
      </c>
      <c r="E3066" s="3" t="n">
        <v>0.07000000000000001</v>
      </c>
      <c r="F3066" s="3" t="n">
        <v>0.13</v>
      </c>
      <c r="G3066" s="3">
        <f>F3066-E3066</f>
        <v/>
      </c>
      <c r="H3066" s="4">
        <f>IF(E3066=0,"",F3066/E3066-1)</f>
        <v/>
      </c>
      <c r="I3066" t="inlineStr"/>
    </row>
    <row r="3067">
      <c r="A3067" t="inlineStr">
        <is>
          <t>Cosmetics, dyes &amp; other chemicals</t>
        </is>
      </c>
      <c r="B3067" t="inlineStr">
        <is>
          <t>33</t>
        </is>
      </c>
      <c r="C3067" t="inlineStr">
        <is>
          <t>33062000</t>
        </is>
      </c>
      <c r="D3067" t="inlineStr">
        <is>
          <t>YARN TO CLEAN BETWN TEETH (DNTL FLOSS)</t>
        </is>
      </c>
      <c r="E3067" s="3" t="n">
        <v>0.09</v>
      </c>
      <c r="F3067" s="3" t="n">
        <v>0.13</v>
      </c>
      <c r="G3067" s="3">
        <f>F3067-E3067</f>
        <v/>
      </c>
      <c r="H3067" s="4">
        <f>IF(E3067=0,"",F3067/E3067-1)</f>
        <v/>
      </c>
      <c r="I3067" t="inlineStr"/>
    </row>
    <row r="3068">
      <c r="A3068" t="inlineStr">
        <is>
          <t>Cosmetics, dyes &amp; other chemicals</t>
        </is>
      </c>
      <c r="B3068" t="inlineStr">
        <is>
          <t>38</t>
        </is>
      </c>
      <c r="C3068" t="inlineStr">
        <is>
          <t>38099110</t>
        </is>
      </c>
      <c r="D3068" t="inlineStr">
        <is>
          <t>TEXTILE ASSISTANTS MORDANTING AGENTS</t>
        </is>
      </c>
      <c r="E3068" s="3" t="n">
        <v>0.04</v>
      </c>
      <c r="F3068" s="3" t="n">
        <v>0.13</v>
      </c>
      <c r="G3068" s="3">
        <f>F3068-E3068</f>
        <v/>
      </c>
      <c r="H3068" s="4">
        <f>IF(E3068=0,"",F3068/E3068-1)</f>
        <v/>
      </c>
      <c r="I3068" t="inlineStr"/>
    </row>
    <row r="3069">
      <c r="A3069" t="inlineStr">
        <is>
          <t>Cosmetics, dyes &amp; other chemicals</t>
        </is>
      </c>
      <c r="B3069" t="inlineStr">
        <is>
          <t>33</t>
        </is>
      </c>
      <c r="C3069" t="inlineStr">
        <is>
          <t>33049940</t>
        </is>
      </c>
      <c r="D3069" t="inlineStr">
        <is>
          <t>SINDUR,BINDI,KUMKUM</t>
        </is>
      </c>
      <c r="E3069" s="3" t="n">
        <v>0.07000000000000001</v>
      </c>
      <c r="F3069" s="3" t="n">
        <v>0.12</v>
      </c>
      <c r="G3069" s="3">
        <f>F3069-E3069</f>
        <v/>
      </c>
      <c r="H3069" s="4">
        <f>IF(E3069=0,"",F3069/E3069-1)</f>
        <v/>
      </c>
      <c r="I3069" t="inlineStr"/>
    </row>
    <row r="3070">
      <c r="A3070" t="inlineStr">
        <is>
          <t>Cosmetics, dyes &amp; other chemicals</t>
        </is>
      </c>
      <c r="B3070" t="inlineStr">
        <is>
          <t>34</t>
        </is>
      </c>
      <c r="C3070" t="inlineStr">
        <is>
          <t>34054000</t>
        </is>
      </c>
      <c r="D3070" t="inlineStr">
        <is>
          <t>SCOURING PASTES,PWDRS AND OTHR SCRNG PRPNS</t>
        </is>
      </c>
      <c r="E3070" s="3" t="n">
        <v>0.08</v>
      </c>
      <c r="F3070" s="3" t="n">
        <v>0.12</v>
      </c>
      <c r="G3070" s="3">
        <f>F3070-E3070</f>
        <v/>
      </c>
      <c r="H3070" s="4">
        <f>IF(E3070=0,"",F3070/E3070-1)</f>
        <v/>
      </c>
      <c r="I3070" t="inlineStr"/>
    </row>
    <row r="3071">
      <c r="A3071" t="inlineStr">
        <is>
          <t>Cosmetics, dyes &amp; other chemicals</t>
        </is>
      </c>
      <c r="B3071" t="inlineStr">
        <is>
          <t>33</t>
        </is>
      </c>
      <c r="C3071" t="inlineStr">
        <is>
          <t>33012945</t>
        </is>
      </c>
      <c r="D3071" t="inlineStr">
        <is>
          <t>CUMIN OIL</t>
        </is>
      </c>
      <c r="E3071" s="3" t="n">
        <v>0.1</v>
      </c>
      <c r="F3071" s="3" t="n">
        <v>0.11</v>
      </c>
      <c r="G3071" s="3">
        <f>F3071-E3071</f>
        <v/>
      </c>
      <c r="H3071" s="4">
        <f>IF(E3071=0,"",F3071/E3071-1)</f>
        <v/>
      </c>
      <c r="I3071" t="inlineStr"/>
    </row>
    <row r="3072">
      <c r="A3072" t="inlineStr">
        <is>
          <t>Cosmetics, dyes &amp; other chemicals</t>
        </is>
      </c>
      <c r="B3072" t="inlineStr">
        <is>
          <t>33</t>
        </is>
      </c>
      <c r="C3072" t="inlineStr">
        <is>
          <t>33019021</t>
        </is>
      </c>
      <c r="D3072" t="inlineStr">
        <is>
          <t>CLOVE OLEORESIN</t>
        </is>
      </c>
      <c r="E3072" s="3" t="n">
        <v>0.03</v>
      </c>
      <c r="F3072" s="3" t="n">
        <v>0.11</v>
      </c>
      <c r="G3072" s="3">
        <f>F3072-E3072</f>
        <v/>
      </c>
      <c r="H3072" s="4">
        <f>IF(E3072=0,"",F3072/E3072-1)</f>
        <v/>
      </c>
      <c r="I3072" t="inlineStr"/>
    </row>
    <row r="3073">
      <c r="A3073" t="inlineStr">
        <is>
          <t>Cosmetics, dyes &amp; other chemicals</t>
        </is>
      </c>
      <c r="B3073" t="inlineStr">
        <is>
          <t>34</t>
        </is>
      </c>
      <c r="C3073" t="inlineStr">
        <is>
          <t>34029019</t>
        </is>
      </c>
      <c r="D3073" t="inlineStr">
        <is>
          <t>OTHER (SYNTHETIC DETERGENTS)</t>
        </is>
      </c>
      <c r="E3073" s="3" t="n">
        <v>0.98</v>
      </c>
      <c r="F3073" s="3" t="n">
        <v>0.11</v>
      </c>
      <c r="G3073" s="3">
        <f>F3073-E3073</f>
        <v/>
      </c>
      <c r="H3073" s="4">
        <f>IF(E3073=0,"",F3073/E3073-1)</f>
        <v/>
      </c>
      <c r="I3073" t="inlineStr"/>
    </row>
    <row r="3074">
      <c r="A3074" t="inlineStr">
        <is>
          <t>Cosmetics, dyes &amp; other chemicals</t>
        </is>
      </c>
      <c r="B3074" t="inlineStr">
        <is>
          <t>36</t>
        </is>
      </c>
      <c r="C3074" t="inlineStr">
        <is>
          <t>36036000</t>
        </is>
      </c>
      <c r="D3074" t="inlineStr">
        <is>
          <t>ELECTRIC DETONATORS</t>
        </is>
      </c>
      <c r="E3074" s="3" t="n">
        <v>0.05</v>
      </c>
      <c r="F3074" s="3" t="n">
        <v>0.11</v>
      </c>
      <c r="G3074" s="3">
        <f>F3074-E3074</f>
        <v/>
      </c>
      <c r="H3074" s="4">
        <f>IF(E3074=0,"",F3074/E3074-1)</f>
        <v/>
      </c>
      <c r="I3074" t="inlineStr"/>
    </row>
    <row r="3075">
      <c r="A3075" t="inlineStr">
        <is>
          <t>Cosmetics, dyes &amp; other chemicals</t>
        </is>
      </c>
      <c r="B3075" t="inlineStr">
        <is>
          <t>36</t>
        </is>
      </c>
      <c r="C3075" t="inlineStr">
        <is>
          <t>36069010</t>
        </is>
      </c>
      <c r="D3075" t="inlineStr">
        <is>
          <t>COMBUSTIBLE PREPARATIONS</t>
        </is>
      </c>
      <c r="E3075" s="3" t="n">
        <v>0</v>
      </c>
      <c r="F3075" s="3" t="n">
        <v>0.11</v>
      </c>
      <c r="G3075" s="3">
        <f>F3075-E3075</f>
        <v/>
      </c>
      <c r="H3075" s="4">
        <f>IF(E3075=0,"",F3075/E3075-1)</f>
        <v/>
      </c>
      <c r="I3075" t="inlineStr"/>
    </row>
    <row r="3076">
      <c r="A3076" t="inlineStr">
        <is>
          <t>Cosmetics, dyes &amp; other chemicals</t>
        </is>
      </c>
      <c r="B3076" t="inlineStr">
        <is>
          <t>38</t>
        </is>
      </c>
      <c r="C3076" t="inlineStr">
        <is>
          <t>38221910</t>
        </is>
      </c>
      <c r="D3076" t="inlineStr">
        <is>
          <t>PREGNANCY TEST KIT</t>
        </is>
      </c>
      <c r="E3076" s="3" t="n">
        <v>0.22</v>
      </c>
      <c r="F3076" s="3" t="n">
        <v>0.11</v>
      </c>
      <c r="G3076" s="3">
        <f>F3076-E3076</f>
        <v/>
      </c>
      <c r="H3076" s="4">
        <f>IF(E3076=0,"",F3076/E3076-1)</f>
        <v/>
      </c>
      <c r="I3076" t="inlineStr"/>
    </row>
    <row r="3077">
      <c r="A3077" t="inlineStr">
        <is>
          <t>Cosmetics, dyes &amp; other chemicals</t>
        </is>
      </c>
      <c r="B3077" t="inlineStr">
        <is>
          <t>33</t>
        </is>
      </c>
      <c r="C3077" t="inlineStr">
        <is>
          <t>33074900</t>
        </is>
      </c>
      <c r="D3077" t="inlineStr">
        <is>
          <t>OTHER ODORIFEROUS PRPNS USD FOR DEODORIZING ROOM (EXCL AGARBATTI)</t>
        </is>
      </c>
      <c r="E3077" s="3" t="n">
        <v>0.15</v>
      </c>
      <c r="F3077" s="3" t="n">
        <v>0.1</v>
      </c>
      <c r="G3077" s="3">
        <f>F3077-E3077</f>
        <v/>
      </c>
      <c r="H3077" s="4">
        <f>IF(E3077=0,"",F3077/E3077-1)</f>
        <v/>
      </c>
      <c r="I3077" t="inlineStr"/>
    </row>
    <row r="3078">
      <c r="A3078" t="inlineStr">
        <is>
          <t>Cosmetics, dyes &amp; other chemicals</t>
        </is>
      </c>
      <c r="B3078" t="inlineStr">
        <is>
          <t>35</t>
        </is>
      </c>
      <c r="C3078" t="inlineStr">
        <is>
          <t>35069910</t>
        </is>
      </c>
      <c r="D3078" t="inlineStr">
        <is>
          <t>SYNTHETIC GLUE WITH PHENOL UREA/CRESOL( WTH(WTH FORMALDEHYDE) AS THE MAIN COMPONENT</t>
        </is>
      </c>
      <c r="E3078" s="3" t="n">
        <v>0</v>
      </c>
      <c r="F3078" s="3" t="n">
        <v>0.1</v>
      </c>
      <c r="G3078" s="3">
        <f>F3078-E3078</f>
        <v/>
      </c>
      <c r="H3078" s="4">
        <f>IF(E3078=0,"",F3078/E3078-1)</f>
        <v/>
      </c>
      <c r="I3078" t="inlineStr"/>
    </row>
    <row r="3079">
      <c r="A3079" t="inlineStr">
        <is>
          <t>Cosmetics, dyes &amp; other chemicals</t>
        </is>
      </c>
      <c r="B3079" t="inlineStr">
        <is>
          <t>34</t>
        </is>
      </c>
      <c r="C3079" t="inlineStr">
        <is>
          <t>34070090</t>
        </is>
      </c>
      <c r="D3079" t="inlineStr">
        <is>
          <t>OTHR MODELING PASTESANDOTHR PRPNS IN DIFERNTFORM USED IN DENTISTRY WTH A BASIS OF PLSTR (OF CALCND GYPSUM/</t>
        </is>
      </c>
      <c r="E3079" s="3" t="n">
        <v>0.02</v>
      </c>
      <c r="F3079" s="3" t="n">
        <v>0.09</v>
      </c>
      <c r="G3079" s="3">
        <f>F3079-E3079</f>
        <v/>
      </c>
      <c r="H3079" s="4">
        <f>IF(E3079=0,"",F3079/E3079-1)</f>
        <v/>
      </c>
      <c r="I3079" t="inlineStr"/>
    </row>
    <row r="3080">
      <c r="A3080" t="inlineStr">
        <is>
          <t>Cosmetics, dyes &amp; other chemicals</t>
        </is>
      </c>
      <c r="B3080" t="inlineStr">
        <is>
          <t>38</t>
        </is>
      </c>
      <c r="C3080" t="inlineStr">
        <is>
          <t>38276400</t>
        </is>
      </c>
      <c r="D3080" t="inlineStr">
        <is>
          <t>OTHR,NT INCL. IN THE SUB-HDNG ABVE,CONTNG 30% OR MORE BY MAS OF 1,1,1,2-HFC-134a BT NT CONT UNSAT FLUORINATE DRVT OF HFO</t>
        </is>
      </c>
      <c r="E3080" s="3" t="n">
        <v>0</v>
      </c>
      <c r="F3080" s="3" t="n">
        <v>0.09</v>
      </c>
      <c r="G3080" s="3">
        <f>F3080-E3080</f>
        <v/>
      </c>
      <c r="H3080" s="4">
        <f>IF(E3080=0,"",F3080/E3080-1)</f>
        <v/>
      </c>
      <c r="I3080" t="inlineStr"/>
    </row>
    <row r="3081">
      <c r="A3081" t="inlineStr">
        <is>
          <t>Cosmetics, dyes &amp; other chemicals</t>
        </is>
      </c>
      <c r="B3081" t="inlineStr">
        <is>
          <t>32</t>
        </is>
      </c>
      <c r="C3081" t="inlineStr">
        <is>
          <t>32030020</t>
        </is>
      </c>
      <c r="D3081" t="inlineStr">
        <is>
          <t>FOOD COLOURS OTHER THAN SYNTHETIC</t>
        </is>
      </c>
      <c r="E3081" s="3" t="n">
        <v>0.16</v>
      </c>
      <c r="F3081" s="3" t="n">
        <v>0.08</v>
      </c>
      <c r="G3081" s="3">
        <f>F3081-E3081</f>
        <v/>
      </c>
      <c r="H3081" s="4">
        <f>IF(E3081=0,"",F3081/E3081-1)</f>
        <v/>
      </c>
      <c r="I3081" t="inlineStr"/>
    </row>
    <row r="3082">
      <c r="A3082" t="inlineStr">
        <is>
          <t>Cosmetics, dyes &amp; other chemicals</t>
        </is>
      </c>
      <c r="B3082" t="inlineStr">
        <is>
          <t>32</t>
        </is>
      </c>
      <c r="C3082" t="inlineStr">
        <is>
          <t>32041294</t>
        </is>
      </c>
      <c r="D3082" t="inlineStr">
        <is>
          <t>ACID VIOLETS(NON AZO)</t>
        </is>
      </c>
      <c r="E3082" s="3" t="n">
        <v>0</v>
      </c>
      <c r="F3082" s="3" t="n">
        <v>0.08</v>
      </c>
      <c r="G3082" s="3">
        <f>F3082-E3082</f>
        <v/>
      </c>
      <c r="H3082" s="4">
        <f>IF(E3082=0,"",F3082/E3082-1)</f>
        <v/>
      </c>
      <c r="I3082" t="inlineStr"/>
    </row>
    <row r="3083">
      <c r="A3083" t="inlineStr">
        <is>
          <t>Cosmetics, dyes &amp; other chemicals</t>
        </is>
      </c>
      <c r="B3083" t="inlineStr">
        <is>
          <t>32</t>
        </is>
      </c>
      <c r="C3083" t="inlineStr">
        <is>
          <t>32089011</t>
        </is>
      </c>
      <c r="D3083" t="inlineStr">
        <is>
          <t>NITROCELLULOSE LACQUERS BASED ON CELLULOSEOR OYHER CELLULOSE DERIVATIVES</t>
        </is>
      </c>
      <c r="E3083" s="3" t="n">
        <v>0.24</v>
      </c>
      <c r="F3083" s="3" t="n">
        <v>0.08</v>
      </c>
      <c r="G3083" s="3">
        <f>F3083-E3083</f>
        <v/>
      </c>
      <c r="H3083" s="4">
        <f>IF(E3083=0,"",F3083/E3083-1)</f>
        <v/>
      </c>
      <c r="I3083" t="inlineStr"/>
    </row>
    <row r="3084">
      <c r="A3084" t="inlineStr">
        <is>
          <t>Cosmetics, dyes &amp; other chemicals</t>
        </is>
      </c>
      <c r="B3084" t="inlineStr">
        <is>
          <t>32</t>
        </is>
      </c>
      <c r="C3084" t="inlineStr">
        <is>
          <t>32089029</t>
        </is>
      </c>
      <c r="D3084" t="inlineStr">
        <is>
          <t>OTHR PAINTS VARNSHS (OTHER ENAMELS)</t>
        </is>
      </c>
      <c r="E3084" s="3" t="n">
        <v>0.01</v>
      </c>
      <c r="F3084" s="3" t="n">
        <v>0.08</v>
      </c>
      <c r="G3084" s="3">
        <f>F3084-E3084</f>
        <v/>
      </c>
      <c r="H3084" s="4">
        <f>IF(E3084=0,"",F3084/E3084-1)</f>
        <v/>
      </c>
      <c r="I3084" t="inlineStr"/>
    </row>
    <row r="3085">
      <c r="A3085" t="inlineStr">
        <is>
          <t>Cosmetics, dyes &amp; other chemicals</t>
        </is>
      </c>
      <c r="B3085" t="inlineStr">
        <is>
          <t>33</t>
        </is>
      </c>
      <c r="C3085" t="inlineStr">
        <is>
          <t>33012950</t>
        </is>
      </c>
      <c r="D3085" t="inlineStr">
        <is>
          <t>SPICES OIL,N.E.S.</t>
        </is>
      </c>
      <c r="E3085" s="3" t="n">
        <v>0</v>
      </c>
      <c r="F3085" s="3" t="n">
        <v>0.08</v>
      </c>
      <c r="G3085" s="3">
        <f>F3085-E3085</f>
        <v/>
      </c>
      <c r="H3085" s="4">
        <f>IF(E3085=0,"",F3085/E3085-1)</f>
        <v/>
      </c>
      <c r="I3085" t="inlineStr"/>
    </row>
    <row r="3086">
      <c r="A3086" t="inlineStr">
        <is>
          <t>Cosmetics, dyes &amp; other chemicals</t>
        </is>
      </c>
      <c r="B3086" t="inlineStr">
        <is>
          <t>33</t>
        </is>
      </c>
      <c r="C3086" t="inlineStr">
        <is>
          <t>33012990</t>
        </is>
      </c>
      <c r="D3086" t="inlineStr">
        <is>
          <t>OTHERS-OF-OTHER ESSENTIAL OILS OTHER THAN THOSE OF CITRUS FRUIT</t>
        </is>
      </c>
      <c r="E3086" s="3" t="n">
        <v>0.07000000000000001</v>
      </c>
      <c r="F3086" s="3" t="n">
        <v>0.08</v>
      </c>
      <c r="G3086" s="3">
        <f>F3086-E3086</f>
        <v/>
      </c>
      <c r="H3086" s="4">
        <f>IF(E3086=0,"",F3086/E3086-1)</f>
        <v/>
      </c>
      <c r="I3086" t="inlineStr"/>
    </row>
    <row r="3087">
      <c r="A3087" t="inlineStr">
        <is>
          <t>Cosmetics, dyes &amp; other chemicals</t>
        </is>
      </c>
      <c r="B3087" t="inlineStr">
        <is>
          <t>33</t>
        </is>
      </c>
      <c r="C3087" t="inlineStr">
        <is>
          <t>33071090</t>
        </is>
      </c>
      <c r="D3087" t="inlineStr">
        <is>
          <t>OTHER PRE OR AFTER SHAVE PREPNS</t>
        </is>
      </c>
      <c r="E3087" s="3" t="n">
        <v>0.01</v>
      </c>
      <c r="F3087" s="3" t="n">
        <v>0.08</v>
      </c>
      <c r="G3087" s="3">
        <f>F3087-E3087</f>
        <v/>
      </c>
      <c r="H3087" s="4">
        <f>IF(E3087=0,"",F3087/E3087-1)</f>
        <v/>
      </c>
      <c r="I3087" t="inlineStr"/>
    </row>
    <row r="3088">
      <c r="A3088" t="inlineStr">
        <is>
          <t>Cosmetics, dyes &amp; other chemicals</t>
        </is>
      </c>
      <c r="B3088" t="inlineStr">
        <is>
          <t>35</t>
        </is>
      </c>
      <c r="C3088" t="inlineStr">
        <is>
          <t>35079079</t>
        </is>
      </c>
      <c r="D3088" t="inlineStr">
        <is>
          <t>OTHER ENZYMES OF PHARMACEUTICAL USE</t>
        </is>
      </c>
      <c r="E3088" s="3" t="n">
        <v>0.05</v>
      </c>
      <c r="F3088" s="3" t="n">
        <v>0.08</v>
      </c>
      <c r="G3088" s="3">
        <f>F3088-E3088</f>
        <v/>
      </c>
      <c r="H3088" s="4">
        <f>IF(E3088=0,"",F3088/E3088-1)</f>
        <v/>
      </c>
      <c r="I3088" t="inlineStr"/>
    </row>
    <row r="3089">
      <c r="A3089" t="inlineStr">
        <is>
          <t>Cosmetics, dyes &amp; other chemicals</t>
        </is>
      </c>
      <c r="B3089" t="inlineStr">
        <is>
          <t>32</t>
        </is>
      </c>
      <c r="C3089" t="inlineStr">
        <is>
          <t>32041211</t>
        </is>
      </c>
      <c r="D3089" t="inlineStr">
        <is>
          <t>ACID YELLOWS(AZO)</t>
        </is>
      </c>
      <c r="E3089" s="3" t="n">
        <v>0.04</v>
      </c>
      <c r="F3089" s="3" t="n">
        <v>0.07000000000000001</v>
      </c>
      <c r="G3089" s="3">
        <f>F3089-E3089</f>
        <v/>
      </c>
      <c r="H3089" s="4">
        <f>IF(E3089=0,"",F3089/E3089-1)</f>
        <v/>
      </c>
      <c r="I3089" t="inlineStr"/>
    </row>
    <row r="3090">
      <c r="A3090" t="inlineStr">
        <is>
          <t>Cosmetics, dyes &amp; other chemicals</t>
        </is>
      </c>
      <c r="B3090" t="inlineStr">
        <is>
          <t>32</t>
        </is>
      </c>
      <c r="C3090" t="inlineStr">
        <is>
          <t>32099010</t>
        </is>
      </c>
      <c r="D3090" t="inlineStr">
        <is>
          <t>DISPERSON PAINTS</t>
        </is>
      </c>
      <c r="E3090" s="3" t="n">
        <v>0</v>
      </c>
      <c r="F3090" s="3" t="n">
        <v>0.07000000000000001</v>
      </c>
      <c r="G3090" s="3">
        <f>F3090-E3090</f>
        <v/>
      </c>
      <c r="H3090" s="4">
        <f>IF(E3090=0,"",F3090/E3090-1)</f>
        <v/>
      </c>
      <c r="I3090" t="inlineStr"/>
    </row>
    <row r="3091">
      <c r="A3091" t="inlineStr">
        <is>
          <t>Cosmetics, dyes &amp; other chemicals</t>
        </is>
      </c>
      <c r="B3091" t="inlineStr">
        <is>
          <t>33</t>
        </is>
      </c>
      <c r="C3091" t="inlineStr">
        <is>
          <t>33061010</t>
        </is>
      </c>
      <c r="D3091" t="inlineStr">
        <is>
          <t>TOOTH POWDER</t>
        </is>
      </c>
      <c r="E3091" s="3" t="n">
        <v>0.07000000000000001</v>
      </c>
      <c r="F3091" s="3" t="n">
        <v>0.07000000000000001</v>
      </c>
      <c r="G3091" s="3">
        <f>F3091-E3091</f>
        <v/>
      </c>
      <c r="H3091" s="4">
        <f>IF(E3091=0,"",F3091/E3091-1)</f>
        <v/>
      </c>
      <c r="I3091" t="inlineStr"/>
    </row>
    <row r="3092">
      <c r="A3092" t="inlineStr">
        <is>
          <t>Cosmetics, dyes &amp; other chemicals</t>
        </is>
      </c>
      <c r="B3092" t="inlineStr">
        <is>
          <t>38</t>
        </is>
      </c>
      <c r="C3092" t="inlineStr">
        <is>
          <t>38029011</t>
        </is>
      </c>
      <c r="D3092" t="inlineStr">
        <is>
          <t>ACTIVATED ALUMINA</t>
        </is>
      </c>
      <c r="E3092" s="3" t="n">
        <v>0.02</v>
      </c>
      <c r="F3092" s="3" t="n">
        <v>0.07000000000000001</v>
      </c>
      <c r="G3092" s="3">
        <f>F3092-E3092</f>
        <v/>
      </c>
      <c r="H3092" s="4">
        <f>IF(E3092=0,"",F3092/E3092-1)</f>
        <v/>
      </c>
      <c r="I3092" t="inlineStr"/>
    </row>
    <row r="3093">
      <c r="A3093" t="inlineStr">
        <is>
          <t>Cosmetics, dyes &amp; other chemicals</t>
        </is>
      </c>
      <c r="B3093" t="inlineStr">
        <is>
          <t>38</t>
        </is>
      </c>
      <c r="C3093" t="inlineStr">
        <is>
          <t>38089111</t>
        </is>
      </c>
      <c r="D3093" t="inlineStr">
        <is>
          <t>ALUMINIUM PHOSPHATE (E.G. PHOSTOXIN)</t>
        </is>
      </c>
      <c r="E3093" s="3" t="n">
        <v>0</v>
      </c>
      <c r="F3093" s="3" t="n">
        <v>0.07000000000000001</v>
      </c>
      <c r="G3093" s="3">
        <f>F3093-E3093</f>
        <v/>
      </c>
      <c r="H3093" s="4">
        <f>IF(E3093=0,"",F3093/E3093-1)</f>
        <v/>
      </c>
      <c r="I3093" t="inlineStr"/>
    </row>
    <row r="3094">
      <c r="A3094" t="inlineStr">
        <is>
          <t>Cosmetics, dyes &amp; other chemicals</t>
        </is>
      </c>
      <c r="B3094" t="inlineStr">
        <is>
          <t>38</t>
        </is>
      </c>
      <c r="C3094" t="inlineStr">
        <is>
          <t>38221100</t>
        </is>
      </c>
      <c r="D3094" t="inlineStr">
        <is>
          <t>FOR MALARIA (DIAGNOSTIC OR LABORATORY REAGENTS , WHETHER OR NOT PUT UP IN THE FORM OF KITS</t>
        </is>
      </c>
      <c r="E3094" s="3" t="n">
        <v>0.03</v>
      </c>
      <c r="F3094" s="3" t="n">
        <v>0.07000000000000001</v>
      </c>
      <c r="G3094" s="3">
        <f>F3094-E3094</f>
        <v/>
      </c>
      <c r="H3094" s="4">
        <f>IF(E3094=0,"",F3094/E3094-1)</f>
        <v/>
      </c>
      <c r="I3094" t="inlineStr"/>
    </row>
    <row r="3095">
      <c r="A3095" t="inlineStr">
        <is>
          <t>Cosmetics, dyes &amp; other chemicals</t>
        </is>
      </c>
      <c r="B3095" t="inlineStr">
        <is>
          <t>32</t>
        </is>
      </c>
      <c r="C3095" t="inlineStr">
        <is>
          <t>32041973</t>
        </is>
      </c>
      <c r="D3095" t="inlineStr">
        <is>
          <t>SOLVENT BASED COLOURING MATTERS: REDS</t>
        </is>
      </c>
      <c r="E3095" s="3" t="n">
        <v>0.14</v>
      </c>
      <c r="F3095" s="3" t="n">
        <v>0.06</v>
      </c>
      <c r="G3095" s="3">
        <f>F3095-E3095</f>
        <v/>
      </c>
      <c r="H3095" s="4">
        <f>IF(E3095=0,"",F3095/E3095-1)</f>
        <v/>
      </c>
      <c r="I3095" t="inlineStr"/>
    </row>
    <row r="3096">
      <c r="A3096" t="inlineStr">
        <is>
          <t>Cosmetics, dyes &amp; other chemicals</t>
        </is>
      </c>
      <c r="B3096" t="inlineStr">
        <is>
          <t>32</t>
        </is>
      </c>
      <c r="C3096" t="inlineStr">
        <is>
          <t>32099090</t>
        </is>
      </c>
      <c r="D3096" t="inlineStr">
        <is>
          <t>OTHR PAINT VARNSHS (INCL ENML AND LAQURS) BSD ON OTHR SYNTHTIC POLYMERS ETC N.E.S.;</t>
        </is>
      </c>
      <c r="E3096" s="3" t="n">
        <v>0.11</v>
      </c>
      <c r="F3096" s="3" t="n">
        <v>0.06</v>
      </c>
      <c r="G3096" s="3">
        <f>F3096-E3096</f>
        <v/>
      </c>
      <c r="H3096" s="4">
        <f>IF(E3096=0,"",F3096/E3096-1)</f>
        <v/>
      </c>
      <c r="I3096" t="inlineStr"/>
    </row>
    <row r="3097">
      <c r="A3097" t="inlineStr">
        <is>
          <t>Cosmetics, dyes &amp; other chemicals</t>
        </is>
      </c>
      <c r="B3097" t="inlineStr">
        <is>
          <t>32</t>
        </is>
      </c>
      <c r="C3097" t="inlineStr">
        <is>
          <t>32151920</t>
        </is>
      </c>
      <c r="D3097" t="inlineStr">
        <is>
          <t>OTHER NEWSPAPER INK</t>
        </is>
      </c>
      <c r="E3097" s="3" t="n">
        <v>0.03</v>
      </c>
      <c r="F3097" s="3" t="n">
        <v>0.06</v>
      </c>
      <c r="G3097" s="3">
        <f>F3097-E3097</f>
        <v/>
      </c>
      <c r="H3097" s="4">
        <f>IF(E3097=0,"",F3097/E3097-1)</f>
        <v/>
      </c>
      <c r="I3097" t="inlineStr"/>
    </row>
    <row r="3098">
      <c r="A3098" t="inlineStr">
        <is>
          <t>Cosmetics, dyes &amp; other chemicals</t>
        </is>
      </c>
      <c r="B3098" t="inlineStr">
        <is>
          <t>33</t>
        </is>
      </c>
      <c r="C3098" t="inlineStr">
        <is>
          <t>33073090</t>
        </is>
      </c>
      <c r="D3098" t="inlineStr">
        <is>
          <t>OTHR PERFUMD BATH SALTS AND OTHR BATH PRPN</t>
        </is>
      </c>
      <c r="E3098" s="3" t="n">
        <v>0.07000000000000001</v>
      </c>
      <c r="F3098" s="3" t="n">
        <v>0.06</v>
      </c>
      <c r="G3098" s="3">
        <f>F3098-E3098</f>
        <v/>
      </c>
      <c r="H3098" s="4">
        <f>IF(E3098=0,"",F3098/E3098-1)</f>
        <v/>
      </c>
      <c r="I3098" t="inlineStr"/>
    </row>
    <row r="3099">
      <c r="A3099" t="inlineStr">
        <is>
          <t>Cosmetics, dyes &amp; other chemicals</t>
        </is>
      </c>
      <c r="B3099" t="inlineStr">
        <is>
          <t>34</t>
        </is>
      </c>
      <c r="C3099" t="inlineStr">
        <is>
          <t>34011920</t>
        </is>
      </c>
      <c r="D3099" t="inlineStr">
        <is>
          <t>FLAKES CHIPS AND POWDER</t>
        </is>
      </c>
      <c r="E3099" s="3" t="n">
        <v>0.01</v>
      </c>
      <c r="F3099" s="3" t="n">
        <v>0.06</v>
      </c>
      <c r="G3099" s="3">
        <f>F3099-E3099</f>
        <v/>
      </c>
      <c r="H3099" s="4">
        <f>IF(E3099=0,"",F3099/E3099-1)</f>
        <v/>
      </c>
      <c r="I3099" t="inlineStr"/>
    </row>
    <row r="3100">
      <c r="A3100" t="inlineStr">
        <is>
          <t>Cosmetics, dyes &amp; other chemicals</t>
        </is>
      </c>
      <c r="B3100" t="inlineStr">
        <is>
          <t>34</t>
        </is>
      </c>
      <c r="C3100" t="inlineStr">
        <is>
          <t>34039100</t>
        </is>
      </c>
      <c r="D3100" t="inlineStr">
        <is>
          <t>OTHR PRPNS FR THE TRTMNT OF TXTLE MATRLS LEATHER FURSKINS OR OTHER MATRLS</t>
        </is>
      </c>
      <c r="E3100" s="3" t="n">
        <v>0.1</v>
      </c>
      <c r="F3100" s="3" t="n">
        <v>0.06</v>
      </c>
      <c r="G3100" s="3">
        <f>F3100-E3100</f>
        <v/>
      </c>
      <c r="H3100" s="4">
        <f>IF(E3100=0,"",F3100/E3100-1)</f>
        <v/>
      </c>
      <c r="I3100" t="inlineStr"/>
    </row>
    <row r="3101">
      <c r="A3101" t="inlineStr">
        <is>
          <t>Cosmetics, dyes &amp; other chemicals</t>
        </is>
      </c>
      <c r="B3101" t="inlineStr">
        <is>
          <t>32</t>
        </is>
      </c>
      <c r="C3101" t="inlineStr">
        <is>
          <t>32041720</t>
        </is>
      </c>
      <c r="D3101" t="inlineStr">
        <is>
          <t>PIGMENT ORANGES</t>
        </is>
      </c>
      <c r="E3101" s="3" t="n">
        <v>0.06</v>
      </c>
      <c r="F3101" s="3" t="n">
        <v>0.05</v>
      </c>
      <c r="G3101" s="3">
        <f>F3101-E3101</f>
        <v/>
      </c>
      <c r="H3101" s="4">
        <f>IF(E3101=0,"",F3101/E3101-1)</f>
        <v/>
      </c>
      <c r="I3101" t="inlineStr"/>
    </row>
    <row r="3102">
      <c r="A3102" t="inlineStr">
        <is>
          <t>Cosmetics, dyes &amp; other chemicals</t>
        </is>
      </c>
      <c r="B3102" t="inlineStr">
        <is>
          <t>32</t>
        </is>
      </c>
      <c r="C3102" t="inlineStr">
        <is>
          <t>32049000</t>
        </is>
      </c>
      <c r="D3102" t="inlineStr">
        <is>
          <t>OTHR SYNTHETIC ORGANIC COLORNG MATTER</t>
        </is>
      </c>
      <c r="E3102" s="3" t="n">
        <v>0.05</v>
      </c>
      <c r="F3102" s="3" t="n">
        <v>0.05</v>
      </c>
      <c r="G3102" s="3">
        <f>F3102-E3102</f>
        <v/>
      </c>
      <c r="H3102" s="4">
        <f>IF(E3102=0,"",F3102/E3102-1)</f>
        <v/>
      </c>
      <c r="I3102" t="inlineStr"/>
    </row>
    <row r="3103">
      <c r="A3103" t="inlineStr">
        <is>
          <t>Cosmetics, dyes &amp; other chemicals</t>
        </is>
      </c>
      <c r="B3103" t="inlineStr">
        <is>
          <t>32</t>
        </is>
      </c>
      <c r="C3103" t="inlineStr">
        <is>
          <t>32110000</t>
        </is>
      </c>
      <c r="D3103" t="inlineStr">
        <is>
          <t>PREPARED DRIERS</t>
        </is>
      </c>
      <c r="E3103" s="3" t="n">
        <v>0</v>
      </c>
      <c r="F3103" s="3" t="n">
        <v>0.05</v>
      </c>
      <c r="G3103" s="3">
        <f>F3103-E3103</f>
        <v/>
      </c>
      <c r="H3103" s="4">
        <f>IF(E3103=0,"",F3103/E3103-1)</f>
        <v/>
      </c>
      <c r="I3103" t="inlineStr"/>
    </row>
    <row r="3104">
      <c r="A3104" t="inlineStr">
        <is>
          <t>Cosmetics, dyes &amp; other chemicals</t>
        </is>
      </c>
      <c r="B3104" t="inlineStr">
        <is>
          <t>34</t>
        </is>
      </c>
      <c r="C3104" t="inlineStr">
        <is>
          <t>34011990</t>
        </is>
      </c>
      <c r="D3104" t="inlineStr">
        <is>
          <t>OTHER HOUSEHOLD AND LAUNDRY SOAPS NES</t>
        </is>
      </c>
      <c r="E3104" s="3" t="n">
        <v>0.71</v>
      </c>
      <c r="F3104" s="3" t="n">
        <v>0.05</v>
      </c>
      <c r="G3104" s="3">
        <f>F3104-E3104</f>
        <v/>
      </c>
      <c r="H3104" s="4">
        <f>IF(E3104=0,"",F3104/E3104-1)</f>
        <v/>
      </c>
      <c r="I3104" t="inlineStr"/>
    </row>
    <row r="3105">
      <c r="A3105" t="inlineStr">
        <is>
          <t>Cosmetics, dyes &amp; other chemicals</t>
        </is>
      </c>
      <c r="B3105" t="inlineStr">
        <is>
          <t>34</t>
        </is>
      </c>
      <c r="C3105" t="inlineStr">
        <is>
          <t>34059010</t>
        </is>
      </c>
      <c r="D3105" t="inlineStr">
        <is>
          <t>P0LISHES AND C0MP0SITI0N F0R APPLICATI0N T0 METAL INCL DIAM0ND P0LISHNG P0WDR/PASTE</t>
        </is>
      </c>
      <c r="E3105" s="3" t="n">
        <v>0.1</v>
      </c>
      <c r="F3105" s="3" t="n">
        <v>0.05</v>
      </c>
      <c r="G3105" s="3">
        <f>F3105-E3105</f>
        <v/>
      </c>
      <c r="H3105" s="4">
        <f>IF(E3105=0,"",F3105/E3105-1)</f>
        <v/>
      </c>
      <c r="I3105" t="inlineStr"/>
    </row>
    <row r="3106">
      <c r="A3106" t="inlineStr">
        <is>
          <t>Cosmetics, dyes &amp; other chemicals</t>
        </is>
      </c>
      <c r="B3106" t="inlineStr">
        <is>
          <t>34</t>
        </is>
      </c>
      <c r="C3106" t="inlineStr">
        <is>
          <t>34070010</t>
        </is>
      </c>
      <c r="D3106" t="inlineStr">
        <is>
          <t>MODELLING PASTES, INCLUDING THOSE PUT UP FOR CHILDREN S AMUSEMENT</t>
        </is>
      </c>
      <c r="E3106" s="3" t="n">
        <v>0.1</v>
      </c>
      <c r="F3106" s="3" t="n">
        <v>0.05</v>
      </c>
      <c r="G3106" s="3">
        <f>F3106-E3106</f>
        <v/>
      </c>
      <c r="H3106" s="4">
        <f>IF(E3106=0,"",F3106/E3106-1)</f>
        <v/>
      </c>
      <c r="I3106" t="inlineStr"/>
    </row>
    <row r="3107">
      <c r="A3107" t="inlineStr">
        <is>
          <t>Cosmetics, dyes &amp; other chemicals</t>
        </is>
      </c>
      <c r="B3107" t="inlineStr">
        <is>
          <t>38</t>
        </is>
      </c>
      <c r="C3107" t="inlineStr">
        <is>
          <t>38112900</t>
        </is>
      </c>
      <c r="D3107" t="inlineStr">
        <is>
          <t>OTHER ADDITIVES FOR LUBRICATING OILS</t>
        </is>
      </c>
      <c r="E3107" s="3" t="n">
        <v>0.01</v>
      </c>
      <c r="F3107" s="3" t="n">
        <v>0.05</v>
      </c>
      <c r="G3107" s="3">
        <f>F3107-E3107</f>
        <v/>
      </c>
      <c r="H3107" s="4">
        <f>IF(E3107=0,"",F3107/E3107-1)</f>
        <v/>
      </c>
      <c r="I3107" t="inlineStr"/>
    </row>
    <row r="3108">
      <c r="A3108" t="inlineStr">
        <is>
          <t>Cosmetics, dyes &amp; other chemicals</t>
        </is>
      </c>
      <c r="B3108" t="inlineStr">
        <is>
          <t>38</t>
        </is>
      </c>
      <c r="C3108" t="inlineStr">
        <is>
          <t>38246090</t>
        </is>
      </c>
      <c r="D3108" t="inlineStr">
        <is>
          <t>OTHERS-OF-SORBITOL OTHR THN THAT OF SUBHDG NO.290544</t>
        </is>
      </c>
      <c r="E3108" s="3" t="n">
        <v>0</v>
      </c>
      <c r="F3108" s="3" t="n">
        <v>0.05</v>
      </c>
      <c r="G3108" s="3">
        <f>F3108-E3108</f>
        <v/>
      </c>
      <c r="H3108" s="4">
        <f>IF(E3108=0,"",F3108/E3108-1)</f>
        <v/>
      </c>
      <c r="I3108" t="inlineStr"/>
    </row>
    <row r="3109">
      <c r="A3109" t="inlineStr">
        <is>
          <t>Cosmetics, dyes &amp; other chemicals</t>
        </is>
      </c>
      <c r="B3109" t="inlineStr">
        <is>
          <t>38</t>
        </is>
      </c>
      <c r="C3109" t="inlineStr">
        <is>
          <t>38276100</t>
        </is>
      </c>
      <c r="D3109" t="inlineStr">
        <is>
          <t>CONTAINING 15% OR MORE BY MASS OF 1,1,1-TRIFLUROETHANE (HFC-143a)</t>
        </is>
      </c>
      <c r="E3109" s="3" t="n">
        <v>0</v>
      </c>
      <c r="F3109" s="3" t="n">
        <v>0.05</v>
      </c>
      <c r="G3109" s="3">
        <f>F3109-E3109</f>
        <v/>
      </c>
      <c r="H3109" s="4">
        <f>IF(E3109=0,"",F3109/E3109-1)</f>
        <v/>
      </c>
      <c r="I3109" t="inlineStr"/>
    </row>
    <row r="3110">
      <c r="A3110" t="inlineStr">
        <is>
          <t>Cosmetics, dyes &amp; other chemicals</t>
        </is>
      </c>
      <c r="B3110" t="inlineStr">
        <is>
          <t>32</t>
        </is>
      </c>
      <c r="C3110" t="inlineStr">
        <is>
          <t>32149090</t>
        </is>
      </c>
      <c r="D3110" t="inlineStr">
        <is>
          <t>OTHERS-OF-GLAZIERS AND GRAFTING PUTY,RESIN ELEMNTSNON RFRCTRY SRFCNG PRPN FR FLOORS,WALL ETC</t>
        </is>
      </c>
      <c r="E3110" s="3" t="n">
        <v>0.08</v>
      </c>
      <c r="F3110" s="3" t="n">
        <v>0.04</v>
      </c>
      <c r="G3110" s="3">
        <f>F3110-E3110</f>
        <v/>
      </c>
      <c r="H3110" s="4">
        <f>IF(E3110=0,"",F3110/E3110-1)</f>
        <v/>
      </c>
      <c r="I3110" t="inlineStr"/>
    </row>
    <row r="3111">
      <c r="A3111" t="inlineStr">
        <is>
          <t>Cosmetics, dyes &amp; other chemicals</t>
        </is>
      </c>
      <c r="B3111" t="inlineStr">
        <is>
          <t>32</t>
        </is>
      </c>
      <c r="C3111" t="inlineStr">
        <is>
          <t>32151140</t>
        </is>
      </c>
      <c r="D3111" t="inlineStr">
        <is>
          <t>BLACK SCREEN PRINTING INK</t>
        </is>
      </c>
      <c r="E3111" s="3" t="n">
        <v>0.02</v>
      </c>
      <c r="F3111" s="3" t="n">
        <v>0.04</v>
      </c>
      <c r="G3111" s="3">
        <f>F3111-E3111</f>
        <v/>
      </c>
      <c r="H3111" s="4">
        <f>IF(E3111=0,"",F3111/E3111-1)</f>
        <v/>
      </c>
      <c r="I3111" t="inlineStr"/>
    </row>
    <row r="3112">
      <c r="A3112" t="inlineStr">
        <is>
          <t>Cosmetics, dyes &amp; other chemicals</t>
        </is>
      </c>
      <c r="B3112" t="inlineStr">
        <is>
          <t>33</t>
        </is>
      </c>
      <c r="C3112" t="inlineStr">
        <is>
          <t>33012928</t>
        </is>
      </c>
      <c r="D3112" t="inlineStr">
        <is>
          <t>CLOVE BUD OIL</t>
        </is>
      </c>
      <c r="E3112" s="3" t="n">
        <v>0.05</v>
      </c>
      <c r="F3112" s="3" t="n">
        <v>0.04</v>
      </c>
      <c r="G3112" s="3">
        <f>F3112-E3112</f>
        <v/>
      </c>
      <c r="H3112" s="4">
        <f>IF(E3112=0,"",F3112/E3112-1)</f>
        <v/>
      </c>
      <c r="I3112" t="inlineStr"/>
    </row>
    <row r="3113">
      <c r="A3113" t="inlineStr">
        <is>
          <t>Cosmetics, dyes &amp; other chemicals</t>
        </is>
      </c>
      <c r="B3113" t="inlineStr">
        <is>
          <t>37</t>
        </is>
      </c>
      <c r="C3113" t="inlineStr">
        <is>
          <t>37079010</t>
        </is>
      </c>
      <c r="D3113" t="inlineStr">
        <is>
          <t>CHMCL PRDCTS MXD/CMPNDED FR PHOT USES (FR EXMPL DVLPS AND FIXERS) W/N IN BULK</t>
        </is>
      </c>
      <c r="E3113" s="3" t="n">
        <v>0.1</v>
      </c>
      <c r="F3113" s="3" t="n">
        <v>0.04</v>
      </c>
      <c r="G3113" s="3">
        <f>F3113-E3113</f>
        <v/>
      </c>
      <c r="H3113" s="4">
        <f>IF(E3113=0,"",F3113/E3113-1)</f>
        <v/>
      </c>
      <c r="I3113" t="inlineStr"/>
    </row>
    <row r="3114">
      <c r="A3114" t="inlineStr">
        <is>
          <t>Cosmetics, dyes &amp; other chemicals</t>
        </is>
      </c>
      <c r="B3114" t="inlineStr">
        <is>
          <t>32</t>
        </is>
      </c>
      <c r="C3114" t="inlineStr">
        <is>
          <t>32041650</t>
        </is>
      </c>
      <c r="D3114" t="inlineStr">
        <is>
          <t>REACTIVE BLUES</t>
        </is>
      </c>
      <c r="E3114" s="3" t="n">
        <v>1.9</v>
      </c>
      <c r="F3114" s="3" t="n">
        <v>0.03</v>
      </c>
      <c r="G3114" s="3">
        <f>F3114-E3114</f>
        <v/>
      </c>
      <c r="H3114" s="4">
        <f>IF(E3114=0,"",F3114/E3114-1)</f>
        <v/>
      </c>
      <c r="I3114" t="inlineStr"/>
    </row>
    <row r="3115">
      <c r="A3115" t="inlineStr">
        <is>
          <t>Cosmetics, dyes &amp; other chemicals</t>
        </is>
      </c>
      <c r="B3115" t="inlineStr">
        <is>
          <t>32</t>
        </is>
      </c>
      <c r="C3115" t="inlineStr">
        <is>
          <t>32082010</t>
        </is>
      </c>
      <c r="D3115" t="inlineStr">
        <is>
          <t>ENAMELS BASED ON ACRYLIC OR VINYL POLYMERS</t>
        </is>
      </c>
      <c r="E3115" s="3" t="n">
        <v>0.01</v>
      </c>
      <c r="F3115" s="3" t="n">
        <v>0.03</v>
      </c>
      <c r="G3115" s="3">
        <f>F3115-E3115</f>
        <v/>
      </c>
      <c r="H3115" s="4">
        <f>IF(E3115=0,"",F3115/E3115-1)</f>
        <v/>
      </c>
      <c r="I3115" t="inlineStr"/>
    </row>
    <row r="3116">
      <c r="A3116" t="inlineStr">
        <is>
          <t>Cosmetics, dyes &amp; other chemicals</t>
        </is>
      </c>
      <c r="B3116" t="inlineStr">
        <is>
          <t>32</t>
        </is>
      </c>
      <c r="C3116" t="inlineStr">
        <is>
          <t>32151120</t>
        </is>
      </c>
      <c r="D3116" t="inlineStr">
        <is>
          <t>BLACK NEWSPAPER INK</t>
        </is>
      </c>
      <c r="E3116" s="3" t="n">
        <v>0.01</v>
      </c>
      <c r="F3116" s="3" t="n">
        <v>0.03</v>
      </c>
      <c r="G3116" s="3">
        <f>F3116-E3116</f>
        <v/>
      </c>
      <c r="H3116" s="4">
        <f>IF(E3116=0,"",F3116/E3116-1)</f>
        <v/>
      </c>
      <c r="I3116" t="inlineStr"/>
    </row>
    <row r="3117">
      <c r="A3117" t="inlineStr">
        <is>
          <t>Cosmetics, dyes &amp; other chemicals</t>
        </is>
      </c>
      <c r="B3117" t="inlineStr">
        <is>
          <t>33</t>
        </is>
      </c>
      <c r="C3117" t="inlineStr">
        <is>
          <t>33011990</t>
        </is>
      </c>
      <c r="D3117" t="inlineStr">
        <is>
          <t>OTHERS-OF-ESSENTIAL OILS OF OTHR CITRUS FRUITS</t>
        </is>
      </c>
      <c r="E3117" s="3" t="n">
        <v>0.07000000000000001</v>
      </c>
      <c r="F3117" s="3" t="n">
        <v>0.03</v>
      </c>
      <c r="G3117" s="3">
        <f>F3117-E3117</f>
        <v/>
      </c>
      <c r="H3117" s="4">
        <f>IF(E3117=0,"",F3117/E3117-1)</f>
        <v/>
      </c>
      <c r="I3117" t="inlineStr"/>
    </row>
    <row r="3118">
      <c r="A3118" t="inlineStr">
        <is>
          <t>Cosmetics, dyes &amp; other chemicals</t>
        </is>
      </c>
      <c r="B3118" t="inlineStr">
        <is>
          <t>33</t>
        </is>
      </c>
      <c r="C3118" t="inlineStr">
        <is>
          <t>33012924</t>
        </is>
      </c>
      <c r="D3118" t="inlineStr">
        <is>
          <t>EUCALYPTUS OIL</t>
        </is>
      </c>
      <c r="E3118" s="3" t="n">
        <v>0.05</v>
      </c>
      <c r="F3118" s="3" t="n">
        <v>0.03</v>
      </c>
      <c r="G3118" s="3">
        <f>F3118-E3118</f>
        <v/>
      </c>
      <c r="H3118" s="4">
        <f>IF(E3118=0,"",F3118/E3118-1)</f>
        <v/>
      </c>
      <c r="I3118" t="inlineStr"/>
    </row>
    <row r="3119">
      <c r="A3119" t="inlineStr">
        <is>
          <t>Cosmetics, dyes &amp; other chemicals</t>
        </is>
      </c>
      <c r="B3119" t="inlineStr">
        <is>
          <t>33</t>
        </is>
      </c>
      <c r="C3119" t="inlineStr">
        <is>
          <t>33013091</t>
        </is>
      </c>
      <c r="D3119" t="inlineStr">
        <is>
          <t>FLAVOURING ESSENCES, ALL TYPES, INCLUDING THOSE FOR LIQUORS (RESINOIDS)</t>
        </is>
      </c>
      <c r="E3119" s="3" t="n">
        <v>0</v>
      </c>
      <c r="F3119" s="3" t="n">
        <v>0.03</v>
      </c>
      <c r="G3119" s="3">
        <f>F3119-E3119</f>
        <v/>
      </c>
      <c r="H3119" s="4">
        <f>IF(E3119=0,"",F3119/E3119-1)</f>
        <v/>
      </c>
      <c r="I3119" t="inlineStr"/>
    </row>
    <row r="3120">
      <c r="A3120" t="inlineStr">
        <is>
          <t>Cosmetics, dyes &amp; other chemicals</t>
        </is>
      </c>
      <c r="B3120" t="inlineStr">
        <is>
          <t>34</t>
        </is>
      </c>
      <c r="C3120" t="inlineStr">
        <is>
          <t>34029012</t>
        </is>
      </c>
      <c r="D3120" t="inlineStr">
        <is>
          <t>CLEANING OR DEGREASING PREPN NOT HAVING BASIS OF SOAP/OTHER ORGANIC SURFACE ACTIVE(SYNTHETIC DETERGENTS)</t>
        </is>
      </c>
      <c r="E3120" s="3" t="n">
        <v>0</v>
      </c>
      <c r="F3120" s="3" t="n">
        <v>0.03</v>
      </c>
      <c r="G3120" s="3">
        <f>F3120-E3120</f>
        <v/>
      </c>
      <c r="H3120" s="4">
        <f>IF(E3120=0,"",F3120/E3120-1)</f>
        <v/>
      </c>
      <c r="I3120" t="inlineStr"/>
    </row>
    <row r="3121">
      <c r="A3121" t="inlineStr">
        <is>
          <t>Cosmetics, dyes &amp; other chemicals</t>
        </is>
      </c>
      <c r="B3121" t="inlineStr">
        <is>
          <t>35</t>
        </is>
      </c>
      <c r="C3121" t="inlineStr">
        <is>
          <t>35069991</t>
        </is>
      </c>
      <c r="D3121" t="inlineStr">
        <is>
          <t>BASED ON STARCH, GUM, LATEX, PF, UF AND PVA</t>
        </is>
      </c>
      <c r="E3121" s="3" t="n">
        <v>0</v>
      </c>
      <c r="F3121" s="3" t="n">
        <v>0.03</v>
      </c>
      <c r="G3121" s="3">
        <f>F3121-E3121</f>
        <v/>
      </c>
      <c r="H3121" s="4">
        <f>IF(E3121=0,"",F3121/E3121-1)</f>
        <v/>
      </c>
      <c r="I3121" t="inlineStr"/>
    </row>
    <row r="3122">
      <c r="A3122" t="inlineStr">
        <is>
          <t>Cosmetics, dyes &amp; other chemicals</t>
        </is>
      </c>
      <c r="B3122" t="inlineStr">
        <is>
          <t>38</t>
        </is>
      </c>
      <c r="C3122" t="inlineStr">
        <is>
          <t>38089340</t>
        </is>
      </c>
      <c r="D3122" t="inlineStr">
        <is>
          <t>*PLANT-GROWTH REGULATORS</t>
        </is>
      </c>
      <c r="E3122" s="3" t="n">
        <v>0.01</v>
      </c>
      <c r="F3122" s="3" t="n">
        <v>0.03</v>
      </c>
      <c r="G3122" s="3">
        <f>F3122-E3122</f>
        <v/>
      </c>
      <c r="H3122" s="4">
        <f>IF(E3122=0,"",F3122/E3122-1)</f>
        <v/>
      </c>
      <c r="I3122" t="inlineStr"/>
    </row>
    <row r="3123">
      <c r="A3123" t="inlineStr">
        <is>
          <t>Cosmetics, dyes &amp; other chemicals</t>
        </is>
      </c>
      <c r="B3123" t="inlineStr">
        <is>
          <t>38</t>
        </is>
      </c>
      <c r="C3123" t="inlineStr">
        <is>
          <t>38112100</t>
        </is>
      </c>
      <c r="D3123" t="inlineStr">
        <is>
          <t>ADDTVS FR LBRCTNG OILS CONTNG OILS OBTND FROM PETROLEUM AND BITUMINOUS MINERALS</t>
        </is>
      </c>
      <c r="E3123" s="3" t="n">
        <v>0</v>
      </c>
      <c r="F3123" s="3" t="n">
        <v>0.03</v>
      </c>
      <c r="G3123" s="3">
        <f>F3123-E3123</f>
        <v/>
      </c>
      <c r="H3123" s="4">
        <f>IF(E3123=0,"",F3123/E3123-1)</f>
        <v/>
      </c>
      <c r="I3123" t="inlineStr"/>
    </row>
    <row r="3124">
      <c r="A3124" t="inlineStr">
        <is>
          <t>Cosmetics, dyes &amp; other chemicals</t>
        </is>
      </c>
      <c r="B3124" t="inlineStr">
        <is>
          <t>38</t>
        </is>
      </c>
      <c r="C3124" t="inlineStr">
        <is>
          <t>38221200</t>
        </is>
      </c>
      <c r="D3124" t="inlineStr">
        <is>
          <t>FOR ZIKA AND OTHER DISEASES TRANSMITTED BY MOSQUITOES OF THE GENUS AEDES</t>
        </is>
      </c>
      <c r="E3124" s="3" t="n">
        <v>0.05</v>
      </c>
      <c r="F3124" s="3" t="n">
        <v>0.03</v>
      </c>
      <c r="G3124" s="3">
        <f>F3124-E3124</f>
        <v/>
      </c>
      <c r="H3124" s="4">
        <f>IF(E3124=0,"",F3124/E3124-1)</f>
        <v/>
      </c>
      <c r="I3124" t="inlineStr"/>
    </row>
    <row r="3125">
      <c r="A3125" t="inlineStr">
        <is>
          <t>Cosmetics, dyes &amp; other chemicals</t>
        </is>
      </c>
      <c r="B3125" t="inlineStr">
        <is>
          <t>32</t>
        </is>
      </c>
      <c r="C3125" t="inlineStr">
        <is>
          <t>32030010</t>
        </is>
      </c>
      <c r="D3125" t="inlineStr">
        <is>
          <t>CUTCH(CATECHU) EXTRACTS</t>
        </is>
      </c>
      <c r="E3125" s="3" t="n">
        <v>0</v>
      </c>
      <c r="F3125" s="3" t="n">
        <v>0.02</v>
      </c>
      <c r="G3125" s="3">
        <f>F3125-E3125</f>
        <v/>
      </c>
      <c r="H3125" s="4">
        <f>IF(E3125=0,"",F3125/E3125-1)</f>
        <v/>
      </c>
      <c r="I3125" t="inlineStr"/>
    </row>
    <row r="3126">
      <c r="A3126" t="inlineStr">
        <is>
          <t>Cosmetics, dyes &amp; other chemicals</t>
        </is>
      </c>
      <c r="B3126" t="inlineStr">
        <is>
          <t>32</t>
        </is>
      </c>
      <c r="C3126" t="inlineStr">
        <is>
          <t>32041119</t>
        </is>
      </c>
      <c r="D3126" t="inlineStr">
        <is>
          <t>OTHER DISPERSE YELOW</t>
        </is>
      </c>
      <c r="E3126" s="3" t="n">
        <v>0</v>
      </c>
      <c r="F3126" s="3" t="n">
        <v>0.02</v>
      </c>
      <c r="G3126" s="3">
        <f>F3126-E3126</f>
        <v/>
      </c>
      <c r="H3126" s="4">
        <f>IF(E3126=0,"",F3126/E3126-1)</f>
        <v/>
      </c>
      <c r="I3126" t="inlineStr"/>
    </row>
    <row r="3127">
      <c r="A3127" t="inlineStr">
        <is>
          <t>Cosmetics, dyes &amp; other chemicals</t>
        </is>
      </c>
      <c r="B3127" t="inlineStr">
        <is>
          <t>32</t>
        </is>
      </c>
      <c r="C3127" t="inlineStr">
        <is>
          <t>32041159</t>
        </is>
      </c>
      <c r="D3127" t="inlineStr">
        <is>
          <t>OTHER DISPERSE BLUE</t>
        </is>
      </c>
      <c r="E3127" s="3" t="n">
        <v>0.02</v>
      </c>
      <c r="F3127" s="3" t="n">
        <v>0.02</v>
      </c>
      <c r="G3127" s="3">
        <f>F3127-E3127</f>
        <v/>
      </c>
      <c r="H3127" s="4">
        <f>IF(E3127=0,"",F3127/E3127-1)</f>
        <v/>
      </c>
      <c r="I3127" t="inlineStr"/>
    </row>
    <row r="3128">
      <c r="A3128" t="inlineStr">
        <is>
          <t>Cosmetics, dyes &amp; other chemicals</t>
        </is>
      </c>
      <c r="B3128" t="inlineStr">
        <is>
          <t>32</t>
        </is>
      </c>
      <c r="C3128" t="inlineStr">
        <is>
          <t>32041554</t>
        </is>
      </c>
      <c r="D3128" t="inlineStr">
        <is>
          <t>VAT BLUE 6(BLUE BC)</t>
        </is>
      </c>
      <c r="E3128" s="3" t="n">
        <v>0</v>
      </c>
      <c r="F3128" s="3" t="n">
        <v>0.02</v>
      </c>
      <c r="G3128" s="3">
        <f>F3128-E3128</f>
        <v/>
      </c>
      <c r="H3128" s="4">
        <f>IF(E3128=0,"",F3128/E3128-1)</f>
        <v/>
      </c>
      <c r="I3128" t="inlineStr"/>
    </row>
    <row r="3129">
      <c r="A3129" t="inlineStr">
        <is>
          <t>Cosmetics, dyes &amp; other chemicals</t>
        </is>
      </c>
      <c r="B3129" t="inlineStr">
        <is>
          <t>32</t>
        </is>
      </c>
      <c r="C3129" t="inlineStr">
        <is>
          <t>32041620</t>
        </is>
      </c>
      <c r="D3129" t="inlineStr">
        <is>
          <t>REACTIVE ORANGES</t>
        </is>
      </c>
      <c r="E3129" s="3" t="n">
        <v>0.01</v>
      </c>
      <c r="F3129" s="3" t="n">
        <v>0.02</v>
      </c>
      <c r="G3129" s="3">
        <f>F3129-E3129</f>
        <v/>
      </c>
      <c r="H3129" s="4">
        <f>IF(E3129=0,"",F3129/E3129-1)</f>
        <v/>
      </c>
      <c r="I3129" t="inlineStr"/>
    </row>
    <row r="3130">
      <c r="A3130" t="inlineStr">
        <is>
          <t>Cosmetics, dyes &amp; other chemicals</t>
        </is>
      </c>
      <c r="B3130" t="inlineStr">
        <is>
          <t>33</t>
        </is>
      </c>
      <c r="C3130" t="inlineStr">
        <is>
          <t>33012947</t>
        </is>
      </c>
      <c r="D3130" t="inlineStr">
        <is>
          <t>GARLIC 0IL</t>
        </is>
      </c>
      <c r="E3130" s="3" t="n">
        <v>0.01</v>
      </c>
      <c r="F3130" s="3" t="n">
        <v>0.02</v>
      </c>
      <c r="G3130" s="3">
        <f>F3130-E3130</f>
        <v/>
      </c>
      <c r="H3130" s="4">
        <f>IF(E3130=0,"",F3130/E3130-1)</f>
        <v/>
      </c>
      <c r="I3130" t="inlineStr"/>
    </row>
    <row r="3131">
      <c r="A3131" t="inlineStr">
        <is>
          <t>Cosmetics, dyes &amp; other chemicals</t>
        </is>
      </c>
      <c r="B3131" t="inlineStr">
        <is>
          <t>34</t>
        </is>
      </c>
      <c r="C3131" t="inlineStr">
        <is>
          <t>34029051</t>
        </is>
      </c>
      <c r="D3131" t="inlineStr">
        <is>
          <t>WASHING AND CLEANING PREPARATIONS HAVING BASIS OF SOAP/OTHER ORGANIC SURFACE ACTIVE(WASHING PREPARATIONS)</t>
        </is>
      </c>
      <c r="E3131" s="3" t="n">
        <v>0</v>
      </c>
      <c r="F3131" s="3" t="n">
        <v>0.02</v>
      </c>
      <c r="G3131" s="3">
        <f>F3131-E3131</f>
        <v/>
      </c>
      <c r="H3131" s="4">
        <f>IF(E3131=0,"",F3131/E3131-1)</f>
        <v/>
      </c>
      <c r="I3131" t="inlineStr"/>
    </row>
    <row r="3132">
      <c r="A3132" t="inlineStr">
        <is>
          <t>Cosmetics, dyes &amp; other chemicals</t>
        </is>
      </c>
      <c r="B3132" t="inlineStr">
        <is>
          <t>35</t>
        </is>
      </c>
      <c r="C3132" t="inlineStr">
        <is>
          <t>35079069</t>
        </is>
      </c>
      <c r="D3132" t="inlineStr">
        <is>
          <t>OTHER ENZYMES OF MICROBIAL ORIGIN NES</t>
        </is>
      </c>
      <c r="E3132" s="3" t="n">
        <v>0.08</v>
      </c>
      <c r="F3132" s="3" t="n">
        <v>0.02</v>
      </c>
      <c r="G3132" s="3">
        <f>F3132-E3132</f>
        <v/>
      </c>
      <c r="H3132" s="4">
        <f>IF(E3132=0,"",F3132/E3132-1)</f>
        <v/>
      </c>
      <c r="I3132" t="inlineStr"/>
    </row>
    <row r="3133">
      <c r="A3133" t="inlineStr">
        <is>
          <t>Cosmetics, dyes &amp; other chemicals</t>
        </is>
      </c>
      <c r="B3133" t="inlineStr">
        <is>
          <t>37</t>
        </is>
      </c>
      <c r="C3133" t="inlineStr">
        <is>
          <t>37011090</t>
        </is>
      </c>
      <c r="D3133" t="inlineStr">
        <is>
          <t>X-RAY FLMS AND PLATS OTHR THN MEDICAL IN FLT</t>
        </is>
      </c>
      <c r="E3133" s="3" t="n">
        <v>0</v>
      </c>
      <c r="F3133" s="3" t="n">
        <v>0.02</v>
      </c>
      <c r="G3133" s="3">
        <f>F3133-E3133</f>
        <v/>
      </c>
      <c r="H3133" s="4">
        <f>IF(E3133=0,"",F3133/E3133-1)</f>
        <v/>
      </c>
      <c r="I3133" t="inlineStr"/>
    </row>
    <row r="3134">
      <c r="A3134" t="inlineStr">
        <is>
          <t>Cosmetics, dyes &amp; other chemicals</t>
        </is>
      </c>
      <c r="B3134" t="inlineStr">
        <is>
          <t>38</t>
        </is>
      </c>
      <c r="C3134" t="inlineStr">
        <is>
          <t>38040090</t>
        </is>
      </c>
      <c r="D3134" t="inlineStr">
        <is>
          <t>OTHER RESIDUAL LYES</t>
        </is>
      </c>
      <c r="E3134" s="3" t="n">
        <v>0</v>
      </c>
      <c r="F3134" s="3" t="n">
        <v>0.02</v>
      </c>
      <c r="G3134" s="3">
        <f>F3134-E3134</f>
        <v/>
      </c>
      <c r="H3134" s="4">
        <f>IF(E3134=0,"",F3134/E3134-1)</f>
        <v/>
      </c>
      <c r="I3134" t="inlineStr"/>
    </row>
    <row r="3135">
      <c r="A3135" t="inlineStr">
        <is>
          <t>Cosmetics, dyes &amp; other chemicals</t>
        </is>
      </c>
      <c r="B3135" t="inlineStr">
        <is>
          <t>38</t>
        </is>
      </c>
      <c r="C3135" t="inlineStr">
        <is>
          <t>38101090</t>
        </is>
      </c>
      <c r="D3135" t="inlineStr">
        <is>
          <t>OTHERS-OF-PICKLNG PRPNS FR MTL SRFCS-SLDRNG-BRZNG WLDNG PWDR AND PST CNSTNG OF MTL/OTHR MATRLS</t>
        </is>
      </c>
      <c r="E3135" s="3" t="n">
        <v>0.22</v>
      </c>
      <c r="F3135" s="3" t="n">
        <v>0.02</v>
      </c>
      <c r="G3135" s="3">
        <f>F3135-E3135</f>
        <v/>
      </c>
      <c r="H3135" s="4">
        <f>IF(E3135=0,"",F3135/E3135-1)</f>
        <v/>
      </c>
      <c r="I3135" t="inlineStr"/>
    </row>
    <row r="3136">
      <c r="A3136" t="inlineStr">
        <is>
          <t>Cosmetics, dyes &amp; other chemicals</t>
        </is>
      </c>
      <c r="B3136" t="inlineStr">
        <is>
          <t>31</t>
        </is>
      </c>
      <c r="C3136" t="inlineStr">
        <is>
          <t>31042000</t>
        </is>
      </c>
      <c r="D3136" t="inlineStr">
        <is>
          <t>POTASSIUM CHLORIDE</t>
        </is>
      </c>
      <c r="E3136" s="3" t="n">
        <v>0</v>
      </c>
      <c r="F3136" s="3" t="n">
        <v>0.01</v>
      </c>
      <c r="G3136" s="3">
        <f>F3136-E3136</f>
        <v/>
      </c>
      <c r="H3136" s="4">
        <f>IF(E3136=0,"",F3136/E3136-1)</f>
        <v/>
      </c>
      <c r="I3136" t="inlineStr"/>
    </row>
    <row r="3137">
      <c r="A3137" t="inlineStr">
        <is>
          <t>Cosmetics, dyes &amp; other chemicals</t>
        </is>
      </c>
      <c r="B3137" t="inlineStr">
        <is>
          <t>32</t>
        </is>
      </c>
      <c r="C3137" t="inlineStr">
        <is>
          <t>32041139</t>
        </is>
      </c>
      <c r="D3137" t="inlineStr">
        <is>
          <t>OTHER DISPERSE RED</t>
        </is>
      </c>
      <c r="E3137" s="3" t="n">
        <v>0.01</v>
      </c>
      <c r="F3137" s="3" t="n">
        <v>0.01</v>
      </c>
      <c r="G3137" s="3">
        <f>F3137-E3137</f>
        <v/>
      </c>
      <c r="H3137" s="4">
        <f>IF(E3137=0,"",F3137/E3137-1)</f>
        <v/>
      </c>
      <c r="I3137" t="inlineStr"/>
    </row>
    <row r="3138">
      <c r="A3138" t="inlineStr">
        <is>
          <t>Cosmetics, dyes &amp; other chemicals</t>
        </is>
      </c>
      <c r="B3138" t="inlineStr">
        <is>
          <t>32</t>
        </is>
      </c>
      <c r="C3138" t="inlineStr">
        <is>
          <t>32041213</t>
        </is>
      </c>
      <c r="D3138" t="inlineStr">
        <is>
          <t>ACID RED(AZO)</t>
        </is>
      </c>
      <c r="E3138" s="3" t="n">
        <v>0</v>
      </c>
      <c r="F3138" s="3" t="n">
        <v>0.01</v>
      </c>
      <c r="G3138" s="3">
        <f>F3138-E3138</f>
        <v/>
      </c>
      <c r="H3138" s="4">
        <f>IF(E3138=0,"",F3138/E3138-1)</f>
        <v/>
      </c>
      <c r="I3138" t="inlineStr"/>
    </row>
    <row r="3139">
      <c r="A3139" t="inlineStr">
        <is>
          <t>Cosmetics, dyes &amp; other chemicals</t>
        </is>
      </c>
      <c r="B3139" t="inlineStr">
        <is>
          <t>32</t>
        </is>
      </c>
      <c r="C3139" t="inlineStr">
        <is>
          <t>32041215</t>
        </is>
      </c>
      <c r="D3139" t="inlineStr">
        <is>
          <t>ACID BLUES(AZO)</t>
        </is>
      </c>
      <c r="E3139" s="3" t="n">
        <v>0</v>
      </c>
      <c r="F3139" s="3" t="n">
        <v>0.01</v>
      </c>
      <c r="G3139" s="3">
        <f>F3139-E3139</f>
        <v/>
      </c>
      <c r="H3139" s="4">
        <f>IF(E3139=0,"",F3139/E3139-1)</f>
        <v/>
      </c>
      <c r="I3139" t="inlineStr"/>
    </row>
    <row r="3140">
      <c r="A3140" t="inlineStr">
        <is>
          <t>Cosmetics, dyes &amp; other chemicals</t>
        </is>
      </c>
      <c r="B3140" t="inlineStr">
        <is>
          <t>32</t>
        </is>
      </c>
      <c r="C3140" t="inlineStr">
        <is>
          <t>32041571</t>
        </is>
      </c>
      <c r="D3140" t="inlineStr">
        <is>
          <t>VAT BROWN 1(BROWN BR)</t>
        </is>
      </c>
      <c r="E3140" s="3" t="n">
        <v>0.01</v>
      </c>
      <c r="F3140" s="3" t="n">
        <v>0.01</v>
      </c>
      <c r="G3140" s="3">
        <f>F3140-E3140</f>
        <v/>
      </c>
      <c r="H3140" s="4">
        <f>IF(E3140=0,"",F3140/E3140-1)</f>
        <v/>
      </c>
      <c r="I3140" t="inlineStr"/>
    </row>
    <row r="3141">
      <c r="A3141" t="inlineStr">
        <is>
          <t>Cosmetics, dyes &amp; other chemicals</t>
        </is>
      </c>
      <c r="B3141" t="inlineStr">
        <is>
          <t>32</t>
        </is>
      </c>
      <c r="C3141" t="inlineStr">
        <is>
          <t>32041610</t>
        </is>
      </c>
      <c r="D3141" t="inlineStr">
        <is>
          <t>REACTIVE YELLOWS</t>
        </is>
      </c>
      <c r="E3141" s="3" t="n">
        <v>0.01</v>
      </c>
      <c r="F3141" s="3" t="n">
        <v>0.01</v>
      </c>
      <c r="G3141" s="3">
        <f>F3141-E3141</f>
        <v/>
      </c>
      <c r="H3141" s="4">
        <f>IF(E3141=0,"",F3141/E3141-1)</f>
        <v/>
      </c>
      <c r="I3141" t="inlineStr"/>
    </row>
    <row r="3142">
      <c r="A3142" t="inlineStr">
        <is>
          <t>Cosmetics, dyes &amp; other chemicals</t>
        </is>
      </c>
      <c r="B3142" t="inlineStr">
        <is>
          <t>32</t>
        </is>
      </c>
      <c r="C3142" t="inlineStr">
        <is>
          <t>32041630</t>
        </is>
      </c>
      <c r="D3142" t="inlineStr">
        <is>
          <t>REACTIVE REDS</t>
        </is>
      </c>
      <c r="E3142" s="3" t="n">
        <v>2.17</v>
      </c>
      <c r="F3142" s="3" t="n">
        <v>0.01</v>
      </c>
      <c r="G3142" s="3">
        <f>F3142-E3142</f>
        <v/>
      </c>
      <c r="H3142" s="4">
        <f>IF(E3142=0,"",F3142/E3142-1)</f>
        <v/>
      </c>
      <c r="I3142" t="inlineStr"/>
    </row>
    <row r="3143">
      <c r="A3143" t="inlineStr">
        <is>
          <t>Cosmetics, dyes &amp; other chemicals</t>
        </is>
      </c>
      <c r="B3143" t="inlineStr">
        <is>
          <t>32</t>
        </is>
      </c>
      <c r="C3143" t="inlineStr">
        <is>
          <t>32041640</t>
        </is>
      </c>
      <c r="D3143" t="inlineStr">
        <is>
          <t>REACTIVE VIOLETS</t>
        </is>
      </c>
      <c r="E3143" s="3" t="n">
        <v>0.01</v>
      </c>
      <c r="F3143" s="3" t="n">
        <v>0.01</v>
      </c>
      <c r="G3143" s="3">
        <f>F3143-E3143</f>
        <v/>
      </c>
      <c r="H3143" s="4">
        <f>IF(E3143=0,"",F3143/E3143-1)</f>
        <v/>
      </c>
      <c r="I3143" t="inlineStr"/>
    </row>
    <row r="3144">
      <c r="A3144" t="inlineStr">
        <is>
          <t>Cosmetics, dyes &amp; other chemicals</t>
        </is>
      </c>
      <c r="B3144" t="inlineStr">
        <is>
          <t>32</t>
        </is>
      </c>
      <c r="C3144" t="inlineStr">
        <is>
          <t>32041680</t>
        </is>
      </c>
      <c r="D3144" t="inlineStr">
        <is>
          <t>REACTIVE BLACKS</t>
        </is>
      </c>
      <c r="E3144" s="3" t="n">
        <v>5.35</v>
      </c>
      <c r="F3144" s="3" t="n">
        <v>0.01</v>
      </c>
      <c r="G3144" s="3">
        <f>F3144-E3144</f>
        <v/>
      </c>
      <c r="H3144" s="4">
        <f>IF(E3144=0,"",F3144/E3144-1)</f>
        <v/>
      </c>
      <c r="I3144" t="inlineStr"/>
    </row>
    <row r="3145">
      <c r="A3145" t="inlineStr">
        <is>
          <t>Cosmetics, dyes &amp; other chemicals</t>
        </is>
      </c>
      <c r="B3145" t="inlineStr">
        <is>
          <t>32</t>
        </is>
      </c>
      <c r="C3145" t="inlineStr">
        <is>
          <t>32041740</t>
        </is>
      </c>
      <c r="D3145" t="inlineStr">
        <is>
          <t>PIGMENT VIOLETS</t>
        </is>
      </c>
      <c r="E3145" s="3" t="n">
        <v>0.04</v>
      </c>
      <c r="F3145" s="3" t="n">
        <v>0.01</v>
      </c>
      <c r="G3145" s="3">
        <f>F3145-E3145</f>
        <v/>
      </c>
      <c r="H3145" s="4">
        <f>IF(E3145=0,"",F3145/E3145-1)</f>
        <v/>
      </c>
      <c r="I3145" t="inlineStr"/>
    </row>
    <row r="3146">
      <c r="A3146" t="inlineStr">
        <is>
          <t>Cosmetics, dyes &amp; other chemicals</t>
        </is>
      </c>
      <c r="B3146" t="inlineStr">
        <is>
          <t>32</t>
        </is>
      </c>
      <c r="C3146" t="inlineStr">
        <is>
          <t>32041929</t>
        </is>
      </c>
      <c r="D3146" t="inlineStr">
        <is>
          <t>OTHER AZOIC COUPLNG COMPNT(NAPTHOL OTHERS)</t>
        </is>
      </c>
      <c r="E3146" s="3" t="n">
        <v>0</v>
      </c>
      <c r="F3146" s="3" t="n">
        <v>0.01</v>
      </c>
      <c r="G3146" s="3">
        <f>F3146-E3146</f>
        <v/>
      </c>
      <c r="H3146" s="4">
        <f>IF(E3146=0,"",F3146/E3146-1)</f>
        <v/>
      </c>
      <c r="I3146" t="inlineStr"/>
    </row>
    <row r="3147">
      <c r="A3147" t="inlineStr">
        <is>
          <t>Cosmetics, dyes &amp; other chemicals</t>
        </is>
      </c>
      <c r="B3147" t="inlineStr">
        <is>
          <t>32</t>
        </is>
      </c>
      <c r="C3147" t="inlineStr">
        <is>
          <t>32041981</t>
        </is>
      </c>
      <c r="D3147" t="inlineStr">
        <is>
          <t>FOOD COLOURING YELLOW 3 (SUNSET YELLOW)</t>
        </is>
      </c>
      <c r="E3147" s="3" t="n">
        <v>0</v>
      </c>
      <c r="F3147" s="3" t="n">
        <v>0.01</v>
      </c>
      <c r="G3147" s="3">
        <f>F3147-E3147</f>
        <v/>
      </c>
      <c r="H3147" s="4">
        <f>IF(E3147=0,"",F3147/E3147-1)</f>
        <v/>
      </c>
      <c r="I3147" t="inlineStr"/>
    </row>
    <row r="3148">
      <c r="A3148" t="inlineStr">
        <is>
          <t>Cosmetics, dyes &amp; other chemicals</t>
        </is>
      </c>
      <c r="B3148" t="inlineStr">
        <is>
          <t>32</t>
        </is>
      </c>
      <c r="C3148" t="inlineStr">
        <is>
          <t>32050000</t>
        </is>
      </c>
      <c r="D3148" t="inlineStr">
        <is>
          <t>COLR LAKES</t>
        </is>
      </c>
      <c r="E3148" s="3" t="n">
        <v>0.04</v>
      </c>
      <c r="F3148" s="3" t="n">
        <v>0.01</v>
      </c>
      <c r="G3148" s="3">
        <f>F3148-E3148</f>
        <v/>
      </c>
      <c r="H3148" s="4">
        <f>IF(E3148=0,"",F3148/E3148-1)</f>
        <v/>
      </c>
      <c r="I3148" t="inlineStr"/>
    </row>
    <row r="3149">
      <c r="A3149" t="inlineStr">
        <is>
          <t>Cosmetics, dyes &amp; other chemicals</t>
        </is>
      </c>
      <c r="B3149" t="inlineStr">
        <is>
          <t>32</t>
        </is>
      </c>
      <c r="C3149" t="inlineStr">
        <is>
          <t>32073000</t>
        </is>
      </c>
      <c r="D3149" t="inlineStr">
        <is>
          <t>LIQD LUSTRS AND SIMLR PRPTNS</t>
        </is>
      </c>
      <c r="E3149" s="3" t="n">
        <v>0</v>
      </c>
      <c r="F3149" s="3" t="n">
        <v>0.01</v>
      </c>
      <c r="G3149" s="3">
        <f>F3149-E3149</f>
        <v/>
      </c>
      <c r="H3149" s="4">
        <f>IF(E3149=0,"",F3149/E3149-1)</f>
        <v/>
      </c>
      <c r="I3149" t="inlineStr"/>
    </row>
    <row r="3150">
      <c r="A3150" t="inlineStr">
        <is>
          <t>Cosmetics, dyes &amp; other chemicals</t>
        </is>
      </c>
      <c r="B3150" t="inlineStr">
        <is>
          <t>32</t>
        </is>
      </c>
      <c r="C3150" t="inlineStr">
        <is>
          <t>32089022</t>
        </is>
      </c>
      <c r="D3150" t="inlineStr">
        <is>
          <t>SYNTHETIC ENAMEL,OTHER COLOURS.</t>
        </is>
      </c>
      <c r="E3150" s="3" t="n">
        <v>0</v>
      </c>
      <c r="F3150" s="3" t="n">
        <v>0.01</v>
      </c>
      <c r="G3150" s="3">
        <f>F3150-E3150</f>
        <v/>
      </c>
      <c r="H3150" s="4">
        <f>IF(E3150=0,"",F3150/E3150-1)</f>
        <v/>
      </c>
      <c r="I3150" t="inlineStr"/>
    </row>
    <row r="3151">
      <c r="A3151" t="inlineStr">
        <is>
          <t>Cosmetics, dyes &amp; other chemicals</t>
        </is>
      </c>
      <c r="B3151" t="inlineStr">
        <is>
          <t>33</t>
        </is>
      </c>
      <c r="C3151" t="inlineStr">
        <is>
          <t>33012918</t>
        </is>
      </c>
      <c r="D3151" t="inlineStr">
        <is>
          <t>CINNAMON LEAF OIL</t>
        </is>
      </c>
      <c r="E3151" s="3" t="n">
        <v>0.01</v>
      </c>
      <c r="F3151" s="3" t="n">
        <v>0.01</v>
      </c>
      <c r="G3151" s="3">
        <f>F3151-E3151</f>
        <v/>
      </c>
      <c r="H3151" s="4">
        <f>IF(E3151=0,"",F3151/E3151-1)</f>
        <v/>
      </c>
      <c r="I3151" t="inlineStr"/>
    </row>
    <row r="3152">
      <c r="A3152" t="inlineStr">
        <is>
          <t>Cosmetics, dyes &amp; other chemicals</t>
        </is>
      </c>
      <c r="B3152" t="inlineStr">
        <is>
          <t>33</t>
        </is>
      </c>
      <c r="C3152" t="inlineStr">
        <is>
          <t>33012926</t>
        </is>
      </c>
      <c r="D3152" t="inlineStr">
        <is>
          <t>GINGER OIL</t>
        </is>
      </c>
      <c r="E3152" s="3" t="n">
        <v>0</v>
      </c>
      <c r="F3152" s="3" t="n">
        <v>0.01</v>
      </c>
      <c r="G3152" s="3">
        <f>F3152-E3152</f>
        <v/>
      </c>
      <c r="H3152" s="4">
        <f>IF(E3152=0,"",F3152/E3152-1)</f>
        <v/>
      </c>
      <c r="I3152" t="inlineStr"/>
    </row>
    <row r="3153">
      <c r="A3153" t="inlineStr">
        <is>
          <t>Cosmetics, dyes &amp; other chemicals</t>
        </is>
      </c>
      <c r="B3153" t="inlineStr">
        <is>
          <t>33</t>
        </is>
      </c>
      <c r="C3153" t="inlineStr">
        <is>
          <t>33019049</t>
        </is>
      </c>
      <c r="D3153" t="inlineStr">
        <is>
          <t>OTHR CONC OF ESNL OILS IN FATS/FIXD/WAX OBTAINED BY COLD ABSORPTION OR MACERATION</t>
        </is>
      </c>
      <c r="E3153" s="3" t="n">
        <v>0</v>
      </c>
      <c r="F3153" s="3" t="n">
        <v>0.01</v>
      </c>
      <c r="G3153" s="3">
        <f>F3153-E3153</f>
        <v/>
      </c>
      <c r="H3153" s="4">
        <f>IF(E3153=0,"",F3153/E3153-1)</f>
        <v/>
      </c>
      <c r="I3153" t="inlineStr"/>
    </row>
    <row r="3154">
      <c r="A3154" t="inlineStr">
        <is>
          <t>Cosmetics, dyes &amp; other chemicals</t>
        </is>
      </c>
      <c r="B3154" t="inlineStr">
        <is>
          <t>33</t>
        </is>
      </c>
      <c r="C3154" t="inlineStr">
        <is>
          <t>33049110</t>
        </is>
      </c>
      <c r="D3154" t="inlineStr">
        <is>
          <t>POWDER FACE</t>
        </is>
      </c>
      <c r="E3154" s="3" t="n">
        <v>0.01</v>
      </c>
      <c r="F3154" s="3" t="n">
        <v>0.01</v>
      </c>
      <c r="G3154" s="3">
        <f>F3154-E3154</f>
        <v/>
      </c>
      <c r="H3154" s="4">
        <f>IF(E3154=0,"",F3154/E3154-1)</f>
        <v/>
      </c>
      <c r="I3154" t="inlineStr"/>
    </row>
    <row r="3155">
      <c r="A3155" t="inlineStr">
        <is>
          <t>Cosmetics, dyes &amp; other chemicals</t>
        </is>
      </c>
      <c r="B3155" t="inlineStr">
        <is>
          <t>33</t>
        </is>
      </c>
      <c r="C3155" t="inlineStr">
        <is>
          <t>33049950</t>
        </is>
      </c>
      <c r="D3155" t="inlineStr">
        <is>
          <t>TURMERIC PREPARATIONS</t>
        </is>
      </c>
      <c r="E3155" s="3" t="n">
        <v>0</v>
      </c>
      <c r="F3155" s="3" t="n">
        <v>0.01</v>
      </c>
      <c r="G3155" s="3">
        <f>F3155-E3155</f>
        <v/>
      </c>
      <c r="H3155" s="4">
        <f>IF(E3155=0,"",F3155/E3155-1)</f>
        <v/>
      </c>
      <c r="I3155" t="inlineStr"/>
    </row>
    <row r="3156">
      <c r="A3156" t="inlineStr">
        <is>
          <t>Cosmetics, dyes &amp; other chemicals</t>
        </is>
      </c>
      <c r="B3156" t="inlineStr">
        <is>
          <t>33</t>
        </is>
      </c>
      <c r="C3156" t="inlineStr">
        <is>
          <t>33051010</t>
        </is>
      </c>
      <c r="D3156" t="inlineStr">
        <is>
          <t>HAIR SHAMPOOS (SPIRITUOUS)</t>
        </is>
      </c>
      <c r="E3156" s="3" t="n">
        <v>0.03</v>
      </c>
      <c r="F3156" s="3" t="n">
        <v>0.01</v>
      </c>
      <c r="G3156" s="3">
        <f>F3156-E3156</f>
        <v/>
      </c>
      <c r="H3156" s="4">
        <f>IF(E3156=0,"",F3156/E3156-1)</f>
        <v/>
      </c>
      <c r="I3156" t="inlineStr"/>
    </row>
    <row r="3157">
      <c r="A3157" t="inlineStr">
        <is>
          <t>Cosmetics, dyes &amp; other chemicals</t>
        </is>
      </c>
      <c r="B3157" t="inlineStr">
        <is>
          <t>33</t>
        </is>
      </c>
      <c r="C3157" t="inlineStr">
        <is>
          <t>33079090</t>
        </is>
      </c>
      <c r="D3157" t="inlineStr">
        <is>
          <t>OTHER COSMETIC AND TOILT PRPN N E S</t>
        </is>
      </c>
      <c r="E3157" s="3" t="n">
        <v>0.09</v>
      </c>
      <c r="F3157" s="3" t="n">
        <v>0.01</v>
      </c>
      <c r="G3157" s="3">
        <f>F3157-E3157</f>
        <v/>
      </c>
      <c r="H3157" s="4">
        <f>IF(E3157=0,"",F3157/E3157-1)</f>
        <v/>
      </c>
      <c r="I3157" t="inlineStr"/>
    </row>
    <row r="3158">
      <c r="A3158" t="inlineStr">
        <is>
          <t>Cosmetics, dyes &amp; other chemicals</t>
        </is>
      </c>
      <c r="B3158" t="inlineStr">
        <is>
          <t>34</t>
        </is>
      </c>
      <c r="C3158" t="inlineStr">
        <is>
          <t>34011930</t>
        </is>
      </c>
      <c r="D3158" t="inlineStr">
        <is>
          <t>TABLETS AND CAKES</t>
        </is>
      </c>
      <c r="E3158" s="3" t="n">
        <v>0.03</v>
      </c>
      <c r="F3158" s="3" t="n">
        <v>0.01</v>
      </c>
      <c r="G3158" s="3">
        <f>F3158-E3158</f>
        <v/>
      </c>
      <c r="H3158" s="4">
        <f>IF(E3158=0,"",F3158/E3158-1)</f>
        <v/>
      </c>
      <c r="I3158" t="inlineStr"/>
    </row>
    <row r="3159">
      <c r="A3159" t="inlineStr">
        <is>
          <t>Cosmetics, dyes &amp; other chemicals</t>
        </is>
      </c>
      <c r="B3159" t="inlineStr">
        <is>
          <t>34</t>
        </is>
      </c>
      <c r="C3159" t="inlineStr">
        <is>
          <t>34011941</t>
        </is>
      </c>
      <c r="D3159" t="inlineStr">
        <is>
          <t>HOUSEHOLD SOAPS</t>
        </is>
      </c>
      <c r="E3159" s="3" t="n">
        <v>0.02</v>
      </c>
      <c r="F3159" s="3" t="n">
        <v>0.01</v>
      </c>
      <c r="G3159" s="3">
        <f>F3159-E3159</f>
        <v/>
      </c>
      <c r="H3159" s="4">
        <f>IF(E3159=0,"",F3159/E3159-1)</f>
        <v/>
      </c>
      <c r="I3159" t="inlineStr"/>
    </row>
    <row r="3160">
      <c r="A3160" t="inlineStr">
        <is>
          <t>Cosmetics, dyes &amp; other chemicals</t>
        </is>
      </c>
      <c r="B3160" t="inlineStr">
        <is>
          <t>34</t>
        </is>
      </c>
      <c r="C3160" t="inlineStr">
        <is>
          <t>34025000</t>
        </is>
      </c>
      <c r="D3160" t="inlineStr">
        <is>
          <t>PREPARATIONS PUT UP FOR RETAIL SALE (OTHER ORGANIC SURFACE ACTIVE AGENTS)</t>
        </is>
      </c>
      <c r="E3160" s="3" t="n">
        <v>0.09</v>
      </c>
      <c r="F3160" s="3" t="n">
        <v>0.01</v>
      </c>
      <c r="G3160" s="3">
        <f>F3160-E3160</f>
        <v/>
      </c>
      <c r="H3160" s="4">
        <f>IF(E3160=0,"",F3160/E3160-1)</f>
        <v/>
      </c>
      <c r="I3160" t="inlineStr"/>
    </row>
    <row r="3161">
      <c r="A3161" t="inlineStr">
        <is>
          <t>Cosmetics, dyes &amp; other chemicals</t>
        </is>
      </c>
      <c r="B3161" t="inlineStr">
        <is>
          <t>35</t>
        </is>
      </c>
      <c r="C3161" t="inlineStr">
        <is>
          <t>35052000</t>
        </is>
      </c>
      <c r="D3161" t="inlineStr">
        <is>
          <t>GLUES</t>
        </is>
      </c>
      <c r="E3161" s="3" t="n">
        <v>0.02</v>
      </c>
      <c r="F3161" s="3" t="n">
        <v>0.01</v>
      </c>
      <c r="G3161" s="3">
        <f>F3161-E3161</f>
        <v/>
      </c>
      <c r="H3161" s="4">
        <f>IF(E3161=0,"",F3161/E3161-1)</f>
        <v/>
      </c>
      <c r="I3161" t="inlineStr"/>
    </row>
    <row r="3162">
      <c r="A3162" t="inlineStr">
        <is>
          <t>Cosmetics, dyes &amp; other chemicals</t>
        </is>
      </c>
      <c r="B3162" t="inlineStr">
        <is>
          <t>37</t>
        </is>
      </c>
      <c r="C3162" t="inlineStr">
        <is>
          <t>37029810</t>
        </is>
      </c>
      <c r="D3162" t="inlineStr">
        <is>
          <t>CINEMATOGRAPHIC FILM</t>
        </is>
      </c>
      <c r="E3162" s="3" t="n">
        <v>0.01</v>
      </c>
      <c r="F3162" s="3" t="n">
        <v>0.01</v>
      </c>
      <c r="G3162" s="3">
        <f>F3162-E3162</f>
        <v/>
      </c>
      <c r="H3162" s="4">
        <f>IF(E3162=0,"",F3162/E3162-1)</f>
        <v/>
      </c>
      <c r="I3162" t="inlineStr"/>
    </row>
    <row r="3163">
      <c r="A3163" t="inlineStr">
        <is>
          <t>Cosmetics, dyes &amp; other chemicals</t>
        </is>
      </c>
      <c r="B3163" t="inlineStr">
        <is>
          <t>38</t>
        </is>
      </c>
      <c r="C3163" t="inlineStr">
        <is>
          <t>38089191</t>
        </is>
      </c>
      <c r="D3163" t="inlineStr">
        <is>
          <t>REPELANT FOR INSECTS SUCH AS FLIES,MOSQUTO</t>
        </is>
      </c>
      <c r="E3163" s="3" t="n">
        <v>0</v>
      </c>
      <c r="F3163" s="3" t="n">
        <v>0.01</v>
      </c>
      <c r="G3163" s="3">
        <f>F3163-E3163</f>
        <v/>
      </c>
      <c r="H3163" s="4">
        <f>IF(E3163=0,"",F3163/E3163-1)</f>
        <v/>
      </c>
      <c r="I3163" t="inlineStr"/>
    </row>
    <row r="3164">
      <c r="A3164" t="inlineStr">
        <is>
          <t>Cosmetics, dyes &amp; other chemicals</t>
        </is>
      </c>
      <c r="B3164" t="inlineStr">
        <is>
          <t>38</t>
        </is>
      </c>
      <c r="C3164" t="inlineStr">
        <is>
          <t>38123920</t>
        </is>
      </c>
      <c r="D3164" t="inlineStr">
        <is>
          <t>SOFTENERS FOR RUBBER</t>
        </is>
      </c>
      <c r="E3164" s="3" t="n">
        <v>0.01</v>
      </c>
      <c r="F3164" s="3" t="n">
        <v>0.01</v>
      </c>
      <c r="G3164" s="3">
        <f>F3164-E3164</f>
        <v/>
      </c>
      <c r="H3164" s="4">
        <f>IF(E3164=0,"",F3164/E3164-1)</f>
        <v/>
      </c>
      <c r="I3164" t="inlineStr"/>
    </row>
    <row r="3165">
      <c r="A3165" t="inlineStr">
        <is>
          <t>Cosmetics, dyes &amp; other chemicals</t>
        </is>
      </c>
      <c r="B3165" t="inlineStr">
        <is>
          <t>38</t>
        </is>
      </c>
      <c r="C3165" t="inlineStr">
        <is>
          <t>38221300</t>
        </is>
      </c>
      <c r="D3165" t="inlineStr">
        <is>
          <t>FOR BLOOD-GROUPING(DIAGNOSTIC OR LABORATORY REAGENTS , WHETHER OR NOT PUT UP IN THE FORM OF KITS)</t>
        </is>
      </c>
      <c r="E3165" s="3" t="n">
        <v>0.08</v>
      </c>
      <c r="F3165" s="3" t="n">
        <v>0.01</v>
      </c>
      <c r="G3165" s="3">
        <f>F3165-E3165</f>
        <v/>
      </c>
      <c r="H3165" s="4">
        <f>IF(E3165=0,"",F3165/E3165-1)</f>
        <v/>
      </c>
      <c r="I3165" t="inlineStr"/>
    </row>
    <row r="3166">
      <c r="A3166" t="inlineStr">
        <is>
          <t>Cosmetics, dyes &amp; other chemicals</t>
        </is>
      </c>
      <c r="B3166" t="inlineStr">
        <is>
          <t>31</t>
        </is>
      </c>
      <c r="C3166" t="inlineStr">
        <is>
          <t>31022100</t>
        </is>
      </c>
      <c r="D3166" t="inlineStr">
        <is>
          <t>AMMONIUM SULPHATE</t>
        </is>
      </c>
      <c r="E3166" s="3" t="n">
        <v>0</v>
      </c>
      <c r="F3166" s="3" t="n">
        <v>0</v>
      </c>
      <c r="G3166" s="3">
        <f>F3166-E3166</f>
        <v/>
      </c>
      <c r="H3166" s="4">
        <f>IF(E3166=0,"",F3166/E3166-1)</f>
        <v/>
      </c>
      <c r="I3166" t="inlineStr"/>
    </row>
    <row r="3167">
      <c r="A3167" t="inlineStr">
        <is>
          <t>Cosmetics, dyes &amp; other chemicals</t>
        </is>
      </c>
      <c r="B3167" t="inlineStr">
        <is>
          <t>31</t>
        </is>
      </c>
      <c r="C3167" t="inlineStr">
        <is>
          <t>31025000</t>
        </is>
      </c>
      <c r="D3167" t="inlineStr">
        <is>
          <t>SODIUM NITRATE</t>
        </is>
      </c>
      <c r="E3167" s="3" t="n">
        <v>0</v>
      </c>
      <c r="F3167" s="3" t="n">
        <v>0</v>
      </c>
      <c r="G3167" s="3">
        <f>F3167-E3167</f>
        <v/>
      </c>
      <c r="H3167" s="4">
        <f>IF(E3167=0,"",F3167/E3167-1)</f>
        <v/>
      </c>
      <c r="I3167" t="inlineStr"/>
    </row>
    <row r="3168">
      <c r="A3168" t="inlineStr">
        <is>
          <t>Cosmetics, dyes &amp; other chemicals</t>
        </is>
      </c>
      <c r="B3168" t="inlineStr">
        <is>
          <t>31</t>
        </is>
      </c>
      <c r="C3168" t="inlineStr">
        <is>
          <t>31029090</t>
        </is>
      </c>
      <c r="D3168" t="inlineStr">
        <is>
          <t>OTHER CALCIUM NITRATE AND MAGNESIUM NITRATE</t>
        </is>
      </c>
      <c r="E3168" s="3" t="n">
        <v>0.02</v>
      </c>
      <c r="F3168" s="3" t="n">
        <v>0</v>
      </c>
      <c r="G3168" s="3">
        <f>F3168-E3168</f>
        <v/>
      </c>
      <c r="H3168" s="4">
        <f>IF(E3168=0,"",F3168/E3168-1)</f>
        <v/>
      </c>
      <c r="I3168" t="inlineStr"/>
    </row>
    <row r="3169">
      <c r="A3169" t="inlineStr">
        <is>
          <t>Cosmetics, dyes &amp; other chemicals</t>
        </is>
      </c>
      <c r="B3169" t="inlineStr">
        <is>
          <t>31</t>
        </is>
      </c>
      <c r="C3169" t="inlineStr">
        <is>
          <t>31043000</t>
        </is>
      </c>
      <c r="D3169" t="inlineStr">
        <is>
          <t>POTASSIUM SULPHATE</t>
        </is>
      </c>
      <c r="E3169" s="3" t="n">
        <v>0</v>
      </c>
      <c r="F3169" s="3" t="n">
        <v>0</v>
      </c>
      <c r="G3169" s="3">
        <f>F3169-E3169</f>
        <v/>
      </c>
      <c r="H3169" s="4">
        <f>IF(E3169=0,"",F3169/E3169-1)</f>
        <v/>
      </c>
      <c r="I3169" t="inlineStr"/>
    </row>
    <row r="3170">
      <c r="A3170" t="inlineStr">
        <is>
          <t>Cosmetics, dyes &amp; other chemicals</t>
        </is>
      </c>
      <c r="B3170" t="inlineStr">
        <is>
          <t>31</t>
        </is>
      </c>
      <c r="C3170" t="inlineStr">
        <is>
          <t>31053000</t>
        </is>
      </c>
      <c r="D3170" t="inlineStr">
        <is>
          <t>DIAMONM HYDRGNORTHPHOSPHT(DIAMONM PHOSPHT)</t>
        </is>
      </c>
      <c r="E3170" s="3" t="n">
        <v>0</v>
      </c>
      <c r="F3170" s="3" t="n">
        <v>0</v>
      </c>
      <c r="G3170" s="3">
        <f>F3170-E3170</f>
        <v/>
      </c>
      <c r="H3170" s="4">
        <f>IF(E3170=0,"",F3170/E3170-1)</f>
        <v/>
      </c>
      <c r="I3170" t="inlineStr"/>
    </row>
    <row r="3171">
      <c r="A3171" t="inlineStr">
        <is>
          <t>Cosmetics, dyes &amp; other chemicals</t>
        </is>
      </c>
      <c r="B3171" t="inlineStr">
        <is>
          <t>31</t>
        </is>
      </c>
      <c r="C3171" t="inlineStr">
        <is>
          <t>31054000</t>
        </is>
      </c>
      <c r="D3171" t="inlineStr">
        <is>
          <t>AMONM DIHYDROGNORTHOPHOSPHT(MONOAMMONIUM PHOSPHT)/MXTRS WITH DIAMMONIUM HYDROGNORTHOPHOSPHT(DIAMMONIUM PHOSP</t>
        </is>
      </c>
      <c r="E3171" s="3" t="n">
        <v>0</v>
      </c>
      <c r="F3171" s="3" t="n">
        <v>0</v>
      </c>
      <c r="G3171" s="3">
        <f>F3171-E3171</f>
        <v/>
      </c>
      <c r="H3171" s="4">
        <f>IF(E3171=0,"",F3171/E3171-1)</f>
        <v/>
      </c>
      <c r="I3171" t="inlineStr"/>
    </row>
    <row r="3172">
      <c r="A3172" t="inlineStr">
        <is>
          <t>Cosmetics, dyes &amp; other chemicals</t>
        </is>
      </c>
      <c r="B3172" t="inlineStr">
        <is>
          <t>31</t>
        </is>
      </c>
      <c r="C3172" t="inlineStr">
        <is>
          <t>31059090</t>
        </is>
      </c>
      <c r="D3172" t="inlineStr">
        <is>
          <t>OTHER FERTILISERS N.E.S.</t>
        </is>
      </c>
      <c r="E3172" s="3" t="n">
        <v>0.01</v>
      </c>
      <c r="F3172" s="3" t="n">
        <v>0</v>
      </c>
      <c r="G3172" s="3">
        <f>F3172-E3172</f>
        <v/>
      </c>
      <c r="H3172" s="4">
        <f>IF(E3172=0,"",F3172/E3172-1)</f>
        <v/>
      </c>
      <c r="I3172" t="inlineStr"/>
    </row>
    <row r="3173">
      <c r="A3173" t="inlineStr">
        <is>
          <t>Cosmetics, dyes &amp; other chemicals</t>
        </is>
      </c>
      <c r="B3173" t="inlineStr">
        <is>
          <t>32</t>
        </is>
      </c>
      <c r="C3173" t="inlineStr">
        <is>
          <t>32019030</t>
        </is>
      </c>
      <c r="D3173" t="inlineStr">
        <is>
          <t>GALLOTANIC ACID (TANNIN DIGALLIC ACID)</t>
        </is>
      </c>
      <c r="E3173" s="3" t="n">
        <v>0</v>
      </c>
      <c r="F3173" s="3" t="n">
        <v>0</v>
      </c>
      <c r="G3173" s="3">
        <f>F3173-E3173</f>
        <v/>
      </c>
      <c r="H3173" s="4">
        <f>IF(E3173=0,"",F3173/E3173-1)</f>
        <v/>
      </c>
      <c r="I3173" t="inlineStr"/>
    </row>
    <row r="3174">
      <c r="A3174" t="inlineStr">
        <is>
          <t>Cosmetics, dyes &amp; other chemicals</t>
        </is>
      </c>
      <c r="B3174" t="inlineStr">
        <is>
          <t>32</t>
        </is>
      </c>
      <c r="C3174" t="inlineStr">
        <is>
          <t>32019090</t>
        </is>
      </c>
      <c r="D3174" t="inlineStr">
        <is>
          <t>OTHER DERIVATIVES</t>
        </is>
      </c>
      <c r="E3174" s="3" t="n">
        <v>0</v>
      </c>
      <c r="F3174" s="3" t="n">
        <v>0</v>
      </c>
      <c r="G3174" s="3">
        <f>F3174-E3174</f>
        <v/>
      </c>
      <c r="H3174" s="4">
        <f>IF(E3174=0,"",F3174/E3174-1)</f>
        <v/>
      </c>
      <c r="I3174" t="inlineStr"/>
    </row>
    <row r="3175">
      <c r="A3175" t="inlineStr">
        <is>
          <t>Cosmetics, dyes &amp; other chemicals</t>
        </is>
      </c>
      <c r="B3175" t="inlineStr">
        <is>
          <t>32</t>
        </is>
      </c>
      <c r="C3175" t="inlineStr">
        <is>
          <t>32021000</t>
        </is>
      </c>
      <c r="D3175" t="inlineStr">
        <is>
          <t>SYNTHETIC ORGANIC TANNING SUBSTANCES</t>
        </is>
      </c>
      <c r="E3175" s="3" t="n">
        <v>0</v>
      </c>
      <c r="F3175" s="3" t="n">
        <v>0</v>
      </c>
      <c r="G3175" s="3">
        <f>F3175-E3175</f>
        <v/>
      </c>
      <c r="H3175" s="4">
        <f>IF(E3175=0,"",F3175/E3175-1)</f>
        <v/>
      </c>
      <c r="I3175" t="inlineStr"/>
    </row>
    <row r="3176">
      <c r="A3176" t="inlineStr">
        <is>
          <t>Cosmetics, dyes &amp; other chemicals</t>
        </is>
      </c>
      <c r="B3176" t="inlineStr">
        <is>
          <t>32</t>
        </is>
      </c>
      <c r="C3176" t="inlineStr">
        <is>
          <t>32029090</t>
        </is>
      </c>
      <c r="D3176" t="inlineStr">
        <is>
          <t>OTHR INORGANIC TANNING SUBSTANCES N.E.S.</t>
        </is>
      </c>
      <c r="E3176" s="3" t="n">
        <v>0</v>
      </c>
      <c r="F3176" s="3" t="n">
        <v>0</v>
      </c>
      <c r="G3176" s="3">
        <f>F3176-E3176</f>
        <v/>
      </c>
      <c r="H3176" s="4">
        <f>IF(E3176=0,"",F3176/E3176-1)</f>
        <v/>
      </c>
      <c r="I3176" t="inlineStr"/>
    </row>
    <row r="3177">
      <c r="A3177" t="inlineStr">
        <is>
          <t>Cosmetics, dyes &amp; other chemicals</t>
        </is>
      </c>
      <c r="B3177" t="inlineStr">
        <is>
          <t>32</t>
        </is>
      </c>
      <c r="C3177" t="inlineStr">
        <is>
          <t>32030040</t>
        </is>
      </c>
      <c r="D3177" t="inlineStr">
        <is>
          <t>NATURAL INDIGO</t>
        </is>
      </c>
      <c r="E3177" s="3" t="n">
        <v>0.04</v>
      </c>
      <c r="F3177" s="3" t="n">
        <v>0</v>
      </c>
      <c r="G3177" s="3">
        <f>F3177-E3177</f>
        <v/>
      </c>
      <c r="H3177" s="4">
        <f>IF(E3177=0,"",F3177/E3177-1)</f>
        <v/>
      </c>
      <c r="I3177" t="inlineStr"/>
    </row>
    <row r="3178">
      <c r="A3178" t="inlineStr">
        <is>
          <t>Cosmetics, dyes &amp; other chemicals</t>
        </is>
      </c>
      <c r="B3178" t="inlineStr">
        <is>
          <t>32</t>
        </is>
      </c>
      <c r="C3178" t="inlineStr">
        <is>
          <t>32030090</t>
        </is>
      </c>
      <c r="D3178" t="inlineStr">
        <is>
          <t>OTHER COLOURING MATTER OF ANIMAL ORIGIN</t>
        </is>
      </c>
      <c r="E3178" s="3" t="n">
        <v>0</v>
      </c>
      <c r="F3178" s="3" t="n">
        <v>0</v>
      </c>
      <c r="G3178" s="3">
        <f>F3178-E3178</f>
        <v/>
      </c>
      <c r="H3178" s="4">
        <f>IF(E3178=0,"",F3178/E3178-1)</f>
        <v/>
      </c>
      <c r="I3178" t="inlineStr"/>
    </row>
    <row r="3179">
      <c r="A3179" t="inlineStr">
        <is>
          <t>Cosmetics, dyes &amp; other chemicals</t>
        </is>
      </c>
      <c r="B3179" t="inlineStr">
        <is>
          <t>32</t>
        </is>
      </c>
      <c r="C3179" t="inlineStr">
        <is>
          <t>32041129</t>
        </is>
      </c>
      <c r="D3179" t="inlineStr">
        <is>
          <t>OTHR DISPERSE ORANGE</t>
        </is>
      </c>
      <c r="E3179" s="3" t="n">
        <v>0</v>
      </c>
      <c r="F3179" s="3" t="n">
        <v>0</v>
      </c>
      <c r="G3179" s="3">
        <f>F3179-E3179</f>
        <v/>
      </c>
      <c r="H3179" s="4">
        <f>IF(E3179=0,"",F3179/E3179-1)</f>
        <v/>
      </c>
      <c r="I3179" t="inlineStr"/>
    </row>
    <row r="3180">
      <c r="A3180" t="inlineStr">
        <is>
          <t>Cosmetics, dyes &amp; other chemicals</t>
        </is>
      </c>
      <c r="B3180" t="inlineStr">
        <is>
          <t>32</t>
        </is>
      </c>
      <c r="C3180" t="inlineStr">
        <is>
          <t>32041132</t>
        </is>
      </c>
      <c r="D3180" t="inlineStr">
        <is>
          <t>DISPERSE RED 4(CELLITON FAST PINK RF)</t>
        </is>
      </c>
      <c r="E3180" s="3" t="n">
        <v>0</v>
      </c>
      <c r="F3180" s="3" t="n">
        <v>0</v>
      </c>
      <c r="G3180" s="3">
        <f>F3180-E3180</f>
        <v/>
      </c>
      <c r="H3180" s="4">
        <f>IF(E3180=0,"",F3180/E3180-1)</f>
        <v/>
      </c>
      <c r="I3180" t="inlineStr"/>
    </row>
    <row r="3181">
      <c r="A3181" t="inlineStr">
        <is>
          <t>Cosmetics, dyes &amp; other chemicals</t>
        </is>
      </c>
      <c r="B3181" t="inlineStr">
        <is>
          <t>32</t>
        </is>
      </c>
      <c r="C3181" t="inlineStr">
        <is>
          <t>32041192</t>
        </is>
      </c>
      <c r="D3181" t="inlineStr">
        <is>
          <t>DISPERSE BROWN</t>
        </is>
      </c>
      <c r="E3181" s="3" t="n">
        <v>0</v>
      </c>
      <c r="F3181" s="3" t="n">
        <v>0</v>
      </c>
      <c r="G3181" s="3">
        <f>F3181-E3181</f>
        <v/>
      </c>
      <c r="H3181" s="4">
        <f>IF(E3181=0,"",F3181/E3181-1)</f>
        <v/>
      </c>
      <c r="I3181" t="inlineStr"/>
    </row>
    <row r="3182">
      <c r="A3182" t="inlineStr">
        <is>
          <t>Cosmetics, dyes &amp; other chemicals</t>
        </is>
      </c>
      <c r="B3182" t="inlineStr">
        <is>
          <t>32</t>
        </is>
      </c>
      <c r="C3182" t="inlineStr">
        <is>
          <t>32041193</t>
        </is>
      </c>
      <c r="D3182" t="inlineStr">
        <is>
          <t>DISPERSE BLACK</t>
        </is>
      </c>
      <c r="E3182" s="3" t="n">
        <v>0</v>
      </c>
      <c r="F3182" s="3" t="n">
        <v>0</v>
      </c>
      <c r="G3182" s="3">
        <f>F3182-E3182</f>
        <v/>
      </c>
      <c r="H3182" s="4">
        <f>IF(E3182=0,"",F3182/E3182-1)</f>
        <v/>
      </c>
      <c r="I3182" t="inlineStr"/>
    </row>
    <row r="3183">
      <c r="A3183" t="inlineStr">
        <is>
          <t>Cosmetics, dyes &amp; other chemicals</t>
        </is>
      </c>
      <c r="B3183" t="inlineStr">
        <is>
          <t>32</t>
        </is>
      </c>
      <c r="C3183" t="inlineStr">
        <is>
          <t>32041196</t>
        </is>
      </c>
      <c r="D3183" t="inlineStr">
        <is>
          <t>DISPERSE BLACK MIXTURE</t>
        </is>
      </c>
      <c r="E3183" s="3" t="n">
        <v>0.04</v>
      </c>
      <c r="F3183" s="3" t="n">
        <v>0</v>
      </c>
      <c r="G3183" s="3">
        <f>F3183-E3183</f>
        <v/>
      </c>
      <c r="H3183" s="4">
        <f>IF(E3183=0,"",F3183/E3183-1)</f>
        <v/>
      </c>
      <c r="I3183" t="inlineStr"/>
    </row>
    <row r="3184">
      <c r="A3184" t="inlineStr">
        <is>
          <t>Cosmetics, dyes &amp; other chemicals</t>
        </is>
      </c>
      <c r="B3184" t="inlineStr">
        <is>
          <t>32</t>
        </is>
      </c>
      <c r="C3184" t="inlineStr">
        <is>
          <t>32041214</t>
        </is>
      </c>
      <c r="D3184" t="inlineStr">
        <is>
          <t>ACID VIOLETS(AZO)</t>
        </is>
      </c>
      <c r="E3184" s="3" t="n">
        <v>0</v>
      </c>
      <c r="F3184" s="3" t="n">
        <v>0</v>
      </c>
      <c r="G3184" s="3">
        <f>F3184-E3184</f>
        <v/>
      </c>
      <c r="H3184" s="4">
        <f>IF(E3184=0,"",F3184/E3184-1)</f>
        <v/>
      </c>
      <c r="I3184" t="inlineStr"/>
    </row>
    <row r="3185">
      <c r="A3185" t="inlineStr">
        <is>
          <t>Cosmetics, dyes &amp; other chemicals</t>
        </is>
      </c>
      <c r="B3185" t="inlineStr">
        <is>
          <t>32</t>
        </is>
      </c>
      <c r="C3185" t="inlineStr">
        <is>
          <t>32041219</t>
        </is>
      </c>
      <c r="D3185" t="inlineStr">
        <is>
          <t>OTHER AZO DYES</t>
        </is>
      </c>
      <c r="E3185" s="3" t="n">
        <v>0</v>
      </c>
      <c r="F3185" s="3" t="n">
        <v>0</v>
      </c>
      <c r="G3185" s="3">
        <f>F3185-E3185</f>
        <v/>
      </c>
      <c r="H3185" s="4">
        <f>IF(E3185=0,"",F3185/E3185-1)</f>
        <v/>
      </c>
      <c r="I3185" t="inlineStr"/>
    </row>
    <row r="3186">
      <c r="A3186" t="inlineStr">
        <is>
          <t>Cosmetics, dyes &amp; other chemicals</t>
        </is>
      </c>
      <c r="B3186" t="inlineStr">
        <is>
          <t>32</t>
        </is>
      </c>
      <c r="C3186" t="inlineStr">
        <is>
          <t>32041251</t>
        </is>
      </c>
      <c r="D3186" t="inlineStr">
        <is>
          <t>ACID BLUE 93(INK BLUE)</t>
        </is>
      </c>
      <c r="E3186" s="3" t="n">
        <v>0</v>
      </c>
      <c r="F3186" s="3" t="n">
        <v>0</v>
      </c>
      <c r="G3186" s="3">
        <f>F3186-E3186</f>
        <v/>
      </c>
      <c r="H3186" s="4">
        <f>IF(E3186=0,"",F3186/E3186-1)</f>
        <v/>
      </c>
      <c r="I3186" t="inlineStr"/>
    </row>
    <row r="3187">
      <c r="A3187" t="inlineStr">
        <is>
          <t>Cosmetics, dyes &amp; other chemicals</t>
        </is>
      </c>
      <c r="B3187" t="inlineStr">
        <is>
          <t>32</t>
        </is>
      </c>
      <c r="C3187" t="inlineStr">
        <is>
          <t>32041267</t>
        </is>
      </c>
      <c r="D3187" t="inlineStr">
        <is>
          <t>MORDANT BLACKS</t>
        </is>
      </c>
      <c r="E3187" s="3" t="n">
        <v>0</v>
      </c>
      <c r="F3187" s="3" t="n">
        <v>0</v>
      </c>
      <c r="G3187" s="3">
        <f>F3187-E3187</f>
        <v/>
      </c>
      <c r="H3187" s="4">
        <f>IF(E3187=0,"",F3187/E3187-1)</f>
        <v/>
      </c>
      <c r="I3187" t="inlineStr"/>
    </row>
    <row r="3188">
      <c r="A3188" t="inlineStr">
        <is>
          <t>Cosmetics, dyes &amp; other chemicals</t>
        </is>
      </c>
      <c r="B3188" t="inlineStr">
        <is>
          <t>32</t>
        </is>
      </c>
      <c r="C3188" t="inlineStr">
        <is>
          <t>32041310</t>
        </is>
      </c>
      <c r="D3188" t="inlineStr">
        <is>
          <t>BASIC AZO DYES</t>
        </is>
      </c>
      <c r="E3188" s="3" t="n">
        <v>0</v>
      </c>
      <c r="F3188" s="3" t="n">
        <v>0</v>
      </c>
      <c r="G3188" s="3">
        <f>F3188-E3188</f>
        <v/>
      </c>
      <c r="H3188" s="4">
        <f>IF(E3188=0,"",F3188/E3188-1)</f>
        <v/>
      </c>
      <c r="I3188" t="inlineStr"/>
    </row>
    <row r="3189">
      <c r="A3189" t="inlineStr">
        <is>
          <t>Cosmetics, dyes &amp; other chemicals</t>
        </is>
      </c>
      <c r="B3189" t="inlineStr">
        <is>
          <t>32</t>
        </is>
      </c>
      <c r="C3189" t="inlineStr">
        <is>
          <t>32041341</t>
        </is>
      </c>
      <c r="D3189" t="inlineStr">
        <is>
          <t>BASIC VIOLET 1 (METHYL VIOLET) -NON AZO</t>
        </is>
      </c>
      <c r="E3189" s="3" t="n">
        <v>0.26</v>
      </c>
      <c r="F3189" s="3" t="n">
        <v>0</v>
      </c>
      <c r="G3189" s="3">
        <f>F3189-E3189</f>
        <v/>
      </c>
      <c r="H3189" s="4">
        <f>IF(E3189=0,"",F3189/E3189-1)</f>
        <v/>
      </c>
      <c r="I3189" t="inlineStr"/>
    </row>
    <row r="3190">
      <c r="A3190" t="inlineStr">
        <is>
          <t>Cosmetics, dyes &amp; other chemicals</t>
        </is>
      </c>
      <c r="B3190" t="inlineStr">
        <is>
          <t>32</t>
        </is>
      </c>
      <c r="C3190" t="inlineStr">
        <is>
          <t>32041343</t>
        </is>
      </c>
      <c r="D3190" t="inlineStr">
        <is>
          <t>BASIC VIOLET 14 (MAGENTA)-NON AZO</t>
        </is>
      </c>
      <c r="E3190" s="3" t="n">
        <v>0</v>
      </c>
      <c r="F3190" s="3" t="n">
        <v>0</v>
      </c>
      <c r="G3190" s="3">
        <f>F3190-E3190</f>
        <v/>
      </c>
      <c r="H3190" s="4">
        <f>IF(E3190=0,"",F3190/E3190-1)</f>
        <v/>
      </c>
      <c r="I3190" t="inlineStr"/>
    </row>
    <row r="3191">
      <c r="A3191" t="inlineStr">
        <is>
          <t>Cosmetics, dyes &amp; other chemicals</t>
        </is>
      </c>
      <c r="B3191" t="inlineStr">
        <is>
          <t>32</t>
        </is>
      </c>
      <c r="C3191" t="inlineStr">
        <is>
          <t>32041351</t>
        </is>
      </c>
      <c r="D3191" t="inlineStr">
        <is>
          <t>BASIC BLUE 9 (METHYLENE BLUE) -NON-AZO</t>
        </is>
      </c>
      <c r="E3191" s="3" t="n">
        <v>0</v>
      </c>
      <c r="F3191" s="3" t="n">
        <v>0</v>
      </c>
      <c r="G3191" s="3">
        <f>F3191-E3191</f>
        <v/>
      </c>
      <c r="H3191" s="4">
        <f>IF(E3191=0,"",F3191/E3191-1)</f>
        <v/>
      </c>
      <c r="I3191" t="inlineStr"/>
    </row>
    <row r="3192">
      <c r="A3192" t="inlineStr">
        <is>
          <t>Cosmetics, dyes &amp; other chemicals</t>
        </is>
      </c>
      <c r="B3192" t="inlineStr">
        <is>
          <t>32</t>
        </is>
      </c>
      <c r="C3192" t="inlineStr">
        <is>
          <t>32041359</t>
        </is>
      </c>
      <c r="D3192" t="inlineStr">
        <is>
          <t>OTHER BASIC BLUE (NON-AZO)</t>
        </is>
      </c>
      <c r="E3192" s="3" t="n">
        <v>0</v>
      </c>
      <c r="F3192" s="3" t="n">
        <v>0</v>
      </c>
      <c r="G3192" s="3">
        <f>F3192-E3192</f>
        <v/>
      </c>
      <c r="H3192" s="4">
        <f>IF(E3192=0,"",F3192/E3192-1)</f>
        <v/>
      </c>
      <c r="I3192" t="inlineStr"/>
    </row>
    <row r="3193">
      <c r="A3193" t="inlineStr">
        <is>
          <t>Cosmetics, dyes &amp; other chemicals</t>
        </is>
      </c>
      <c r="B3193" t="inlineStr">
        <is>
          <t>32</t>
        </is>
      </c>
      <c r="C3193" t="inlineStr">
        <is>
          <t>32041361</t>
        </is>
      </c>
      <c r="D3193" t="inlineStr">
        <is>
          <t>BASIC GREEN 4 (MALACHITE GREEN)-NON-AZO</t>
        </is>
      </c>
      <c r="E3193" s="3" t="n">
        <v>0</v>
      </c>
      <c r="F3193" s="3" t="n">
        <v>0</v>
      </c>
      <c r="G3193" s="3">
        <f>F3193-E3193</f>
        <v/>
      </c>
      <c r="H3193" s="4">
        <f>IF(E3193=0,"",F3193/E3193-1)</f>
        <v/>
      </c>
      <c r="I3193" t="inlineStr"/>
    </row>
    <row r="3194">
      <c r="A3194" t="inlineStr">
        <is>
          <t>Cosmetics, dyes &amp; other chemicals</t>
        </is>
      </c>
      <c r="B3194" t="inlineStr">
        <is>
          <t>32</t>
        </is>
      </c>
      <c r="C3194" t="inlineStr">
        <is>
          <t>32041369</t>
        </is>
      </c>
      <c r="D3194" t="inlineStr">
        <is>
          <t>OTHER BASIC GREEN (NON-AZO)</t>
        </is>
      </c>
      <c r="E3194" s="3" t="n">
        <v>0.22</v>
      </c>
      <c r="F3194" s="3" t="n">
        <v>0</v>
      </c>
      <c r="G3194" s="3">
        <f>F3194-E3194</f>
        <v/>
      </c>
      <c r="H3194" s="4">
        <f>IF(E3194=0,"",F3194/E3194-1)</f>
        <v/>
      </c>
      <c r="I3194" t="inlineStr"/>
    </row>
    <row r="3195">
      <c r="A3195" t="inlineStr">
        <is>
          <t>Cosmetics, dyes &amp; other chemicals</t>
        </is>
      </c>
      <c r="B3195" t="inlineStr">
        <is>
          <t>32</t>
        </is>
      </c>
      <c r="C3195" t="inlineStr">
        <is>
          <t>32041421</t>
        </is>
      </c>
      <c r="D3195" t="inlineStr">
        <is>
          <t>DIRECT RED (CONGO RED) AZO</t>
        </is>
      </c>
      <c r="E3195" s="3" t="n">
        <v>0</v>
      </c>
      <c r="F3195" s="3" t="n">
        <v>0</v>
      </c>
      <c r="G3195" s="3">
        <f>F3195-E3195</f>
        <v/>
      </c>
      <c r="H3195" s="4">
        <f>IF(E3195=0,"",F3195/E3195-1)</f>
        <v/>
      </c>
      <c r="I3195" t="inlineStr"/>
    </row>
    <row r="3196">
      <c r="A3196" t="inlineStr">
        <is>
          <t>Cosmetics, dyes &amp; other chemicals</t>
        </is>
      </c>
      <c r="B3196" t="inlineStr">
        <is>
          <t>32</t>
        </is>
      </c>
      <c r="C3196" t="inlineStr">
        <is>
          <t>32041519</t>
        </is>
      </c>
      <c r="D3196" t="inlineStr">
        <is>
          <t>OTHER VAT YELLOW</t>
        </is>
      </c>
      <c r="E3196" s="3" t="n">
        <v>0.01</v>
      </c>
      <c r="F3196" s="3" t="n">
        <v>0</v>
      </c>
      <c r="G3196" s="3">
        <f>F3196-E3196</f>
        <v/>
      </c>
      <c r="H3196" s="4">
        <f>IF(E3196=0,"",F3196/E3196-1)</f>
        <v/>
      </c>
      <c r="I3196" t="inlineStr"/>
    </row>
    <row r="3197">
      <c r="A3197" t="inlineStr">
        <is>
          <t>Cosmetics, dyes &amp; other chemicals</t>
        </is>
      </c>
      <c r="B3197" t="inlineStr">
        <is>
          <t>32</t>
        </is>
      </c>
      <c r="C3197" t="inlineStr">
        <is>
          <t>32041539</t>
        </is>
      </c>
      <c r="D3197" t="inlineStr">
        <is>
          <t>OTHER VAT RED</t>
        </is>
      </c>
      <c r="E3197" s="3" t="n">
        <v>0.04</v>
      </c>
      <c r="F3197" s="3" t="n">
        <v>0</v>
      </c>
      <c r="G3197" s="3">
        <f>F3197-E3197</f>
        <v/>
      </c>
      <c r="H3197" s="4">
        <f>IF(E3197=0,"",F3197/E3197-1)</f>
        <v/>
      </c>
      <c r="I3197" t="inlineStr"/>
    </row>
    <row r="3198">
      <c r="A3198" t="inlineStr">
        <is>
          <t>Cosmetics, dyes &amp; other chemicals</t>
        </is>
      </c>
      <c r="B3198" t="inlineStr">
        <is>
          <t>32</t>
        </is>
      </c>
      <c r="C3198" t="inlineStr">
        <is>
          <t>32041569</t>
        </is>
      </c>
      <c r="D3198" t="inlineStr">
        <is>
          <t>OTHER VAT GREEN</t>
        </is>
      </c>
      <c r="E3198" s="3" t="n">
        <v>0.01</v>
      </c>
      <c r="F3198" s="3" t="n">
        <v>0</v>
      </c>
      <c r="G3198" s="3">
        <f>F3198-E3198</f>
        <v/>
      </c>
      <c r="H3198" s="4">
        <f>IF(E3198=0,"",F3198/E3198-1)</f>
        <v/>
      </c>
      <c r="I3198" t="inlineStr"/>
    </row>
    <row r="3199">
      <c r="A3199" t="inlineStr">
        <is>
          <t>Cosmetics, dyes &amp; other chemicals</t>
        </is>
      </c>
      <c r="B3199" t="inlineStr">
        <is>
          <t>32</t>
        </is>
      </c>
      <c r="C3199" t="inlineStr">
        <is>
          <t>32041670</t>
        </is>
      </c>
      <c r="D3199" t="inlineStr">
        <is>
          <t>REACTIVE BROWNS</t>
        </is>
      </c>
      <c r="E3199" s="3" t="n">
        <v>1.37</v>
      </c>
      <c r="F3199" s="3" t="n">
        <v>0</v>
      </c>
      <c r="G3199" s="3">
        <f>F3199-E3199</f>
        <v/>
      </c>
      <c r="H3199" s="4">
        <f>IF(E3199=0,"",F3199/E3199-1)</f>
        <v/>
      </c>
      <c r="I3199" t="inlineStr"/>
    </row>
    <row r="3200">
      <c r="A3200" t="inlineStr">
        <is>
          <t>Cosmetics, dyes &amp; other chemicals</t>
        </is>
      </c>
      <c r="B3200" t="inlineStr">
        <is>
          <t>32</t>
        </is>
      </c>
      <c r="C3200" t="inlineStr">
        <is>
          <t>32041911</t>
        </is>
      </c>
      <c r="D3200" t="inlineStr">
        <is>
          <t>AZOIC COUPLNG COMPNT 2(NAPTHOL AS)</t>
        </is>
      </c>
      <c r="E3200" s="3" t="n">
        <v>0.01</v>
      </c>
      <c r="F3200" s="3" t="n">
        <v>0</v>
      </c>
      <c r="G3200" s="3">
        <f>F3200-E3200</f>
        <v/>
      </c>
      <c r="H3200" s="4">
        <f>IF(E3200=0,"",F3200/E3200-1)</f>
        <v/>
      </c>
      <c r="I3200" t="inlineStr"/>
    </row>
    <row r="3201">
      <c r="A3201" t="inlineStr">
        <is>
          <t>Cosmetics, dyes &amp; other chemicals</t>
        </is>
      </c>
      <c r="B3201" t="inlineStr">
        <is>
          <t>32</t>
        </is>
      </c>
      <c r="C3201" t="inlineStr">
        <is>
          <t>32041951</t>
        </is>
      </c>
      <c r="D3201" t="inlineStr">
        <is>
          <t>AZOIC YELLOWS</t>
        </is>
      </c>
      <c r="E3201" s="3" t="n">
        <v>0</v>
      </c>
      <c r="F3201" s="3" t="n">
        <v>0</v>
      </c>
      <c r="G3201" s="3">
        <f>F3201-E3201</f>
        <v/>
      </c>
      <c r="H3201" s="4">
        <f>IF(E3201=0,"",F3201/E3201-1)</f>
        <v/>
      </c>
      <c r="I3201" t="inlineStr"/>
    </row>
    <row r="3202">
      <c r="A3202" t="inlineStr">
        <is>
          <t>Cosmetics, dyes &amp; other chemicals</t>
        </is>
      </c>
      <c r="B3202" t="inlineStr">
        <is>
          <t>32</t>
        </is>
      </c>
      <c r="C3202" t="inlineStr">
        <is>
          <t>32041963</t>
        </is>
      </c>
      <c r="D3202" t="inlineStr">
        <is>
          <t>SULPHUR REDS</t>
        </is>
      </c>
      <c r="E3202" s="3" t="n">
        <v>0</v>
      </c>
      <c r="F3202" s="3" t="n">
        <v>0</v>
      </c>
      <c r="G3202" s="3">
        <f>F3202-E3202</f>
        <v/>
      </c>
      <c r="H3202" s="4">
        <f>IF(E3202=0,"",F3202/E3202-1)</f>
        <v/>
      </c>
      <c r="I3202" t="inlineStr"/>
    </row>
    <row r="3203">
      <c r="A3203" t="inlineStr">
        <is>
          <t>Cosmetics, dyes &amp; other chemicals</t>
        </is>
      </c>
      <c r="B3203" t="inlineStr">
        <is>
          <t>32</t>
        </is>
      </c>
      <c r="C3203" t="inlineStr">
        <is>
          <t>32041975</t>
        </is>
      </c>
      <c r="D3203" t="inlineStr">
        <is>
          <t>SOLVENT BASED COLOURING MATTERS: BLUES</t>
        </is>
      </c>
      <c r="E3203" s="3" t="n">
        <v>0</v>
      </c>
      <c r="F3203" s="3" t="n">
        <v>0</v>
      </c>
      <c r="G3203" s="3">
        <f>F3203-E3203</f>
        <v/>
      </c>
      <c r="H3203" s="4">
        <f>IF(E3203=0,"",F3203/E3203-1)</f>
        <v/>
      </c>
      <c r="I3203" t="inlineStr"/>
    </row>
    <row r="3204">
      <c r="A3204" t="inlineStr">
        <is>
          <t>Cosmetics, dyes &amp; other chemicals</t>
        </is>
      </c>
      <c r="B3204" t="inlineStr">
        <is>
          <t>32</t>
        </is>
      </c>
      <c r="C3204" t="inlineStr">
        <is>
          <t>32041979</t>
        </is>
      </c>
      <c r="D3204" t="inlineStr">
        <is>
          <t>OTHER SOLVENT BASED COLOURING MATTERS</t>
        </is>
      </c>
      <c r="E3204" s="3" t="n">
        <v>0</v>
      </c>
      <c r="F3204" s="3" t="n">
        <v>0</v>
      </c>
      <c r="G3204" s="3">
        <f>F3204-E3204</f>
        <v/>
      </c>
      <c r="H3204" s="4">
        <f>IF(E3204=0,"",F3204/E3204-1)</f>
        <v/>
      </c>
      <c r="I3204" t="inlineStr"/>
    </row>
    <row r="3205">
      <c r="A3205" t="inlineStr">
        <is>
          <t>Cosmetics, dyes &amp; other chemicals</t>
        </is>
      </c>
      <c r="B3205" t="inlineStr">
        <is>
          <t>32</t>
        </is>
      </c>
      <c r="C3205" t="inlineStr">
        <is>
          <t>32041983</t>
        </is>
      </c>
      <c r="D3205" t="inlineStr">
        <is>
          <t>FOOD COLOURING REDS 5 TO 8 (PONCEAN)</t>
        </is>
      </c>
      <c r="E3205" s="3" t="n">
        <v>0</v>
      </c>
      <c r="F3205" s="3" t="n">
        <v>0</v>
      </c>
      <c r="G3205" s="3">
        <f>F3205-E3205</f>
        <v/>
      </c>
      <c r="H3205" s="4">
        <f>IF(E3205=0,"",F3205/E3205-1)</f>
        <v/>
      </c>
      <c r="I3205" t="inlineStr"/>
    </row>
    <row r="3206">
      <c r="A3206" t="inlineStr">
        <is>
          <t>Cosmetics, dyes &amp; other chemicals</t>
        </is>
      </c>
      <c r="B3206" t="inlineStr">
        <is>
          <t>32</t>
        </is>
      </c>
      <c r="C3206" t="inlineStr">
        <is>
          <t>32041987</t>
        </is>
      </c>
      <c r="D3206" t="inlineStr">
        <is>
          <t>FOOD COLOURING GREENS</t>
        </is>
      </c>
      <c r="E3206" s="3" t="n">
        <v>0.01</v>
      </c>
      <c r="F3206" s="3" t="n">
        <v>0</v>
      </c>
      <c r="G3206" s="3">
        <f>F3206-E3206</f>
        <v/>
      </c>
      <c r="H3206" s="4">
        <f>IF(E3206=0,"",F3206/E3206-1)</f>
        <v/>
      </c>
      <c r="I3206" t="inlineStr"/>
    </row>
    <row r="3207">
      <c r="A3207" t="inlineStr">
        <is>
          <t>Cosmetics, dyes &amp; other chemicals</t>
        </is>
      </c>
      <c r="B3207" t="inlineStr">
        <is>
          <t>32</t>
        </is>
      </c>
      <c r="C3207" t="inlineStr">
        <is>
          <t>32042010</t>
        </is>
      </c>
      <c r="D3207" t="inlineStr">
        <is>
          <t>0PTICAL WHITENING AGENTS</t>
        </is>
      </c>
      <c r="E3207" s="3" t="n">
        <v>0.01</v>
      </c>
      <c r="F3207" s="3" t="n">
        <v>0</v>
      </c>
      <c r="G3207" s="3">
        <f>F3207-E3207</f>
        <v/>
      </c>
      <c r="H3207" s="4">
        <f>IF(E3207=0,"",F3207/E3207-1)</f>
        <v/>
      </c>
      <c r="I3207" t="inlineStr"/>
    </row>
    <row r="3208">
      <c r="A3208" t="inlineStr">
        <is>
          <t>Cosmetics, dyes &amp; other chemicals</t>
        </is>
      </c>
      <c r="B3208" t="inlineStr">
        <is>
          <t>32</t>
        </is>
      </c>
      <c r="C3208" t="inlineStr">
        <is>
          <t>32064910</t>
        </is>
      </c>
      <c r="D3208" t="inlineStr">
        <is>
          <t>RED OXIDE</t>
        </is>
      </c>
      <c r="E3208" s="3" t="n">
        <v>0</v>
      </c>
      <c r="F3208" s="3" t="n">
        <v>0</v>
      </c>
      <c r="G3208" s="3">
        <f>F3208-E3208</f>
        <v/>
      </c>
      <c r="H3208" s="4">
        <f>IF(E3208=0,"",F3208/E3208-1)</f>
        <v/>
      </c>
      <c r="I3208" t="inlineStr"/>
    </row>
    <row r="3209">
      <c r="A3209" t="inlineStr">
        <is>
          <t>Cosmetics, dyes &amp; other chemicals</t>
        </is>
      </c>
      <c r="B3209" t="inlineStr">
        <is>
          <t>32</t>
        </is>
      </c>
      <c r="C3209" t="inlineStr">
        <is>
          <t>32064940</t>
        </is>
      </c>
      <c r="D3209" t="inlineStr">
        <is>
          <t>BRONZE POWDER</t>
        </is>
      </c>
      <c r="E3209" s="3" t="n">
        <v>0</v>
      </c>
      <c r="F3209" s="3" t="n">
        <v>0</v>
      </c>
      <c r="G3209" s="3">
        <f>F3209-E3209</f>
        <v/>
      </c>
      <c r="H3209" s="4">
        <f>IF(E3209=0,"",F3209/E3209-1)</f>
        <v/>
      </c>
      <c r="I3209" t="inlineStr"/>
    </row>
    <row r="3210">
      <c r="A3210" t="inlineStr">
        <is>
          <t>Cosmetics, dyes &amp; other chemicals</t>
        </is>
      </c>
      <c r="B3210" t="inlineStr">
        <is>
          <t>32</t>
        </is>
      </c>
      <c r="C3210" t="inlineStr">
        <is>
          <t>32071010</t>
        </is>
      </c>
      <c r="D3210" t="inlineStr">
        <is>
          <t>PREPARD ORGANIC DYESTUFF PIGMENTS DRY</t>
        </is>
      </c>
      <c r="E3210" s="3" t="n">
        <v>0.07000000000000001</v>
      </c>
      <c r="F3210" s="3" t="n">
        <v>0</v>
      </c>
      <c r="G3210" s="3">
        <f>F3210-E3210</f>
        <v/>
      </c>
      <c r="H3210" s="4">
        <f>IF(E3210=0,"",F3210/E3210-1)</f>
        <v/>
      </c>
      <c r="I3210" t="inlineStr"/>
    </row>
    <row r="3211">
      <c r="A3211" t="inlineStr">
        <is>
          <t>Cosmetics, dyes &amp; other chemicals</t>
        </is>
      </c>
      <c r="B3211" t="inlineStr">
        <is>
          <t>32</t>
        </is>
      </c>
      <c r="C3211" t="inlineStr">
        <is>
          <t>32081030</t>
        </is>
      </c>
      <c r="D3211" t="inlineStr">
        <is>
          <t>VARNISHES BASED ON POLYESTERS</t>
        </is>
      </c>
      <c r="E3211" s="3" t="n">
        <v>0</v>
      </c>
      <c r="F3211" s="3" t="n">
        <v>0</v>
      </c>
      <c r="G3211" s="3">
        <f>F3211-E3211</f>
        <v/>
      </c>
      <c r="H3211" s="4">
        <f>IF(E3211=0,"",F3211/E3211-1)</f>
        <v/>
      </c>
      <c r="I3211" t="inlineStr"/>
    </row>
    <row r="3212">
      <c r="A3212" t="inlineStr">
        <is>
          <t>Cosmetics, dyes &amp; other chemicals</t>
        </is>
      </c>
      <c r="B3212" t="inlineStr">
        <is>
          <t>32</t>
        </is>
      </c>
      <c r="C3212" t="inlineStr">
        <is>
          <t>32081090</t>
        </is>
      </c>
      <c r="D3212" t="inlineStr">
        <is>
          <t>OTHERS BASED ON POLYESTERS</t>
        </is>
      </c>
      <c r="E3212" s="3" t="n">
        <v>0.19</v>
      </c>
      <c r="F3212" s="3" t="n">
        <v>0</v>
      </c>
      <c r="G3212" s="3">
        <f>F3212-E3212</f>
        <v/>
      </c>
      <c r="H3212" s="4">
        <f>IF(E3212=0,"",F3212/E3212-1)</f>
        <v/>
      </c>
      <c r="I3212" t="inlineStr"/>
    </row>
    <row r="3213">
      <c r="A3213" t="inlineStr">
        <is>
          <t>Cosmetics, dyes &amp; other chemicals</t>
        </is>
      </c>
      <c r="B3213" t="inlineStr">
        <is>
          <t>32</t>
        </is>
      </c>
      <c r="C3213" t="inlineStr">
        <is>
          <t>32082020</t>
        </is>
      </c>
      <c r="D3213" t="inlineStr">
        <is>
          <t>LACQUERS BASED ON ACRYLIC OR VINYL POLYMER</t>
        </is>
      </c>
      <c r="E3213" s="3" t="n">
        <v>0</v>
      </c>
      <c r="F3213" s="3" t="n">
        <v>0</v>
      </c>
      <c r="G3213" s="3">
        <f>F3213-E3213</f>
        <v/>
      </c>
      <c r="H3213" s="4">
        <f>IF(E3213=0,"",F3213/E3213-1)</f>
        <v/>
      </c>
      <c r="I3213" t="inlineStr"/>
    </row>
    <row r="3214">
      <c r="A3214" t="inlineStr">
        <is>
          <t>Cosmetics, dyes &amp; other chemicals</t>
        </is>
      </c>
      <c r="B3214" t="inlineStr">
        <is>
          <t>32</t>
        </is>
      </c>
      <c r="C3214" t="inlineStr">
        <is>
          <t>32082030</t>
        </is>
      </c>
      <c r="D3214" t="inlineStr">
        <is>
          <t>VARNISHES BASED ON ACRYLIC OR VINYL POLYMR</t>
        </is>
      </c>
      <c r="E3214" s="3" t="n">
        <v>0</v>
      </c>
      <c r="F3214" s="3" t="n">
        <v>0</v>
      </c>
      <c r="G3214" s="3">
        <f>F3214-E3214</f>
        <v/>
      </c>
      <c r="H3214" s="4">
        <f>IF(E3214=0,"",F3214/E3214-1)</f>
        <v/>
      </c>
      <c r="I3214" t="inlineStr"/>
    </row>
    <row r="3215">
      <c r="A3215" t="inlineStr">
        <is>
          <t>Cosmetics, dyes &amp; other chemicals</t>
        </is>
      </c>
      <c r="B3215" t="inlineStr">
        <is>
          <t>32</t>
        </is>
      </c>
      <c r="C3215" t="inlineStr">
        <is>
          <t>32089019</t>
        </is>
      </c>
      <c r="D3215" t="inlineStr">
        <is>
          <t>OTHER PAINTANDVARNSH BASED ON CELLULOSE OR OYHER CELLULOSE DERIVATIVES</t>
        </is>
      </c>
      <c r="E3215" s="3" t="n">
        <v>0.06</v>
      </c>
      <c r="F3215" s="3" t="n">
        <v>0</v>
      </c>
      <c r="G3215" s="3">
        <f>F3215-E3215</f>
        <v/>
      </c>
      <c r="H3215" s="4">
        <f>IF(E3215=0,"",F3215/E3215-1)</f>
        <v/>
      </c>
      <c r="I3215" t="inlineStr"/>
    </row>
    <row r="3216">
      <c r="A3216" t="inlineStr">
        <is>
          <t>Cosmetics, dyes &amp; other chemicals</t>
        </is>
      </c>
      <c r="B3216" t="inlineStr">
        <is>
          <t>32</t>
        </is>
      </c>
      <c r="C3216" t="inlineStr">
        <is>
          <t>32089021</t>
        </is>
      </c>
      <c r="D3216" t="inlineStr">
        <is>
          <t>SYNTHTC ENAMEL,ULTRA WHITE PAINTS</t>
        </is>
      </c>
      <c r="E3216" s="3" t="n">
        <v>0</v>
      </c>
      <c r="F3216" s="3" t="n">
        <v>0</v>
      </c>
      <c r="G3216" s="3">
        <f>F3216-E3216</f>
        <v/>
      </c>
      <c r="H3216" s="4">
        <f>IF(E3216=0,"",F3216/E3216-1)</f>
        <v/>
      </c>
      <c r="I3216" t="inlineStr"/>
    </row>
    <row r="3217">
      <c r="A3217" t="inlineStr">
        <is>
          <t>Cosmetics, dyes &amp; other chemicals</t>
        </is>
      </c>
      <c r="B3217" t="inlineStr">
        <is>
          <t>32</t>
        </is>
      </c>
      <c r="C3217" t="inlineStr">
        <is>
          <t>32089030</t>
        </is>
      </c>
      <c r="D3217" t="inlineStr">
        <is>
          <t>OTHR PAINTS VARNSHS (LACQUERS)</t>
        </is>
      </c>
      <c r="E3217" s="3" t="n">
        <v>0</v>
      </c>
      <c r="F3217" s="3" t="n">
        <v>0</v>
      </c>
      <c r="G3217" s="3">
        <f>F3217-E3217</f>
        <v/>
      </c>
      <c r="H3217" s="4">
        <f>IF(E3217=0,"",F3217/E3217-1)</f>
        <v/>
      </c>
      <c r="I3217" t="inlineStr"/>
    </row>
    <row r="3218">
      <c r="A3218" t="inlineStr">
        <is>
          <t>Cosmetics, dyes &amp; other chemicals</t>
        </is>
      </c>
      <c r="B3218" t="inlineStr">
        <is>
          <t>32</t>
        </is>
      </c>
      <c r="C3218" t="inlineStr">
        <is>
          <t>32089041</t>
        </is>
      </c>
      <c r="D3218" t="inlineStr">
        <is>
          <t>INSULATING VARNISH</t>
        </is>
      </c>
      <c r="E3218" s="3" t="n">
        <v>0</v>
      </c>
      <c r="F3218" s="3" t="n">
        <v>0</v>
      </c>
      <c r="G3218" s="3">
        <f>F3218-E3218</f>
        <v/>
      </c>
      <c r="H3218" s="4">
        <f>IF(E3218=0,"",F3218/E3218-1)</f>
        <v/>
      </c>
      <c r="I3218" t="inlineStr"/>
    </row>
    <row r="3219">
      <c r="A3219" t="inlineStr">
        <is>
          <t>Cosmetics, dyes &amp; other chemicals</t>
        </is>
      </c>
      <c r="B3219" t="inlineStr">
        <is>
          <t>32</t>
        </is>
      </c>
      <c r="C3219" t="inlineStr">
        <is>
          <t>32129010</t>
        </is>
      </c>
      <c r="D3219" t="inlineStr">
        <is>
          <t>PIGMNTS IN LINSEED OIL,WHTE SPRT,SPRT OF TRPNTN,VARNISH OR OTHR PNTS OR ENML MEDIA</t>
        </is>
      </c>
      <c r="E3219" s="3" t="n">
        <v>0</v>
      </c>
      <c r="F3219" s="3" t="n">
        <v>0</v>
      </c>
      <c r="G3219" s="3">
        <f>F3219-E3219</f>
        <v/>
      </c>
      <c r="H3219" s="4">
        <f>IF(E3219=0,"",F3219/E3219-1)</f>
        <v/>
      </c>
      <c r="I3219" t="inlineStr"/>
    </row>
    <row r="3220">
      <c r="A3220" t="inlineStr">
        <is>
          <t>Cosmetics, dyes &amp; other chemicals</t>
        </is>
      </c>
      <c r="B3220" t="inlineStr">
        <is>
          <t>32</t>
        </is>
      </c>
      <c r="C3220" t="inlineStr">
        <is>
          <t>32159010</t>
        </is>
      </c>
      <c r="D3220" t="inlineStr">
        <is>
          <t>FOUNTAIN PEN INK</t>
        </is>
      </c>
      <c r="E3220" s="3" t="n">
        <v>0</v>
      </c>
      <c r="F3220" s="3" t="n">
        <v>0</v>
      </c>
      <c r="G3220" s="3">
        <f>F3220-E3220</f>
        <v/>
      </c>
      <c r="H3220" s="4">
        <f>IF(E3220=0,"",F3220/E3220-1)</f>
        <v/>
      </c>
      <c r="I3220" t="inlineStr"/>
    </row>
    <row r="3221">
      <c r="A3221" t="inlineStr">
        <is>
          <t>Cosmetics, dyes &amp; other chemicals</t>
        </is>
      </c>
      <c r="B3221" t="inlineStr">
        <is>
          <t>33</t>
        </is>
      </c>
      <c r="C3221" t="inlineStr">
        <is>
          <t>33011910</t>
        </is>
      </c>
      <c r="D3221" t="inlineStr">
        <is>
          <t>CITRONELLA OIL CEYLON TYPE</t>
        </is>
      </c>
      <c r="E3221" s="3" t="n">
        <v>0.01</v>
      </c>
      <c r="F3221" s="3" t="n">
        <v>0</v>
      </c>
      <c r="G3221" s="3">
        <f>F3221-E3221</f>
        <v/>
      </c>
      <c r="H3221" s="4">
        <f>IF(E3221=0,"",F3221/E3221-1)</f>
        <v/>
      </c>
      <c r="I3221" t="inlineStr"/>
    </row>
    <row r="3222">
      <c r="A3222" t="inlineStr">
        <is>
          <t>Cosmetics, dyes &amp; other chemicals</t>
        </is>
      </c>
      <c r="B3222" t="inlineStr">
        <is>
          <t>33</t>
        </is>
      </c>
      <c r="C3222" t="inlineStr">
        <is>
          <t>33012400</t>
        </is>
      </c>
      <c r="D3222" t="inlineStr">
        <is>
          <t>ESSNTL OIL OF PEPPERMINT(MENTHA PIPERITA)</t>
        </is>
      </c>
      <c r="E3222" s="3" t="n">
        <v>0.01</v>
      </c>
      <c r="F3222" s="3" t="n">
        <v>0</v>
      </c>
      <c r="G3222" s="3">
        <f>F3222-E3222</f>
        <v/>
      </c>
      <c r="H3222" s="4">
        <f>IF(E3222=0,"",F3222/E3222-1)</f>
        <v/>
      </c>
      <c r="I3222" t="inlineStr"/>
    </row>
    <row r="3223">
      <c r="A3223" t="inlineStr">
        <is>
          <t>Cosmetics, dyes &amp; other chemicals</t>
        </is>
      </c>
      <c r="B3223" t="inlineStr">
        <is>
          <t>33</t>
        </is>
      </c>
      <c r="C3223" t="inlineStr">
        <is>
          <t>33012590</t>
        </is>
      </c>
      <c r="D3223" t="inlineStr">
        <is>
          <t>OTHERS-OF-ESSENTIAL OILS OF OTHER MINTS</t>
        </is>
      </c>
      <c r="E3223" s="3" t="n">
        <v>0</v>
      </c>
      <c r="F3223" s="3" t="n">
        <v>0</v>
      </c>
      <c r="G3223" s="3">
        <f>F3223-E3223</f>
        <v/>
      </c>
      <c r="H3223" s="4">
        <f>IF(E3223=0,"",F3223/E3223-1)</f>
        <v/>
      </c>
      <c r="I3223" t="inlineStr"/>
    </row>
    <row r="3224">
      <c r="A3224" t="inlineStr">
        <is>
          <t>Cosmetics, dyes &amp; other chemicals</t>
        </is>
      </c>
      <c r="B3224" t="inlineStr">
        <is>
          <t>33</t>
        </is>
      </c>
      <c r="C3224" t="inlineStr">
        <is>
          <t>33012911</t>
        </is>
      </c>
      <c r="D3224" t="inlineStr">
        <is>
          <t>ANISE OIL (ANISEED OIL)</t>
        </is>
      </c>
      <c r="E3224" s="3" t="n">
        <v>0</v>
      </c>
      <c r="F3224" s="3" t="n">
        <v>0</v>
      </c>
      <c r="G3224" s="3">
        <f>F3224-E3224</f>
        <v/>
      </c>
      <c r="H3224" s="4">
        <f>IF(E3224=0,"",F3224/E3224-1)</f>
        <v/>
      </c>
      <c r="I3224" t="inlineStr"/>
    </row>
    <row r="3225">
      <c r="A3225" t="inlineStr">
        <is>
          <t>Cosmetics, dyes &amp; other chemicals</t>
        </is>
      </c>
      <c r="B3225" t="inlineStr">
        <is>
          <t>33</t>
        </is>
      </c>
      <c r="C3225" t="inlineStr">
        <is>
          <t>33012916</t>
        </is>
      </c>
      <c r="D3225" t="inlineStr">
        <is>
          <t>CEDARWOOD OIL</t>
        </is>
      </c>
      <c r="E3225" s="3" t="n">
        <v>0</v>
      </c>
      <c r="F3225" s="3" t="n">
        <v>0</v>
      </c>
      <c r="G3225" s="3">
        <f>F3225-E3225</f>
        <v/>
      </c>
      <c r="H3225" s="4">
        <f>IF(E3225=0,"",F3225/E3225-1)</f>
        <v/>
      </c>
      <c r="I3225" t="inlineStr"/>
    </row>
    <row r="3226">
      <c r="A3226" t="inlineStr">
        <is>
          <t>Cosmetics, dyes &amp; other chemicals</t>
        </is>
      </c>
      <c r="B3226" t="inlineStr">
        <is>
          <t>33</t>
        </is>
      </c>
      <c r="C3226" t="inlineStr">
        <is>
          <t>33012917</t>
        </is>
      </c>
      <c r="D3226" t="inlineStr">
        <is>
          <t>CINNAMON BARK OIL</t>
        </is>
      </c>
      <c r="E3226" s="3" t="n">
        <v>0</v>
      </c>
      <c r="F3226" s="3" t="n">
        <v>0</v>
      </c>
      <c r="G3226" s="3">
        <f>F3226-E3226</f>
        <v/>
      </c>
      <c r="H3226" s="4">
        <f>IF(E3226=0,"",F3226/E3226-1)</f>
        <v/>
      </c>
      <c r="I3226" t="inlineStr"/>
    </row>
    <row r="3227">
      <c r="A3227" t="inlineStr">
        <is>
          <t>Cosmetics, dyes &amp; other chemicals</t>
        </is>
      </c>
      <c r="B3227" t="inlineStr">
        <is>
          <t>33</t>
        </is>
      </c>
      <c r="C3227" t="inlineStr">
        <is>
          <t>33012931</t>
        </is>
      </c>
      <c r="D3227" t="inlineStr">
        <is>
          <t>TUBEROSE CONCRETE</t>
        </is>
      </c>
      <c r="E3227" s="3" t="n">
        <v>0</v>
      </c>
      <c r="F3227" s="3" t="n">
        <v>0</v>
      </c>
      <c r="G3227" s="3">
        <f>F3227-E3227</f>
        <v/>
      </c>
      <c r="H3227" s="4">
        <f>IF(E3227=0,"",F3227/E3227-1)</f>
        <v/>
      </c>
      <c r="I3227" t="inlineStr"/>
    </row>
    <row r="3228">
      <c r="A3228" t="inlineStr">
        <is>
          <t>Cosmetics, dyes &amp; other chemicals</t>
        </is>
      </c>
      <c r="B3228" t="inlineStr">
        <is>
          <t>33</t>
        </is>
      </c>
      <c r="C3228" t="inlineStr">
        <is>
          <t>33012932</t>
        </is>
      </c>
      <c r="D3228" t="inlineStr">
        <is>
          <t>NUTMEG OIL</t>
        </is>
      </c>
      <c r="E3228" s="3" t="n">
        <v>0.42</v>
      </c>
      <c r="F3228" s="3" t="n">
        <v>0</v>
      </c>
      <c r="G3228" s="3">
        <f>F3228-E3228</f>
        <v/>
      </c>
      <c r="H3228" s="4">
        <f>IF(E3228=0,"",F3228/E3228-1)</f>
        <v/>
      </c>
      <c r="I3228" t="inlineStr"/>
    </row>
    <row r="3229">
      <c r="A3229" t="inlineStr">
        <is>
          <t>Cosmetics, dyes &amp; other chemicals</t>
        </is>
      </c>
      <c r="B3229" t="inlineStr">
        <is>
          <t>33</t>
        </is>
      </c>
      <c r="C3229" t="inlineStr">
        <is>
          <t>33012938</t>
        </is>
      </c>
      <c r="D3229" t="inlineStr">
        <is>
          <t>ROSA OIL</t>
        </is>
      </c>
      <c r="E3229" s="3" t="n">
        <v>0</v>
      </c>
      <c r="F3229" s="3" t="n">
        <v>0</v>
      </c>
      <c r="G3229" s="3">
        <f>F3229-E3229</f>
        <v/>
      </c>
      <c r="H3229" s="4">
        <f>IF(E3229=0,"",F3229/E3229-1)</f>
        <v/>
      </c>
      <c r="I3229" t="inlineStr"/>
    </row>
    <row r="3230">
      <c r="A3230" t="inlineStr">
        <is>
          <t>Cosmetics, dyes &amp; other chemicals</t>
        </is>
      </c>
      <c r="B3230" t="inlineStr">
        <is>
          <t>33</t>
        </is>
      </c>
      <c r="C3230" t="inlineStr">
        <is>
          <t>33012941</t>
        </is>
      </c>
      <c r="D3230" t="inlineStr">
        <is>
          <t>CAMPHOS OIL</t>
        </is>
      </c>
      <c r="E3230" s="3" t="n">
        <v>0</v>
      </c>
      <c r="F3230" s="3" t="n">
        <v>0</v>
      </c>
      <c r="G3230" s="3">
        <f>F3230-E3230</f>
        <v/>
      </c>
      <c r="H3230" s="4">
        <f>IF(E3230=0,"",F3230/E3230-1)</f>
        <v/>
      </c>
      <c r="I3230" t="inlineStr"/>
    </row>
    <row r="3231">
      <c r="A3231" t="inlineStr">
        <is>
          <t>Cosmetics, dyes &amp; other chemicals</t>
        </is>
      </c>
      <c r="B3231" t="inlineStr">
        <is>
          <t>33</t>
        </is>
      </c>
      <c r="C3231" t="inlineStr">
        <is>
          <t>33012942</t>
        </is>
      </c>
      <c r="D3231" t="inlineStr">
        <is>
          <t>LEMON GRASS OIL</t>
        </is>
      </c>
      <c r="E3231" s="3" t="n">
        <v>0</v>
      </c>
      <c r="F3231" s="3" t="n">
        <v>0</v>
      </c>
      <c r="G3231" s="3">
        <f>F3231-E3231</f>
        <v/>
      </c>
      <c r="H3231" s="4">
        <f>IF(E3231=0,"",F3231/E3231-1)</f>
        <v/>
      </c>
      <c r="I3231" t="inlineStr"/>
    </row>
    <row r="3232">
      <c r="A3232" t="inlineStr">
        <is>
          <t>Cosmetics, dyes &amp; other chemicals</t>
        </is>
      </c>
      <c r="B3232" t="inlineStr">
        <is>
          <t>33</t>
        </is>
      </c>
      <c r="C3232" t="inlineStr">
        <is>
          <t>33012949</t>
        </is>
      </c>
      <c r="D3232" t="inlineStr">
        <is>
          <t>TURMERIC OIL</t>
        </is>
      </c>
      <c r="E3232" s="3" t="n">
        <v>0</v>
      </c>
      <c r="F3232" s="3" t="n">
        <v>0</v>
      </c>
      <c r="G3232" s="3">
        <f>F3232-E3232</f>
        <v/>
      </c>
      <c r="H3232" s="4">
        <f>IF(E3232=0,"",F3232/E3232-1)</f>
        <v/>
      </c>
      <c r="I3232" t="inlineStr"/>
    </row>
    <row r="3233">
      <c r="A3233" t="inlineStr">
        <is>
          <t>Cosmetics, dyes &amp; other chemicals</t>
        </is>
      </c>
      <c r="B3233" t="inlineStr">
        <is>
          <t>33</t>
        </is>
      </c>
      <c r="C3233" t="inlineStr">
        <is>
          <t>33019014</t>
        </is>
      </c>
      <c r="D3233" t="inlineStr">
        <is>
          <t>TURMERIC OLEORESINS</t>
        </is>
      </c>
      <c r="E3233" s="3" t="n">
        <v>0</v>
      </c>
      <c r="F3233" s="3" t="n">
        <v>0</v>
      </c>
      <c r="G3233" s="3">
        <f>F3233-E3233</f>
        <v/>
      </c>
      <c r="H3233" s="4">
        <f>IF(E3233=0,"",F3233/E3233-1)</f>
        <v/>
      </c>
      <c r="I3233" t="inlineStr"/>
    </row>
    <row r="3234">
      <c r="A3234" t="inlineStr">
        <is>
          <t>Cosmetics, dyes &amp; other chemicals</t>
        </is>
      </c>
      <c r="B3234" t="inlineStr">
        <is>
          <t>33</t>
        </is>
      </c>
      <c r="C3234" t="inlineStr">
        <is>
          <t>33019024</t>
        </is>
      </c>
      <c r="D3234" t="inlineStr">
        <is>
          <t>CUMIN OLEORESIN</t>
        </is>
      </c>
      <c r="E3234" s="3" t="n">
        <v>0</v>
      </c>
      <c r="F3234" s="3" t="n">
        <v>0</v>
      </c>
      <c r="G3234" s="3">
        <f>F3234-E3234</f>
        <v/>
      </c>
      <c r="H3234" s="4">
        <f>IF(E3234=0,"",F3234/E3234-1)</f>
        <v/>
      </c>
      <c r="I3234" t="inlineStr"/>
    </row>
    <row r="3235">
      <c r="A3235" t="inlineStr">
        <is>
          <t>Cosmetics, dyes &amp; other chemicals</t>
        </is>
      </c>
      <c r="B3235" t="inlineStr">
        <is>
          <t>33</t>
        </is>
      </c>
      <c r="C3235" t="inlineStr">
        <is>
          <t>33041000</t>
        </is>
      </c>
      <c r="D3235" t="inlineStr">
        <is>
          <t>LIP MAKE UP PREPARATIONS</t>
        </is>
      </c>
      <c r="E3235" s="3" t="n">
        <v>0.08</v>
      </c>
      <c r="F3235" s="3" t="n">
        <v>0</v>
      </c>
      <c r="G3235" s="3">
        <f>F3235-E3235</f>
        <v/>
      </c>
      <c r="H3235" s="4">
        <f>IF(E3235=0,"",F3235/E3235-1)</f>
        <v/>
      </c>
      <c r="I3235" t="inlineStr"/>
    </row>
    <row r="3236">
      <c r="A3236" t="inlineStr">
        <is>
          <t>Cosmetics, dyes &amp; other chemicals</t>
        </is>
      </c>
      <c r="B3236" t="inlineStr">
        <is>
          <t>33</t>
        </is>
      </c>
      <c r="C3236" t="inlineStr">
        <is>
          <t>33042000</t>
        </is>
      </c>
      <c r="D3236" t="inlineStr">
        <is>
          <t>EYE MAKE UP PREPARATIONS</t>
        </is>
      </c>
      <c r="E3236" s="3" t="n">
        <v>0</v>
      </c>
      <c r="F3236" s="3" t="n">
        <v>0</v>
      </c>
      <c r="G3236" s="3">
        <f>F3236-E3236</f>
        <v/>
      </c>
      <c r="H3236" s="4">
        <f>IF(E3236=0,"",F3236/E3236-1)</f>
        <v/>
      </c>
      <c r="I3236" t="inlineStr"/>
    </row>
    <row r="3237">
      <c r="A3237" t="inlineStr">
        <is>
          <t>Cosmetics, dyes &amp; other chemicals</t>
        </is>
      </c>
      <c r="B3237" t="inlineStr">
        <is>
          <t>33</t>
        </is>
      </c>
      <c r="C3237" t="inlineStr">
        <is>
          <t>33049920</t>
        </is>
      </c>
      <c r="D3237" t="inlineStr">
        <is>
          <t>NAIL POLISH /LACQUERS</t>
        </is>
      </c>
      <c r="E3237" s="3" t="n">
        <v>0</v>
      </c>
      <c r="F3237" s="3" t="n">
        <v>0</v>
      </c>
      <c r="G3237" s="3">
        <f>F3237-E3237</f>
        <v/>
      </c>
      <c r="H3237" s="4">
        <f>IF(E3237=0,"",F3237/E3237-1)</f>
        <v/>
      </c>
      <c r="I3237" t="inlineStr"/>
    </row>
    <row r="3238">
      <c r="A3238" t="inlineStr">
        <is>
          <t>Cosmetics, dyes &amp; other chemicals</t>
        </is>
      </c>
      <c r="B3238" t="inlineStr">
        <is>
          <t>33</t>
        </is>
      </c>
      <c r="C3238" t="inlineStr">
        <is>
          <t>33059020</t>
        </is>
      </c>
      <c r="D3238" t="inlineStr">
        <is>
          <t>BRILLIANTINES (SPIRITUOUS)</t>
        </is>
      </c>
      <c r="E3238" s="3" t="n">
        <v>0.01</v>
      </c>
      <c r="F3238" s="3" t="n">
        <v>0</v>
      </c>
      <c r="G3238" s="3">
        <f>F3238-E3238</f>
        <v/>
      </c>
      <c r="H3238" s="4">
        <f>IF(E3238=0,"",F3238/E3238-1)</f>
        <v/>
      </c>
      <c r="I3238" t="inlineStr"/>
    </row>
    <row r="3239">
      <c r="A3239" t="inlineStr">
        <is>
          <t>Cosmetics, dyes &amp; other chemicals</t>
        </is>
      </c>
      <c r="B3239" t="inlineStr">
        <is>
          <t>33</t>
        </is>
      </c>
      <c r="C3239" t="inlineStr">
        <is>
          <t>33059050</t>
        </is>
      </c>
      <c r="D3239" t="inlineStr">
        <is>
          <t>HAIR FIXERS</t>
        </is>
      </c>
      <c r="E3239" s="3" t="n">
        <v>0</v>
      </c>
      <c r="F3239" s="3" t="n">
        <v>0</v>
      </c>
      <c r="G3239" s="3">
        <f>F3239-E3239</f>
        <v/>
      </c>
      <c r="H3239" s="4">
        <f>IF(E3239=0,"",F3239/E3239-1)</f>
        <v/>
      </c>
      <c r="I3239" t="inlineStr"/>
    </row>
    <row r="3240">
      <c r="A3240" t="inlineStr">
        <is>
          <t>Cosmetics, dyes &amp; other chemicals</t>
        </is>
      </c>
      <c r="B3240" t="inlineStr">
        <is>
          <t>33</t>
        </is>
      </c>
      <c r="C3240" t="inlineStr">
        <is>
          <t>33079010</t>
        </is>
      </c>
      <c r="D3240" t="inlineStr">
        <is>
          <t>DEPILATORIES(SOAP,OTHER HAIR REMOVING SUBSTANCES)</t>
        </is>
      </c>
      <c r="E3240" s="3" t="n">
        <v>0</v>
      </c>
      <c r="F3240" s="3" t="n">
        <v>0</v>
      </c>
      <c r="G3240" s="3">
        <f>F3240-E3240</f>
        <v/>
      </c>
      <c r="H3240" s="4">
        <f>IF(E3240=0,"",F3240/E3240-1)</f>
        <v/>
      </c>
      <c r="I3240" t="inlineStr"/>
    </row>
    <row r="3241">
      <c r="A3241" t="inlineStr">
        <is>
          <t>Cosmetics, dyes &amp; other chemicals</t>
        </is>
      </c>
      <c r="B3241" t="inlineStr">
        <is>
          <t>34</t>
        </is>
      </c>
      <c r="C3241" t="inlineStr">
        <is>
          <t>34011919</t>
        </is>
      </c>
      <c r="D3241" t="inlineStr">
        <is>
          <t>OTHER BARS AND BLOCKS &gt; 500 GM IN WEIGHT</t>
        </is>
      </c>
      <c r="E3241" s="3" t="n">
        <v>0</v>
      </c>
      <c r="F3241" s="3" t="n">
        <v>0</v>
      </c>
      <c r="G3241" s="3">
        <f>F3241-E3241</f>
        <v/>
      </c>
      <c r="H3241" s="4">
        <f>IF(E3241=0,"",F3241/E3241-1)</f>
        <v/>
      </c>
      <c r="I3241" t="inlineStr"/>
    </row>
    <row r="3242">
      <c r="A3242" t="inlineStr">
        <is>
          <t>Cosmetics, dyes &amp; other chemicals</t>
        </is>
      </c>
      <c r="B3242" t="inlineStr">
        <is>
          <t>34</t>
        </is>
      </c>
      <c r="C3242" t="inlineStr">
        <is>
          <t>34013011</t>
        </is>
      </c>
      <c r="D3242" t="inlineStr">
        <is>
          <t>MEDICATED TOILET SOAPS</t>
        </is>
      </c>
      <c r="E3242" s="3" t="n">
        <v>0.01</v>
      </c>
      <c r="F3242" s="3" t="n">
        <v>0</v>
      </c>
      <c r="G3242" s="3">
        <f>F3242-E3242</f>
        <v/>
      </c>
      <c r="H3242" s="4">
        <f>IF(E3242=0,"",F3242/E3242-1)</f>
        <v/>
      </c>
      <c r="I3242" t="inlineStr"/>
    </row>
    <row r="3243">
      <c r="A3243" t="inlineStr">
        <is>
          <t>Cosmetics, dyes &amp; other chemicals</t>
        </is>
      </c>
      <c r="B3243" t="inlineStr">
        <is>
          <t>34</t>
        </is>
      </c>
      <c r="C3243" t="inlineStr">
        <is>
          <t>34013012</t>
        </is>
      </c>
      <c r="D3243" t="inlineStr">
        <is>
          <t>SHAVING CREAM AND SHAVING GEL</t>
        </is>
      </c>
      <c r="E3243" s="3" t="n">
        <v>0.02</v>
      </c>
      <c r="F3243" s="3" t="n">
        <v>0</v>
      </c>
      <c r="G3243" s="3">
        <f>F3243-E3243</f>
        <v/>
      </c>
      <c r="H3243" s="4">
        <f>IF(E3243=0,"",F3243/E3243-1)</f>
        <v/>
      </c>
      <c r="I3243" t="inlineStr"/>
    </row>
    <row r="3244">
      <c r="A3244" t="inlineStr">
        <is>
          <t>Cosmetics, dyes &amp; other chemicals</t>
        </is>
      </c>
      <c r="B3244" t="inlineStr">
        <is>
          <t>34</t>
        </is>
      </c>
      <c r="C3244" t="inlineStr">
        <is>
          <t>34013019</t>
        </is>
      </c>
      <c r="D3244" t="inlineStr">
        <is>
          <t>OTHR ORGANIC SURFACE-ACTIVE PROD(TOILET)</t>
        </is>
      </c>
      <c r="E3244" s="3" t="n">
        <v>0.08</v>
      </c>
      <c r="F3244" s="3" t="n">
        <v>0</v>
      </c>
      <c r="G3244" s="3">
        <f>F3244-E3244</f>
        <v/>
      </c>
      <c r="H3244" s="4">
        <f>IF(E3244=0,"",F3244/E3244-1)</f>
        <v/>
      </c>
      <c r="I3244" t="inlineStr"/>
    </row>
    <row r="3245">
      <c r="A3245" t="inlineStr">
        <is>
          <t>Cosmetics, dyes &amp; other chemicals</t>
        </is>
      </c>
      <c r="B3245" t="inlineStr">
        <is>
          <t>34</t>
        </is>
      </c>
      <c r="C3245" t="inlineStr">
        <is>
          <t>34029041</t>
        </is>
      </c>
      <c r="D3245" t="inlineStr">
        <is>
          <t>WASHING AND CLEANING PREPARATIONS HAVING BASIS OF SOAP/OTHER ORGANIC SURFACE ACTIVE(WETTING AGENTS)</t>
        </is>
      </c>
      <c r="E3245" s="3" t="n">
        <v>0</v>
      </c>
      <c r="F3245" s="3" t="n">
        <v>0</v>
      </c>
      <c r="G3245" s="3">
        <f>F3245-E3245</f>
        <v/>
      </c>
      <c r="H3245" s="4">
        <f>IF(E3245=0,"",F3245/E3245-1)</f>
        <v/>
      </c>
      <c r="I3245" t="inlineStr"/>
    </row>
    <row r="3246">
      <c r="A3246" t="inlineStr">
        <is>
          <t>Cosmetics, dyes &amp; other chemicals</t>
        </is>
      </c>
      <c r="B3246" t="inlineStr">
        <is>
          <t>34</t>
        </is>
      </c>
      <c r="C3246" t="inlineStr">
        <is>
          <t>34029049</t>
        </is>
      </c>
      <c r="D3246" t="inlineStr">
        <is>
          <t>OTHER (WETTING AGENTS)</t>
        </is>
      </c>
      <c r="E3246" s="3" t="n">
        <v>0</v>
      </c>
      <c r="F3246" s="3" t="n">
        <v>0</v>
      </c>
      <c r="G3246" s="3">
        <f>F3246-E3246</f>
        <v/>
      </c>
      <c r="H3246" s="4">
        <f>IF(E3246=0,"",F3246/E3246-1)</f>
        <v/>
      </c>
      <c r="I3246" t="inlineStr"/>
    </row>
    <row r="3247">
      <c r="A3247" t="inlineStr">
        <is>
          <t>Cosmetics, dyes &amp; other chemicals</t>
        </is>
      </c>
      <c r="B3247" t="inlineStr">
        <is>
          <t>34</t>
        </is>
      </c>
      <c r="C3247" t="inlineStr">
        <is>
          <t>34029092</t>
        </is>
      </c>
      <c r="D3247" t="inlineStr">
        <is>
          <t>CLEANING OR DEGREASING PREPN NOT HAVING BASIS OF SOAP/OTHER ORGANIC SURFACE ACTIVE(OTHER PREPARATIONS)</t>
        </is>
      </c>
      <c r="E3247" s="3" t="n">
        <v>0.02</v>
      </c>
      <c r="F3247" s="3" t="n">
        <v>0</v>
      </c>
      <c r="G3247" s="3">
        <f>F3247-E3247</f>
        <v/>
      </c>
      <c r="H3247" s="4">
        <f>IF(E3247=0,"",F3247/E3247-1)</f>
        <v/>
      </c>
      <c r="I3247" t="inlineStr"/>
    </row>
    <row r="3248">
      <c r="A3248" t="inlineStr">
        <is>
          <t>Cosmetics, dyes &amp; other chemicals</t>
        </is>
      </c>
      <c r="B3248" t="inlineStr">
        <is>
          <t>34</t>
        </is>
      </c>
      <c r="C3248" t="inlineStr">
        <is>
          <t>34049039</t>
        </is>
      </c>
      <c r="D3248" t="inlineStr">
        <is>
          <t>OTHER ARTIFICIAL WAXES,PREPARED WAXES NOT EMULSIFIED OR CONTAINING SOLVENTS</t>
        </is>
      </c>
      <c r="E3248" s="3" t="n">
        <v>0.01</v>
      </c>
      <c r="F3248" s="3" t="n">
        <v>0</v>
      </c>
      <c r="G3248" s="3">
        <f>F3248-E3248</f>
        <v/>
      </c>
      <c r="H3248" s="4">
        <f>IF(E3248=0,"",F3248/E3248-1)</f>
        <v/>
      </c>
      <c r="I3248" t="inlineStr"/>
    </row>
    <row r="3249">
      <c r="A3249" t="inlineStr">
        <is>
          <t>Cosmetics, dyes &amp; other chemicals</t>
        </is>
      </c>
      <c r="B3249" t="inlineStr">
        <is>
          <t>34</t>
        </is>
      </c>
      <c r="C3249" t="inlineStr">
        <is>
          <t>34051000</t>
        </is>
      </c>
      <c r="D3249" t="inlineStr">
        <is>
          <t>POLISHES CRMS AND SMLR PRPNS FR FTWEAR/LTHR</t>
        </is>
      </c>
      <c r="E3249" s="3" t="n">
        <v>0.01</v>
      </c>
      <c r="F3249" s="3" t="n">
        <v>0</v>
      </c>
      <c r="G3249" s="3">
        <f>F3249-E3249</f>
        <v/>
      </c>
      <c r="H3249" s="4">
        <f>IF(E3249=0,"",F3249/E3249-1)</f>
        <v/>
      </c>
      <c r="I3249" t="inlineStr"/>
    </row>
    <row r="3250">
      <c r="A3250" t="inlineStr">
        <is>
          <t>Cosmetics, dyes &amp; other chemicals</t>
        </is>
      </c>
      <c r="B3250" t="inlineStr">
        <is>
          <t>34</t>
        </is>
      </c>
      <c r="C3250" t="inlineStr">
        <is>
          <t>34052000</t>
        </is>
      </c>
      <c r="D3250" t="inlineStr">
        <is>
          <t>POLISHS CRMS AND SMLR PRPNS FR THE MANTNANC OF WOODEN FURNITURE FLOORS/OTHR WOODWRK</t>
        </is>
      </c>
      <c r="E3250" s="3" t="n">
        <v>0.01</v>
      </c>
      <c r="F3250" s="3" t="n">
        <v>0</v>
      </c>
      <c r="G3250" s="3">
        <f>F3250-E3250</f>
        <v/>
      </c>
      <c r="H3250" s="4">
        <f>IF(E3250=0,"",F3250/E3250-1)</f>
        <v/>
      </c>
      <c r="I3250" t="inlineStr"/>
    </row>
    <row r="3251">
      <c r="A3251" t="inlineStr">
        <is>
          <t>Cosmetics, dyes &amp; other chemicals</t>
        </is>
      </c>
      <c r="B3251" t="inlineStr">
        <is>
          <t>34</t>
        </is>
      </c>
      <c r="C3251" t="inlineStr">
        <is>
          <t>34053000</t>
        </is>
      </c>
      <c r="D3251" t="inlineStr">
        <is>
          <t>POLISHES AND SMLR PRPNS FR COACHWRK EXCEPT MTL POLISHES</t>
        </is>
      </c>
      <c r="E3251" s="3" t="n">
        <v>0</v>
      </c>
      <c r="F3251" s="3" t="n">
        <v>0</v>
      </c>
      <c r="G3251" s="3">
        <f>F3251-E3251</f>
        <v/>
      </c>
      <c r="H3251" s="4">
        <f>IF(E3251=0,"",F3251/E3251-1)</f>
        <v/>
      </c>
      <c r="I3251" t="inlineStr"/>
    </row>
    <row r="3252">
      <c r="A3252" t="inlineStr">
        <is>
          <t>Cosmetics, dyes &amp; other chemicals</t>
        </is>
      </c>
      <c r="B3252" t="inlineStr">
        <is>
          <t>34</t>
        </is>
      </c>
      <c r="C3252" t="inlineStr">
        <is>
          <t>34060090</t>
        </is>
      </c>
      <c r="D3252" t="inlineStr">
        <is>
          <t>OTHER CANDLES TAPERS AND THE LIKE</t>
        </is>
      </c>
      <c r="E3252" s="3" t="n">
        <v>0</v>
      </c>
      <c r="F3252" s="3" t="n">
        <v>0</v>
      </c>
      <c r="G3252" s="3">
        <f>F3252-E3252</f>
        <v/>
      </c>
      <c r="H3252" s="4">
        <f>IF(E3252=0,"",F3252/E3252-1)</f>
        <v/>
      </c>
      <c r="I3252" t="inlineStr"/>
    </row>
    <row r="3253">
      <c r="A3253" t="inlineStr">
        <is>
          <t>Cosmetics, dyes &amp; other chemicals</t>
        </is>
      </c>
      <c r="B3253" t="inlineStr">
        <is>
          <t>35</t>
        </is>
      </c>
      <c r="C3253" t="inlineStr">
        <is>
          <t>35029000</t>
        </is>
      </c>
      <c r="D3253" t="inlineStr">
        <is>
          <t>OTHER ALBUMINATES AND OTHER ALBUMIN DRVTVS</t>
        </is>
      </c>
      <c r="E3253" s="3" t="n">
        <v>0</v>
      </c>
      <c r="F3253" s="3" t="n">
        <v>0</v>
      </c>
      <c r="G3253" s="3">
        <f>F3253-E3253</f>
        <v/>
      </c>
      <c r="H3253" s="4">
        <f>IF(E3253=0,"",F3253/E3253-1)</f>
        <v/>
      </c>
      <c r="I3253" t="inlineStr"/>
    </row>
    <row r="3254">
      <c r="A3254" t="inlineStr">
        <is>
          <t>Cosmetics, dyes &amp; other chemicals</t>
        </is>
      </c>
      <c r="B3254" t="inlineStr">
        <is>
          <t>35</t>
        </is>
      </c>
      <c r="C3254" t="inlineStr">
        <is>
          <t>35030020</t>
        </is>
      </c>
      <c r="D3254" t="inlineStr">
        <is>
          <t>GELATIN EDIBLE N.E.S.</t>
        </is>
      </c>
      <c r="E3254" s="3" t="n">
        <v>0</v>
      </c>
      <c r="F3254" s="3" t="n">
        <v>0</v>
      </c>
      <c r="G3254" s="3">
        <f>F3254-E3254</f>
        <v/>
      </c>
      <c r="H3254" s="4">
        <f>IF(E3254=0,"",F3254/E3254-1)</f>
        <v/>
      </c>
      <c r="I3254" t="inlineStr"/>
    </row>
    <row r="3255">
      <c r="A3255" t="inlineStr">
        <is>
          <t>Cosmetics, dyes &amp; other chemicals</t>
        </is>
      </c>
      <c r="B3255" t="inlineStr">
        <is>
          <t>35</t>
        </is>
      </c>
      <c r="C3255" t="inlineStr">
        <is>
          <t>35030090</t>
        </is>
      </c>
      <c r="D3255" t="inlineStr">
        <is>
          <t>OTHERS-OF-OTHER ALBUMINATES AND OTHER ALBUMIN DRVTVSGELATIN DRVTVS;ISINGLASS; OTHER GLUES OFANML ORIGIN,EXCL CASEIN GLUES OF H</t>
        </is>
      </c>
      <c r="E3255" s="3" t="n">
        <v>0</v>
      </c>
      <c r="F3255" s="3" t="n">
        <v>0</v>
      </c>
      <c r="G3255" s="3">
        <f>F3255-E3255</f>
        <v/>
      </c>
      <c r="H3255" s="4">
        <f>IF(E3255=0,"",F3255/E3255-1)</f>
        <v/>
      </c>
      <c r="I3255" t="inlineStr"/>
    </row>
    <row r="3256">
      <c r="A3256" t="inlineStr">
        <is>
          <t>Cosmetics, dyes &amp; other chemicals</t>
        </is>
      </c>
      <c r="B3256" t="inlineStr">
        <is>
          <t>35</t>
        </is>
      </c>
      <c r="C3256" t="inlineStr">
        <is>
          <t>35040010</t>
        </is>
      </c>
      <c r="D3256" t="inlineStr">
        <is>
          <t>PEPTONE</t>
        </is>
      </c>
      <c r="E3256" s="3" t="n">
        <v>0</v>
      </c>
      <c r="F3256" s="3" t="n">
        <v>0</v>
      </c>
      <c r="G3256" s="3">
        <f>F3256-E3256</f>
        <v/>
      </c>
      <c r="H3256" s="4">
        <f>IF(E3256=0,"",F3256/E3256-1)</f>
        <v/>
      </c>
      <c r="I3256" t="inlineStr"/>
    </row>
    <row r="3257">
      <c r="A3257" t="inlineStr">
        <is>
          <t>Cosmetics, dyes &amp; other chemicals</t>
        </is>
      </c>
      <c r="B3257" t="inlineStr">
        <is>
          <t>35</t>
        </is>
      </c>
      <c r="C3257" t="inlineStr">
        <is>
          <t>35040099</t>
        </is>
      </c>
      <c r="D3257" t="inlineStr">
        <is>
          <t>OTHR PEPTONES,THEIR DERIVATVS OTHR PROTEINAND NES/INCLD HIDE PWDR W/N CHRMD</t>
        </is>
      </c>
      <c r="E3257" s="3" t="n">
        <v>0</v>
      </c>
      <c r="F3257" s="3" t="n">
        <v>0</v>
      </c>
      <c r="G3257" s="3">
        <f>F3257-E3257</f>
        <v/>
      </c>
      <c r="H3257" s="4">
        <f>IF(E3257=0,"",F3257/E3257-1)</f>
        <v/>
      </c>
      <c r="I3257" t="inlineStr"/>
    </row>
    <row r="3258">
      <c r="A3258" t="inlineStr">
        <is>
          <t>Cosmetics, dyes &amp; other chemicals</t>
        </is>
      </c>
      <c r="B3258" t="inlineStr">
        <is>
          <t>35</t>
        </is>
      </c>
      <c r="C3258" t="inlineStr">
        <is>
          <t>35079071</t>
        </is>
      </c>
      <c r="D3258" t="inlineStr">
        <is>
          <t>PAPAIN,PURE ( PHARMACUTICAL GRADE )</t>
        </is>
      </c>
      <c r="E3258" s="3" t="n">
        <v>0</v>
      </c>
      <c r="F3258" s="3" t="n">
        <v>0</v>
      </c>
      <c r="G3258" s="3">
        <f>F3258-E3258</f>
        <v/>
      </c>
      <c r="H3258" s="4">
        <f>IF(E3258=0,"",F3258/E3258-1)</f>
        <v/>
      </c>
      <c r="I3258" t="inlineStr"/>
    </row>
    <row r="3259">
      <c r="A3259" t="inlineStr">
        <is>
          <t>Cosmetics, dyes &amp; other chemicals</t>
        </is>
      </c>
      <c r="B3259" t="inlineStr">
        <is>
          <t>36</t>
        </is>
      </c>
      <c r="C3259" t="inlineStr">
        <is>
          <t>36020010</t>
        </is>
      </c>
      <c r="D3259" t="inlineStr">
        <is>
          <t>INDUSTRIAL EXPLOSIVES PERMITTED TYPES</t>
        </is>
      </c>
      <c r="E3259" s="3" t="n">
        <v>2</v>
      </c>
      <c r="F3259" s="3" t="n">
        <v>0</v>
      </c>
      <c r="G3259" s="3">
        <f>F3259-E3259</f>
        <v/>
      </c>
      <c r="H3259" s="4">
        <f>IF(E3259=0,"",F3259/E3259-1)</f>
        <v/>
      </c>
      <c r="I3259" t="inlineStr"/>
    </row>
    <row r="3260">
      <c r="A3260" t="inlineStr">
        <is>
          <t>Cosmetics, dyes &amp; other chemicals</t>
        </is>
      </c>
      <c r="B3260" t="inlineStr">
        <is>
          <t>37</t>
        </is>
      </c>
      <c r="C3260" t="inlineStr">
        <is>
          <t>37050000</t>
        </is>
      </c>
      <c r="D3260" t="inlineStr">
        <is>
          <t>PHOTOGRAPHIC PLATES AND FILM, EXPOSED AND DEVELOPED OTH THN CINEMATOGRAPHIC FILM</t>
        </is>
      </c>
      <c r="E3260" s="3" t="n">
        <v>0</v>
      </c>
      <c r="F3260" s="3" t="n">
        <v>0</v>
      </c>
      <c r="G3260" s="3">
        <f>F3260-E3260</f>
        <v/>
      </c>
      <c r="H3260" s="4">
        <f>IF(E3260=0,"",F3260/E3260-1)</f>
        <v/>
      </c>
      <c r="I3260" t="inlineStr"/>
    </row>
    <row r="3261">
      <c r="A3261" t="inlineStr">
        <is>
          <t>Cosmetics, dyes &amp; other chemicals</t>
        </is>
      </c>
      <c r="B3261" t="inlineStr">
        <is>
          <t>38</t>
        </is>
      </c>
      <c r="C3261" t="inlineStr">
        <is>
          <t>38029020</t>
        </is>
      </c>
      <c r="D3261" t="inlineStr">
        <is>
          <t>ANML BLCK(BON BLCK AND IVRY BLCK)INCL SPNT</t>
        </is>
      </c>
      <c r="E3261" s="3" t="n">
        <v>0.02</v>
      </c>
      <c r="F3261" s="3" t="n">
        <v>0</v>
      </c>
      <c r="G3261" s="3">
        <f>F3261-E3261</f>
        <v/>
      </c>
      <c r="H3261" s="4">
        <f>IF(E3261=0,"",F3261/E3261-1)</f>
        <v/>
      </c>
      <c r="I3261" t="inlineStr"/>
    </row>
    <row r="3262">
      <c r="A3262" t="inlineStr">
        <is>
          <t>Cosmetics, dyes &amp; other chemicals</t>
        </is>
      </c>
      <c r="B3262" t="inlineStr">
        <is>
          <t>38</t>
        </is>
      </c>
      <c r="C3262" t="inlineStr">
        <is>
          <t>38051010</t>
        </is>
      </c>
      <c r="D3262" t="inlineStr">
        <is>
          <t>WOOD TURPENTINE OIL AND SPIRIT OF TURPENTINE</t>
        </is>
      </c>
      <c r="E3262" s="3" t="n">
        <v>0</v>
      </c>
      <c r="F3262" s="3" t="n">
        <v>0</v>
      </c>
      <c r="G3262" s="3">
        <f>F3262-E3262</f>
        <v/>
      </c>
      <c r="H3262" s="4">
        <f>IF(E3262=0,"",F3262/E3262-1)</f>
        <v/>
      </c>
      <c r="I3262" t="inlineStr"/>
    </row>
    <row r="3263">
      <c r="A3263" t="inlineStr">
        <is>
          <t>Cosmetics, dyes &amp; other chemicals</t>
        </is>
      </c>
      <c r="B3263" t="inlineStr">
        <is>
          <t>38</t>
        </is>
      </c>
      <c r="C3263" t="inlineStr">
        <is>
          <t>38061010</t>
        </is>
      </c>
      <c r="D3263" t="inlineStr">
        <is>
          <t>GUM ROSIN</t>
        </is>
      </c>
      <c r="E3263" s="3" t="n">
        <v>0.01</v>
      </c>
      <c r="F3263" s="3" t="n">
        <v>0</v>
      </c>
      <c r="G3263" s="3">
        <f>F3263-E3263</f>
        <v/>
      </c>
      <c r="H3263" s="4">
        <f>IF(E3263=0,"",F3263/E3263-1)</f>
        <v/>
      </c>
      <c r="I3263" t="inlineStr"/>
    </row>
    <row r="3264">
      <c r="A3264" t="inlineStr">
        <is>
          <t>Cosmetics, dyes &amp; other chemicals</t>
        </is>
      </c>
      <c r="B3264" t="inlineStr">
        <is>
          <t>38</t>
        </is>
      </c>
      <c r="C3264" t="inlineStr">
        <is>
          <t>38063000</t>
        </is>
      </c>
      <c r="D3264" t="inlineStr">
        <is>
          <t>ESTER GUMS</t>
        </is>
      </c>
      <c r="E3264" s="3" t="n">
        <v>0.01</v>
      </c>
      <c r="F3264" s="3" t="n">
        <v>0</v>
      </c>
      <c r="G3264" s="3">
        <f>F3264-E3264</f>
        <v/>
      </c>
      <c r="H3264" s="4">
        <f>IF(E3264=0,"",F3264/E3264-1)</f>
        <v/>
      </c>
      <c r="I3264" t="inlineStr"/>
    </row>
    <row r="3265">
      <c r="A3265" t="inlineStr">
        <is>
          <t>Cosmetics, dyes &amp; other chemicals</t>
        </is>
      </c>
      <c r="B3265" t="inlineStr">
        <is>
          <t>38</t>
        </is>
      </c>
      <c r="C3265" t="inlineStr">
        <is>
          <t>38089122</t>
        </is>
      </c>
      <c r="D3265" t="inlineStr">
        <is>
          <t>METHYL BROMIDE</t>
        </is>
      </c>
      <c r="E3265" s="3" t="n">
        <v>0.22</v>
      </c>
      <c r="F3265" s="3" t="n">
        <v>0</v>
      </c>
      <c r="G3265" s="3">
        <f>F3265-E3265</f>
        <v/>
      </c>
      <c r="H3265" s="4">
        <f>IF(E3265=0,"",F3265/E3265-1)</f>
        <v/>
      </c>
      <c r="I3265" t="inlineStr"/>
    </row>
    <row r="3266">
      <c r="A3266" t="inlineStr">
        <is>
          <t>Cosmetics, dyes &amp; other chemicals</t>
        </is>
      </c>
      <c r="B3266" t="inlineStr">
        <is>
          <t>38</t>
        </is>
      </c>
      <c r="C3266" t="inlineStr">
        <is>
          <t>38091000</t>
        </is>
      </c>
      <c r="D3266" t="inlineStr">
        <is>
          <t>PRPNS WTH A BASIS OF AMYLACEOUS SBSTNCS</t>
        </is>
      </c>
      <c r="E3266" s="3" t="n">
        <v>0.32</v>
      </c>
      <c r="F3266" s="3" t="n">
        <v>0</v>
      </c>
      <c r="G3266" s="3">
        <f>F3266-E3266</f>
        <v/>
      </c>
      <c r="H3266" s="4">
        <f>IF(E3266=0,"",F3266/E3266-1)</f>
        <v/>
      </c>
      <c r="I3266" t="inlineStr"/>
    </row>
    <row r="3267">
      <c r="A3267" t="inlineStr">
        <is>
          <t>Cosmetics, dyes &amp; other chemicals</t>
        </is>
      </c>
      <c r="B3267" t="inlineStr">
        <is>
          <t>38</t>
        </is>
      </c>
      <c r="C3267" t="inlineStr">
        <is>
          <t>38121000</t>
        </is>
      </c>
      <c r="D3267" t="inlineStr">
        <is>
          <t>PREPARED RUBBER ACCELERATORS</t>
        </is>
      </c>
      <c r="E3267" s="3" t="n">
        <v>0.01</v>
      </c>
      <c r="F3267" s="3" t="n">
        <v>0</v>
      </c>
      <c r="G3267" s="3">
        <f>F3267-E3267</f>
        <v/>
      </c>
      <c r="H3267" s="4">
        <f>IF(E3267=0,"",F3267/E3267-1)</f>
        <v/>
      </c>
      <c r="I3267" t="inlineStr"/>
    </row>
    <row r="3268">
      <c r="A3268" t="inlineStr">
        <is>
          <t>Cosmetics, dyes &amp; other chemicals</t>
        </is>
      </c>
      <c r="B3268" t="inlineStr">
        <is>
          <t>38</t>
        </is>
      </c>
      <c r="C3268" t="inlineStr">
        <is>
          <t>38122090</t>
        </is>
      </c>
      <c r="D3268" t="inlineStr">
        <is>
          <t>OTHR COMP. PLASTICISERS FOR RUBBER/PLASTIC</t>
        </is>
      </c>
      <c r="E3268" s="3" t="n">
        <v>0</v>
      </c>
      <c r="F3268" s="3" t="n">
        <v>0</v>
      </c>
      <c r="G3268" s="3">
        <f>F3268-E3268</f>
        <v/>
      </c>
      <c r="H3268" s="4">
        <f>IF(E3268=0,"",F3268/E3268-1)</f>
        <v/>
      </c>
      <c r="I3268" t="inlineStr"/>
    </row>
    <row r="3269">
      <c r="A3269" t="inlineStr">
        <is>
          <t>Cosmetics, dyes &amp; other chemicals</t>
        </is>
      </c>
      <c r="B3269" t="inlineStr">
        <is>
          <t>38</t>
        </is>
      </c>
      <c r="C3269" t="inlineStr">
        <is>
          <t>38123910</t>
        </is>
      </c>
      <c r="D3269" t="inlineStr">
        <is>
          <t>ANTI-OXIDANTS FOR RUBBER</t>
        </is>
      </c>
      <c r="E3269" s="3" t="n">
        <v>0</v>
      </c>
      <c r="F3269" s="3" t="n">
        <v>0</v>
      </c>
      <c r="G3269" s="3">
        <f>F3269-E3269</f>
        <v/>
      </c>
      <c r="H3269" s="4">
        <f>IF(E3269=0,"",F3269/E3269-1)</f>
        <v/>
      </c>
      <c r="I3269" t="inlineStr"/>
    </row>
    <row r="3270">
      <c r="A3270" t="inlineStr">
        <is>
          <t>Cosmetics, dyes &amp; other chemicals</t>
        </is>
      </c>
      <c r="B3270" t="inlineStr">
        <is>
          <t>38</t>
        </is>
      </c>
      <c r="C3270" t="inlineStr">
        <is>
          <t>38151210</t>
        </is>
      </c>
      <c r="D3270" t="inlineStr">
        <is>
          <t>PLTNM/PALDM CATALYST/A BASE OF ACTVTD CRBN</t>
        </is>
      </c>
      <c r="E3270" s="3" t="n">
        <v>0</v>
      </c>
      <c r="F3270" s="3" t="n">
        <v>0</v>
      </c>
      <c r="G3270" s="3">
        <f>F3270-E3270</f>
        <v/>
      </c>
      <c r="H3270" s="4">
        <f>IF(E3270=0,"",F3270/E3270-1)</f>
        <v/>
      </c>
      <c r="I3270" t="inlineStr"/>
    </row>
    <row r="3271">
      <c r="A3271" t="inlineStr">
        <is>
          <t>Cosmetics, dyes &amp; other chemicals</t>
        </is>
      </c>
      <c r="B3271" t="inlineStr">
        <is>
          <t>38</t>
        </is>
      </c>
      <c r="C3271" t="inlineStr">
        <is>
          <t>38231200</t>
        </is>
      </c>
      <c r="D3271" t="inlineStr">
        <is>
          <t>OLEIC ACID</t>
        </is>
      </c>
      <c r="E3271" s="3" t="n">
        <v>0</v>
      </c>
      <c r="F3271" s="3" t="n">
        <v>0</v>
      </c>
      <c r="G3271" s="3">
        <f>F3271-E3271</f>
        <v/>
      </c>
      <c r="H3271" s="4">
        <f>IF(E3271=0,"",F3271/E3271-1)</f>
        <v/>
      </c>
      <c r="I3271" t="inlineStr"/>
    </row>
    <row r="3272">
      <c r="A3272" t="inlineStr">
        <is>
          <t>Cosmetics, dyes &amp; other chemicals</t>
        </is>
      </c>
      <c r="B3272" t="inlineStr">
        <is>
          <t>38</t>
        </is>
      </c>
      <c r="C3272" t="inlineStr">
        <is>
          <t>38231300</t>
        </is>
      </c>
      <c r="D3272" t="inlineStr">
        <is>
          <t>TALL OIL FATTY ACIDS</t>
        </is>
      </c>
      <c r="E3272" s="3" t="n">
        <v>1.1</v>
      </c>
      <c r="F3272" s="3" t="n">
        <v>0</v>
      </c>
      <c r="G3272" s="3">
        <f>F3272-E3272</f>
        <v/>
      </c>
      <c r="H3272" s="4">
        <f>IF(E3272=0,"",F3272/E3272-1)</f>
        <v/>
      </c>
      <c r="I3272" t="inlineStr"/>
    </row>
    <row r="3273">
      <c r="A3273" t="inlineStr">
        <is>
          <t>Cosmetics, dyes &amp; other chemicals</t>
        </is>
      </c>
      <c r="B3273" t="inlineStr">
        <is>
          <t>38</t>
        </is>
      </c>
      <c r="C3273" t="inlineStr">
        <is>
          <t>38245010</t>
        </is>
      </c>
      <c r="D3273" t="inlineStr">
        <is>
          <t>CONCRETES READY TO USE KNOWN AS RMC</t>
        </is>
      </c>
      <c r="E3273" s="3" t="n">
        <v>0.01</v>
      </c>
      <c r="F3273" s="3" t="n">
        <v>0</v>
      </c>
      <c r="G3273" s="3">
        <f>F3273-E3273</f>
        <v/>
      </c>
      <c r="H3273" s="4">
        <f>IF(E3273=0,"",F3273/E3273-1)</f>
        <v/>
      </c>
      <c r="I3273" t="inlineStr"/>
    </row>
    <row r="3274">
      <c r="A3274" t="inlineStr">
        <is>
          <t>Cosmetics, dyes &amp; other chemicals</t>
        </is>
      </c>
      <c r="B3274" t="inlineStr">
        <is>
          <t>38</t>
        </is>
      </c>
      <c r="C3274" t="inlineStr">
        <is>
          <t>38248900</t>
        </is>
      </c>
      <c r="D3274" t="inlineStr">
        <is>
          <t>CONTAINING SHORT-CHAIN CHLORINATED PARAFFINS</t>
        </is>
      </c>
      <c r="E3274" s="3" t="n">
        <v>0</v>
      </c>
      <c r="F3274" s="3" t="n">
        <v>0</v>
      </c>
      <c r="G3274" s="3">
        <f>F3274-E3274</f>
        <v/>
      </c>
      <c r="H3274" s="4">
        <f>IF(E3274=0,"",F3274/E3274-1)</f>
        <v/>
      </c>
      <c r="I3274" t="inlineStr"/>
    </row>
    <row r="3275">
      <c r="A3275" t="inlineStr">
        <is>
          <t>Cosmetics, dyes &amp; other chemicals</t>
        </is>
      </c>
      <c r="B3275" t="inlineStr">
        <is>
          <t>38</t>
        </is>
      </c>
      <c r="C3275" t="inlineStr">
        <is>
          <t>38249100</t>
        </is>
      </c>
      <c r="D3275" t="inlineStr">
        <is>
          <t>MIXTURES AND PREPARATIONS CONSISTING MAINLY OF METHYL METHYL METHYLPHOSPHONATE AND METHYLPHOSPHONATE:</t>
        </is>
      </c>
      <c r="E3275" s="3" t="n">
        <v>0.02</v>
      </c>
      <c r="F3275" s="3" t="n">
        <v>0</v>
      </c>
      <c r="G3275" s="3">
        <f>F3275-E3275</f>
        <v/>
      </c>
      <c r="H3275" s="4">
        <f>IF(E3275=0,"",F3275/E3275-1)</f>
        <v/>
      </c>
      <c r="I3275" t="inlineStr"/>
    </row>
    <row r="3276">
      <c r="A3276" s="6" t="inlineStr">
        <is>
          <t>Animal products &amp; seafood  —  73 lines</t>
        </is>
      </c>
      <c r="B3276" s="6" t="inlineStr"/>
      <c r="C3276" s="6" t="inlineStr"/>
      <c r="D3276" s="6" t="inlineStr"/>
      <c r="E3276" s="7" t="n">
        <v>1095.89</v>
      </c>
      <c r="F3276" s="7" t="n">
        <v>1230.62</v>
      </c>
      <c r="G3276" s="7" t="n">
        <v>134.73</v>
      </c>
      <c r="H3276" s="8" t="n">
        <v>0.1229411711029391</v>
      </c>
      <c r="I3276" s="6" t="inlineStr"/>
    </row>
    <row r="3277">
      <c r="A3277" t="inlineStr">
        <is>
          <t>Animal products &amp; seafood</t>
        </is>
      </c>
      <c r="B3277" t="inlineStr">
        <is>
          <t>02</t>
        </is>
      </c>
      <c r="C3277" t="inlineStr">
        <is>
          <t>02023000</t>
        </is>
      </c>
      <c r="D3277" t="inlineStr">
        <is>
          <t>BONELESS MEAT OF BOVINE ANIMALS , FROZEN</t>
        </is>
      </c>
      <c r="E3277" s="3" t="n">
        <v>504.4</v>
      </c>
      <c r="F3277" s="3" t="n">
        <v>574.96</v>
      </c>
      <c r="G3277" s="3">
        <f>F3277-E3277</f>
        <v/>
      </c>
      <c r="H3277" s="4">
        <f>IF(E3277=0,"",F3277/E3277-1)</f>
        <v/>
      </c>
      <c r="I3277" t="inlineStr"/>
    </row>
    <row r="3278">
      <c r="A3278" t="inlineStr">
        <is>
          <t>Animal products &amp; seafood</t>
        </is>
      </c>
      <c r="B3278" t="inlineStr">
        <is>
          <t>04</t>
        </is>
      </c>
      <c r="C3278" t="inlineStr">
        <is>
          <t>04071100</t>
        </is>
      </c>
      <c r="D3278" t="inlineStr">
        <is>
          <t>OF FOWLS OF THE SPECIES GALLUS DOMESTICUS</t>
        </is>
      </c>
      <c r="E3278" s="3" t="n">
        <v>151.02</v>
      </c>
      <c r="F3278" s="3" t="n">
        <v>205.35</v>
      </c>
      <c r="G3278" s="3">
        <f>F3278-E3278</f>
        <v/>
      </c>
      <c r="H3278" s="4">
        <f>IF(E3278=0,"",F3278/E3278-1)</f>
        <v/>
      </c>
      <c r="I3278" t="inlineStr"/>
    </row>
    <row r="3279">
      <c r="A3279" t="inlineStr">
        <is>
          <t>Animal products &amp; seafood</t>
        </is>
      </c>
      <c r="B3279" t="inlineStr">
        <is>
          <t>04</t>
        </is>
      </c>
      <c r="C3279" t="inlineStr">
        <is>
          <t>04072100</t>
        </is>
      </c>
      <c r="D3279" t="inlineStr">
        <is>
          <t>OF FOWLS OF THE SPECIES GALLUS DOMESTICUS</t>
        </is>
      </c>
      <c r="E3279" s="3" t="n">
        <v>265.02</v>
      </c>
      <c r="F3279" s="3" t="n">
        <v>178.15</v>
      </c>
      <c r="G3279" s="3">
        <f>F3279-E3279</f>
        <v/>
      </c>
      <c r="H3279" s="4">
        <f>IF(E3279=0,"",F3279/E3279-1)</f>
        <v/>
      </c>
      <c r="I3279" t="inlineStr"/>
    </row>
    <row r="3280">
      <c r="A3280" t="inlineStr">
        <is>
          <t>Animal products &amp; seafood</t>
        </is>
      </c>
      <c r="B3280" t="inlineStr">
        <is>
          <t>04</t>
        </is>
      </c>
      <c r="C3280" t="inlineStr">
        <is>
          <t>04051000</t>
        </is>
      </c>
      <c r="D3280" t="inlineStr">
        <is>
          <t>BUTTER</t>
        </is>
      </c>
      <c r="E3280" s="3" t="n">
        <v>8.08</v>
      </c>
      <c r="F3280" s="3" t="n">
        <v>55.64</v>
      </c>
      <c r="G3280" s="3">
        <f>F3280-E3280</f>
        <v/>
      </c>
      <c r="H3280" s="4">
        <f>IF(E3280=0,"",F3280/E3280-1)</f>
        <v/>
      </c>
      <c r="I3280" t="inlineStr"/>
    </row>
    <row r="3281">
      <c r="A3281" t="inlineStr">
        <is>
          <t>Animal products &amp; seafood</t>
        </is>
      </c>
      <c r="B3281" t="inlineStr">
        <is>
          <t>04</t>
        </is>
      </c>
      <c r="C3281" t="inlineStr">
        <is>
          <t>04059020</t>
        </is>
      </c>
      <c r="D3281" t="inlineStr">
        <is>
          <t>MELTED BUTTER (GHEE)</t>
        </is>
      </c>
      <c r="E3281" s="3" t="n">
        <v>35.96</v>
      </c>
      <c r="F3281" s="3" t="n">
        <v>33.13</v>
      </c>
      <c r="G3281" s="3">
        <f>F3281-E3281</f>
        <v/>
      </c>
      <c r="H3281" s="4">
        <f>IF(E3281=0,"",F3281/E3281-1)</f>
        <v/>
      </c>
      <c r="I3281" t="inlineStr"/>
    </row>
    <row r="3282">
      <c r="A3282" t="inlineStr">
        <is>
          <t>Animal products &amp; seafood</t>
        </is>
      </c>
      <c r="B3282" t="inlineStr">
        <is>
          <t>02</t>
        </is>
      </c>
      <c r="C3282" t="inlineStr">
        <is>
          <t>02071200</t>
        </is>
      </c>
      <c r="D3282" t="inlineStr">
        <is>
          <t>MEAT/EDBL OFAL OF FOWLSOF THE SPCS GALS DOMESTICUS NOT CUT IN PIECES,FROZEN</t>
        </is>
      </c>
      <c r="E3282" s="3" t="n">
        <v>2.49</v>
      </c>
      <c r="F3282" s="3" t="n">
        <v>28.46</v>
      </c>
      <c r="G3282" s="3">
        <f>F3282-E3282</f>
        <v/>
      </c>
      <c r="H3282" s="4">
        <f>IF(E3282=0,"",F3282/E3282-1)</f>
        <v/>
      </c>
      <c r="I3282" t="inlineStr"/>
    </row>
    <row r="3283">
      <c r="A3283" t="inlineStr">
        <is>
          <t>Animal products &amp; seafood</t>
        </is>
      </c>
      <c r="B3283" t="inlineStr">
        <is>
          <t>02</t>
        </is>
      </c>
      <c r="C3283" t="inlineStr">
        <is>
          <t>02013000</t>
        </is>
      </c>
      <c r="D3283" t="inlineStr">
        <is>
          <t>BONELESS MEAT OF BOVN ANMLS, FRSH OR CHLD</t>
        </is>
      </c>
      <c r="E3283" s="3" t="n">
        <v>22.29</v>
      </c>
      <c r="F3283" s="3" t="n">
        <v>27.25</v>
      </c>
      <c r="G3283" s="3">
        <f>F3283-E3283</f>
        <v/>
      </c>
      <c r="H3283" s="4">
        <f>IF(E3283=0,"",F3283/E3283-1)</f>
        <v/>
      </c>
      <c r="I3283" t="inlineStr"/>
    </row>
    <row r="3284">
      <c r="A3284" t="inlineStr">
        <is>
          <t>Animal products &amp; seafood</t>
        </is>
      </c>
      <c r="B3284" t="inlineStr">
        <is>
          <t>04</t>
        </is>
      </c>
      <c r="C3284" t="inlineStr">
        <is>
          <t>04059090</t>
        </is>
      </c>
      <c r="D3284" t="inlineStr">
        <is>
          <t>OTHER FATS AND OILS DERVTVD FROM MILK</t>
        </is>
      </c>
      <c r="E3284" s="3" t="n">
        <v>2.25</v>
      </c>
      <c r="F3284" s="3" t="n">
        <v>25.67</v>
      </c>
      <c r="G3284" s="3">
        <f>F3284-E3284</f>
        <v/>
      </c>
      <c r="H3284" s="4">
        <f>IF(E3284=0,"",F3284/E3284-1)</f>
        <v/>
      </c>
      <c r="I3284" t="inlineStr"/>
    </row>
    <row r="3285">
      <c r="A3285" t="inlineStr">
        <is>
          <t>Animal products &amp; seafood</t>
        </is>
      </c>
      <c r="B3285" t="inlineStr">
        <is>
          <t>04</t>
        </is>
      </c>
      <c r="C3285" t="inlineStr">
        <is>
          <t>04081900</t>
        </is>
      </c>
      <c r="D3285" t="inlineStr">
        <is>
          <t>OTHER EGG YOLKS NOT DRIED</t>
        </is>
      </c>
      <c r="E3285" s="3" t="n">
        <v>19.44</v>
      </c>
      <c r="F3285" s="3" t="n">
        <v>22.54</v>
      </c>
      <c r="G3285" s="3">
        <f>F3285-E3285</f>
        <v/>
      </c>
      <c r="H3285" s="4">
        <f>IF(E3285=0,"",F3285/E3285-1)</f>
        <v/>
      </c>
      <c r="I3285" t="inlineStr"/>
    </row>
    <row r="3286">
      <c r="A3286" t="inlineStr">
        <is>
          <t>Animal products &amp; seafood</t>
        </is>
      </c>
      <c r="B3286" t="inlineStr">
        <is>
          <t>03</t>
        </is>
      </c>
      <c r="C3286" t="inlineStr">
        <is>
          <t>03061790</t>
        </is>
      </c>
      <c r="D3286" t="inlineStr">
        <is>
          <t>OTHER SHRIMPS AND PRAWNS</t>
        </is>
      </c>
      <c r="E3286" s="3" t="n">
        <v>8.16</v>
      </c>
      <c r="F3286" s="3" t="n">
        <v>11.89</v>
      </c>
      <c r="G3286" s="3">
        <f>F3286-E3286</f>
        <v/>
      </c>
      <c r="H3286" s="4">
        <f>IF(E3286=0,"",F3286/E3286-1)</f>
        <v/>
      </c>
      <c r="I3286" t="inlineStr"/>
    </row>
    <row r="3287">
      <c r="A3287" t="inlineStr">
        <is>
          <t>Animal products &amp; seafood</t>
        </is>
      </c>
      <c r="B3287" t="inlineStr">
        <is>
          <t>04</t>
        </is>
      </c>
      <c r="C3287" t="inlineStr">
        <is>
          <t>04090000</t>
        </is>
      </c>
      <c r="D3287" t="inlineStr">
        <is>
          <t>NATURAL HONEY</t>
        </is>
      </c>
      <c r="E3287" s="3" t="n">
        <v>6.54</v>
      </c>
      <c r="F3287" s="3" t="n">
        <v>11.86</v>
      </c>
      <c r="G3287" s="3">
        <f>F3287-E3287</f>
        <v/>
      </c>
      <c r="H3287" s="4">
        <f>IF(E3287=0,"",F3287/E3287-1)</f>
        <v/>
      </c>
      <c r="I3287" t="inlineStr"/>
    </row>
    <row r="3288">
      <c r="A3288" t="inlineStr">
        <is>
          <t>Animal products &amp; seafood</t>
        </is>
      </c>
      <c r="B3288" t="inlineStr">
        <is>
          <t>04</t>
        </is>
      </c>
      <c r="C3288" t="inlineStr">
        <is>
          <t>04069000</t>
        </is>
      </c>
      <c r="D3288" t="inlineStr">
        <is>
          <t>OTHER CHEESE</t>
        </is>
      </c>
      <c r="E3288" s="3" t="n">
        <v>10.99</v>
      </c>
      <c r="F3288" s="3" t="n">
        <v>7.52</v>
      </c>
      <c r="G3288" s="3">
        <f>F3288-E3288</f>
        <v/>
      </c>
      <c r="H3288" s="4">
        <f>IF(E3288=0,"",F3288/E3288-1)</f>
        <v/>
      </c>
      <c r="I3288" t="inlineStr"/>
    </row>
    <row r="3289">
      <c r="A3289" t="inlineStr">
        <is>
          <t>Animal products &amp; seafood</t>
        </is>
      </c>
      <c r="B3289" t="inlineStr">
        <is>
          <t>03</t>
        </is>
      </c>
      <c r="C3289" t="inlineStr">
        <is>
          <t>03061720</t>
        </is>
      </c>
      <c r="D3289" t="inlineStr">
        <is>
          <t>VANNAMEI SHRIMP (LITOPENAEUS VANNAMEI)</t>
        </is>
      </c>
      <c r="E3289" s="3" t="n">
        <v>2.06</v>
      </c>
      <c r="F3289" s="3" t="n">
        <v>6.69</v>
      </c>
      <c r="G3289" s="3">
        <f>F3289-E3289</f>
        <v/>
      </c>
      <c r="H3289" s="4">
        <f>IF(E3289=0,"",F3289/E3289-1)</f>
        <v/>
      </c>
      <c r="I3289" t="inlineStr"/>
    </row>
    <row r="3290">
      <c r="A3290" t="inlineStr">
        <is>
          <t>Animal products &amp; seafood</t>
        </is>
      </c>
      <c r="B3290" t="inlineStr">
        <is>
          <t>03</t>
        </is>
      </c>
      <c r="C3290" t="inlineStr">
        <is>
          <t>03061730</t>
        </is>
      </c>
      <c r="D3290" t="inlineStr">
        <is>
          <t>INDIAN WHITE SHRIMP (FENNEROPENAEUS INDICUS)</t>
        </is>
      </c>
      <c r="E3290" s="3" t="n">
        <v>5.51</v>
      </c>
      <c r="F3290" s="3" t="n">
        <v>6.43</v>
      </c>
      <c r="G3290" s="3">
        <f>F3290-E3290</f>
        <v/>
      </c>
      <c r="H3290" s="4">
        <f>IF(E3290=0,"",F3290/E3290-1)</f>
        <v/>
      </c>
      <c r="I3290" t="inlineStr"/>
    </row>
    <row r="3291">
      <c r="A3291" t="inlineStr">
        <is>
          <t>Animal products &amp; seafood</t>
        </is>
      </c>
      <c r="B3291" t="inlineStr">
        <is>
          <t>02</t>
        </is>
      </c>
      <c r="C3291" t="inlineStr">
        <is>
          <t>02042100</t>
        </is>
      </c>
      <c r="D3291" t="inlineStr">
        <is>
          <t>CRCS AND HLF CRCS OF SHEEP,FRSH OR CHLD</t>
        </is>
      </c>
      <c r="E3291" s="3" t="n">
        <v>3.96</v>
      </c>
      <c r="F3291" s="3" t="n">
        <v>4.64</v>
      </c>
      <c r="G3291" s="3">
        <f>F3291-E3291</f>
        <v/>
      </c>
      <c r="H3291" s="4">
        <f>IF(E3291=0,"",F3291/E3291-1)</f>
        <v/>
      </c>
      <c r="I3291" t="inlineStr"/>
    </row>
    <row r="3292">
      <c r="A3292" t="inlineStr">
        <is>
          <t>Animal products &amp; seafood</t>
        </is>
      </c>
      <c r="B3292" t="inlineStr">
        <is>
          <t>02</t>
        </is>
      </c>
      <c r="C3292" t="inlineStr">
        <is>
          <t>02041000</t>
        </is>
      </c>
      <c r="D3292" t="inlineStr">
        <is>
          <t>CRCS AND HALF-CRCS OF LAMB, FRSH OR CHLD</t>
        </is>
      </c>
      <c r="E3292" s="3" t="n">
        <v>3.53</v>
      </c>
      <c r="F3292" s="3" t="n">
        <v>3.17</v>
      </c>
      <c r="G3292" s="3">
        <f>F3292-E3292</f>
        <v/>
      </c>
      <c r="H3292" s="4">
        <f>IF(E3292=0,"",F3292/E3292-1)</f>
        <v/>
      </c>
      <c r="I3292" t="inlineStr"/>
    </row>
    <row r="3293">
      <c r="A3293" t="inlineStr">
        <is>
          <t>Animal products &amp; seafood</t>
        </is>
      </c>
      <c r="B3293" t="inlineStr">
        <is>
          <t>03</t>
        </is>
      </c>
      <c r="C3293" t="inlineStr">
        <is>
          <t>03034200</t>
        </is>
      </c>
      <c r="D3293" t="inlineStr">
        <is>
          <t>YELLOWFIN TUNAS FROZEN</t>
        </is>
      </c>
      <c r="E3293" s="3" t="n">
        <v>5.3</v>
      </c>
      <c r="F3293" s="3" t="n">
        <v>3.01</v>
      </c>
      <c r="G3293" s="3">
        <f>F3293-E3293</f>
        <v/>
      </c>
      <c r="H3293" s="4">
        <f>IF(E3293=0,"",F3293/E3293-1)</f>
        <v/>
      </c>
      <c r="I3293" t="inlineStr"/>
    </row>
    <row r="3294">
      <c r="A3294" t="inlineStr">
        <is>
          <t>Animal products &amp; seafood</t>
        </is>
      </c>
      <c r="B3294" t="inlineStr">
        <is>
          <t>03</t>
        </is>
      </c>
      <c r="C3294" t="inlineStr">
        <is>
          <t>03074310</t>
        </is>
      </c>
      <c r="D3294" t="inlineStr">
        <is>
          <t>CUTTLE FISH FROZEN</t>
        </is>
      </c>
      <c r="E3294" s="3" t="n">
        <v>1.57</v>
      </c>
      <c r="F3294" s="3" t="n">
        <v>2.88</v>
      </c>
      <c r="G3294" s="3">
        <f>F3294-E3294</f>
        <v/>
      </c>
      <c r="H3294" s="4">
        <f>IF(E3294=0,"",F3294/E3294-1)</f>
        <v/>
      </c>
      <c r="I3294" t="inlineStr"/>
    </row>
    <row r="3295">
      <c r="A3295" t="inlineStr">
        <is>
          <t>Animal products &amp; seafood</t>
        </is>
      </c>
      <c r="B3295" t="inlineStr">
        <is>
          <t>04</t>
        </is>
      </c>
      <c r="C3295" t="inlineStr">
        <is>
          <t>04059010</t>
        </is>
      </c>
      <c r="D3295" t="inlineStr">
        <is>
          <t>BUTTER OIL</t>
        </is>
      </c>
      <c r="E3295" s="3" t="n">
        <v>1.06</v>
      </c>
      <c r="F3295" s="3" t="n">
        <v>2.78</v>
      </c>
      <c r="G3295" s="3">
        <f>F3295-E3295</f>
        <v/>
      </c>
      <c r="H3295" s="4">
        <f>IF(E3295=0,"",F3295/E3295-1)</f>
        <v/>
      </c>
      <c r="I3295" t="inlineStr"/>
    </row>
    <row r="3296">
      <c r="A3296" t="inlineStr">
        <is>
          <t>Animal products &amp; seafood</t>
        </is>
      </c>
      <c r="B3296" t="inlineStr">
        <is>
          <t>03</t>
        </is>
      </c>
      <c r="C3296" t="inlineStr">
        <is>
          <t>03036900</t>
        </is>
      </c>
      <c r="D3296" t="inlineStr">
        <is>
          <t>OTHER FISH OF FAMILIES BREGMACEROTIDAE, EUCLICHTHYIDAE, GADIDAE ETC FROZEN</t>
        </is>
      </c>
      <c r="E3296" s="3" t="n">
        <v>10.17</v>
      </c>
      <c r="F3296" s="3" t="n">
        <v>2.72</v>
      </c>
      <c r="G3296" s="3">
        <f>F3296-E3296</f>
        <v/>
      </c>
      <c r="H3296" s="4">
        <f>IF(E3296=0,"",F3296/E3296-1)</f>
        <v/>
      </c>
      <c r="I3296" t="inlineStr"/>
    </row>
    <row r="3297">
      <c r="A3297" t="inlineStr">
        <is>
          <t>Animal products &amp; seafood</t>
        </is>
      </c>
      <c r="B3297" t="inlineStr">
        <is>
          <t>04</t>
        </is>
      </c>
      <c r="C3297" t="inlineStr">
        <is>
          <t>04061090</t>
        </is>
      </c>
      <c r="D3297" t="inlineStr">
        <is>
          <t>OTHERS-OF-FRSH CHESE(INCL WHEY CHSE)NT FRMNTD AND CURD</t>
        </is>
      </c>
      <c r="E3297" s="3" t="n">
        <v>0.05</v>
      </c>
      <c r="F3297" s="3" t="n">
        <v>2.14</v>
      </c>
      <c r="G3297" s="3">
        <f>F3297-E3297</f>
        <v/>
      </c>
      <c r="H3297" s="4">
        <f>IF(E3297=0,"",F3297/E3297-1)</f>
        <v/>
      </c>
      <c r="I3297" t="inlineStr"/>
    </row>
    <row r="3298">
      <c r="A3298" t="inlineStr">
        <is>
          <t>Animal products &amp; seafood</t>
        </is>
      </c>
      <c r="B3298" t="inlineStr">
        <is>
          <t>03</t>
        </is>
      </c>
      <c r="C3298" t="inlineStr">
        <is>
          <t>03038990</t>
        </is>
      </c>
      <c r="D3298" t="inlineStr">
        <is>
          <t>OTHER FROZEN FISH</t>
        </is>
      </c>
      <c r="E3298" s="3" t="n">
        <v>3.14</v>
      </c>
      <c r="F3298" s="3" t="n">
        <v>1.87</v>
      </c>
      <c r="G3298" s="3">
        <f>F3298-E3298</f>
        <v/>
      </c>
      <c r="H3298" s="4">
        <f>IF(E3298=0,"",F3298/E3298-1)</f>
        <v/>
      </c>
      <c r="I3298" t="inlineStr"/>
    </row>
    <row r="3299">
      <c r="A3299" t="inlineStr">
        <is>
          <t>Animal products &amp; seafood</t>
        </is>
      </c>
      <c r="B3299" t="inlineStr">
        <is>
          <t>02</t>
        </is>
      </c>
      <c r="C3299" t="inlineStr">
        <is>
          <t>02062900</t>
        </is>
      </c>
      <c r="D3299" t="inlineStr">
        <is>
          <t>OTHR EDIBLE OFFAL OF BOVINE ANIMALS,FROZEN</t>
        </is>
      </c>
      <c r="E3299" s="3" t="n">
        <v>1.58</v>
      </c>
      <c r="F3299" s="3" t="n">
        <v>1.75</v>
      </c>
      <c r="G3299" s="3">
        <f>F3299-E3299</f>
        <v/>
      </c>
      <c r="H3299" s="4">
        <f>IF(E3299=0,"",F3299/E3299-1)</f>
        <v/>
      </c>
      <c r="I3299" t="inlineStr"/>
    </row>
    <row r="3300">
      <c r="A3300" t="inlineStr">
        <is>
          <t>Animal products &amp; seafood</t>
        </is>
      </c>
      <c r="B3300" t="inlineStr">
        <is>
          <t>04</t>
        </is>
      </c>
      <c r="C3300" t="inlineStr">
        <is>
          <t>04063000</t>
        </is>
      </c>
      <c r="D3300" t="inlineStr">
        <is>
          <t>PROCESSED CHEESE NOT GRATED/POWDERED</t>
        </is>
      </c>
      <c r="E3300" s="3" t="n">
        <v>1.33</v>
      </c>
      <c r="F3300" s="3" t="n">
        <v>1.5</v>
      </c>
      <c r="G3300" s="3">
        <f>F3300-E3300</f>
        <v/>
      </c>
      <c r="H3300" s="4">
        <f>IF(E3300=0,"",F3300/E3300-1)</f>
        <v/>
      </c>
      <c r="I3300" t="inlineStr"/>
    </row>
    <row r="3301">
      <c r="A3301" t="inlineStr">
        <is>
          <t>Animal products &amp; seafood</t>
        </is>
      </c>
      <c r="B3301" t="inlineStr">
        <is>
          <t>04</t>
        </is>
      </c>
      <c r="C3301" t="inlineStr">
        <is>
          <t>04049000</t>
        </is>
      </c>
      <c r="D3301" t="inlineStr">
        <is>
          <t>PRODCTS OTHRTHAN WHEY CONSISTING OF NATURAL MILK CONSTITNTS</t>
        </is>
      </c>
      <c r="E3301" s="3" t="n">
        <v>0</v>
      </c>
      <c r="F3301" s="3" t="n">
        <v>1.27</v>
      </c>
      <c r="G3301" s="3">
        <f>F3301-E3301</f>
        <v/>
      </c>
      <c r="H3301" s="4">
        <f>IF(E3301=0,"",F3301/E3301-1)</f>
        <v/>
      </c>
      <c r="I3301" t="inlineStr"/>
    </row>
    <row r="3302">
      <c r="A3302" t="inlineStr">
        <is>
          <t>Animal products &amp; seafood</t>
        </is>
      </c>
      <c r="B3302" t="inlineStr">
        <is>
          <t>03</t>
        </is>
      </c>
      <c r="C3302" t="inlineStr">
        <is>
          <t>03048700</t>
        </is>
      </c>
      <c r="D3302" t="inlineStr">
        <is>
          <t>FROZEN FILLETS OF TUNAS(OF THE GENUS THUNNUS)SKIPJACK TUNA(STRIPE BELLIED BONITO)(KATSUWONUSPELAMIS)</t>
        </is>
      </c>
      <c r="E3302" s="3" t="n">
        <v>10.86</v>
      </c>
      <c r="F3302" s="3" t="n">
        <v>1.04</v>
      </c>
      <c r="G3302" s="3">
        <f>F3302-E3302</f>
        <v/>
      </c>
      <c r="H3302" s="4">
        <f>IF(E3302=0,"",F3302/E3302-1)</f>
        <v/>
      </c>
      <c r="I3302" t="inlineStr"/>
    </row>
    <row r="3303">
      <c r="A3303" t="inlineStr">
        <is>
          <t>Animal products &amp; seafood</t>
        </is>
      </c>
      <c r="B3303" t="inlineStr">
        <is>
          <t>02</t>
        </is>
      </c>
      <c r="C3303" t="inlineStr">
        <is>
          <t>02062200</t>
        </is>
      </c>
      <c r="D3303" t="inlineStr">
        <is>
          <t>EDIBLE LIVERS OF BOVINE ANIMALS, FROZEN</t>
        </is>
      </c>
      <c r="E3303" s="3" t="n">
        <v>0.6899999999999999</v>
      </c>
      <c r="F3303" s="3" t="n">
        <v>1.02</v>
      </c>
      <c r="G3303" s="3">
        <f>F3303-E3303</f>
        <v/>
      </c>
      <c r="H3303" s="4">
        <f>IF(E3303=0,"",F3303/E3303-1)</f>
        <v/>
      </c>
      <c r="I3303" t="inlineStr"/>
    </row>
    <row r="3304">
      <c r="A3304" t="inlineStr">
        <is>
          <t>Animal products &amp; seafood</t>
        </is>
      </c>
      <c r="B3304" t="inlineStr">
        <is>
          <t>04</t>
        </is>
      </c>
      <c r="C3304" t="inlineStr">
        <is>
          <t>04089900</t>
        </is>
      </c>
      <c r="D3304" t="inlineStr">
        <is>
          <t>OTHR BIRDS EGGS NOT IN SHEEL NOT DRIED</t>
        </is>
      </c>
      <c r="E3304" s="3" t="n">
        <v>0.76</v>
      </c>
      <c r="F3304" s="3" t="n">
        <v>0.74</v>
      </c>
      <c r="G3304" s="3">
        <f>F3304-E3304</f>
        <v/>
      </c>
      <c r="H3304" s="4">
        <f>IF(E3304=0,"",F3304/E3304-1)</f>
        <v/>
      </c>
      <c r="I3304" t="inlineStr"/>
    </row>
    <row r="3305">
      <c r="A3305" t="inlineStr">
        <is>
          <t>Animal products &amp; seafood</t>
        </is>
      </c>
      <c r="B3305" t="inlineStr">
        <is>
          <t>02</t>
        </is>
      </c>
      <c r="C3305" t="inlineStr">
        <is>
          <t>02068010</t>
        </is>
      </c>
      <c r="D3305" t="inlineStr">
        <is>
          <t>EDIBLE OFFAL OF SHEEP/GOATS, FRESH/CHILLD</t>
        </is>
      </c>
      <c r="E3305" s="3" t="n">
        <v>0.62</v>
      </c>
      <c r="F3305" s="3" t="n">
        <v>0.71</v>
      </c>
      <c r="G3305" s="3">
        <f>F3305-E3305</f>
        <v/>
      </c>
      <c r="H3305" s="4">
        <f>IF(E3305=0,"",F3305/E3305-1)</f>
        <v/>
      </c>
      <c r="I3305" t="inlineStr"/>
    </row>
    <row r="3306">
      <c r="A3306" t="inlineStr">
        <is>
          <t>Animal products &amp; seafood</t>
        </is>
      </c>
      <c r="B3306" t="inlineStr">
        <is>
          <t>03</t>
        </is>
      </c>
      <c r="C3306" t="inlineStr">
        <is>
          <t>03061100</t>
        </is>
      </c>
      <c r="D3306" t="inlineStr">
        <is>
          <t>ROCK LOBSTER AND OTHER SEA CRAWFISH (PALINURUS SP PANULIRUS SP JASUS SP)FRZN</t>
        </is>
      </c>
      <c r="E3306" s="3" t="n">
        <v>0.8</v>
      </c>
      <c r="F3306" s="3" t="n">
        <v>0.55</v>
      </c>
      <c r="G3306" s="3">
        <f>F3306-E3306</f>
        <v/>
      </c>
      <c r="H3306" s="4">
        <f>IF(E3306=0,"",F3306/E3306-1)</f>
        <v/>
      </c>
      <c r="I3306" t="inlineStr"/>
    </row>
    <row r="3307">
      <c r="A3307" t="inlineStr">
        <is>
          <t>Animal products &amp; seafood</t>
        </is>
      </c>
      <c r="B3307" t="inlineStr">
        <is>
          <t>03</t>
        </is>
      </c>
      <c r="C3307" t="inlineStr">
        <is>
          <t>03063630</t>
        </is>
      </c>
      <c r="D3307" t="inlineStr">
        <is>
          <t>Indian white shrimp</t>
        </is>
      </c>
      <c r="E3307" s="3" t="n">
        <v>0.01</v>
      </c>
      <c r="F3307" s="3" t="n">
        <v>0.44</v>
      </c>
      <c r="G3307" s="3">
        <f>F3307-E3307</f>
        <v/>
      </c>
      <c r="H3307" s="4">
        <f>IF(E3307=0,"",F3307/E3307-1)</f>
        <v/>
      </c>
      <c r="I3307" t="inlineStr"/>
    </row>
    <row r="3308">
      <c r="A3308" t="inlineStr">
        <is>
          <t>Animal products &amp; seafood</t>
        </is>
      </c>
      <c r="B3308" t="inlineStr">
        <is>
          <t>03</t>
        </is>
      </c>
      <c r="C3308" t="inlineStr">
        <is>
          <t>03074320</t>
        </is>
      </c>
      <c r="D3308" t="inlineStr">
        <is>
          <t>WHOLE SQUIDS FROZEN</t>
        </is>
      </c>
      <c r="E3308" s="3" t="n">
        <v>1.81</v>
      </c>
      <c r="F3308" s="3" t="n">
        <v>0.33</v>
      </c>
      <c r="G3308" s="3">
        <f>F3308-E3308</f>
        <v/>
      </c>
      <c r="H3308" s="4">
        <f>IF(E3308=0,"",F3308/E3308-1)</f>
        <v/>
      </c>
      <c r="I3308" t="inlineStr"/>
    </row>
    <row r="3309">
      <c r="A3309" t="inlineStr">
        <is>
          <t>Animal products &amp; seafood</t>
        </is>
      </c>
      <c r="B3309" t="inlineStr">
        <is>
          <t>03</t>
        </is>
      </c>
      <c r="C3309" t="inlineStr">
        <is>
          <t>03034300</t>
        </is>
      </c>
      <c r="D3309" t="inlineStr">
        <is>
          <t>SKIPJACK TUNA( STRIPE-BELLIED BONITO), (KATSUWONUSPELAMIS)</t>
        </is>
      </c>
      <c r="E3309" s="3" t="n">
        <v>0.68</v>
      </c>
      <c r="F3309" s="3" t="n">
        <v>0.3</v>
      </c>
      <c r="G3309" s="3">
        <f>F3309-E3309</f>
        <v/>
      </c>
      <c r="H3309" s="4">
        <f>IF(E3309=0,"",F3309/E3309-1)</f>
        <v/>
      </c>
      <c r="I3309" t="inlineStr"/>
    </row>
    <row r="3310">
      <c r="A3310" t="inlineStr">
        <is>
          <t>Animal products &amp; seafood</t>
        </is>
      </c>
      <c r="B3310" t="inlineStr">
        <is>
          <t>04</t>
        </is>
      </c>
      <c r="C3310" t="inlineStr">
        <is>
          <t>04081100</t>
        </is>
      </c>
      <c r="D3310" t="inlineStr">
        <is>
          <t>EGG YOLKS DRIED</t>
        </is>
      </c>
      <c r="E3310" s="3" t="n">
        <v>0</v>
      </c>
      <c r="F3310" s="3" t="n">
        <v>0.28</v>
      </c>
      <c r="G3310" s="3">
        <f>F3310-E3310</f>
        <v/>
      </c>
      <c r="H3310" s="4">
        <f>IF(E3310=0,"",F3310/E3310-1)</f>
        <v/>
      </c>
      <c r="I3310" t="inlineStr"/>
    </row>
    <row r="3311">
      <c r="A3311" t="inlineStr">
        <is>
          <t>Animal products &amp; seafood</t>
        </is>
      </c>
      <c r="B3311" t="inlineStr">
        <is>
          <t>03</t>
        </is>
      </c>
      <c r="C3311" t="inlineStr">
        <is>
          <t>03075200</t>
        </is>
      </c>
      <c r="D3311" t="inlineStr">
        <is>
          <t>OCTOPUS FROZEN</t>
        </is>
      </c>
      <c r="E3311" s="3" t="n">
        <v>0</v>
      </c>
      <c r="F3311" s="3" t="n">
        <v>0.24</v>
      </c>
      <c r="G3311" s="3">
        <f>F3311-E3311</f>
        <v/>
      </c>
      <c r="H3311" s="4">
        <f>IF(E3311=0,"",F3311/E3311-1)</f>
        <v/>
      </c>
      <c r="I3311" t="inlineStr"/>
    </row>
    <row r="3312">
      <c r="A3312" t="inlineStr">
        <is>
          <t>Animal products &amp; seafood</t>
        </is>
      </c>
      <c r="B3312" t="inlineStr">
        <is>
          <t>04</t>
        </is>
      </c>
      <c r="C3312" t="inlineStr">
        <is>
          <t>04041020</t>
        </is>
      </c>
      <c r="D3312" t="inlineStr">
        <is>
          <t>WHEY,DRY,BLOCKS AND POWDERED</t>
        </is>
      </c>
      <c r="E3312" s="3" t="n">
        <v>0.21</v>
      </c>
      <c r="F3312" s="3" t="n">
        <v>0.23</v>
      </c>
      <c r="G3312" s="3">
        <f>F3312-E3312</f>
        <v/>
      </c>
      <c r="H3312" s="4">
        <f>IF(E3312=0,"",F3312/E3312-1)</f>
        <v/>
      </c>
      <c r="I3312" t="inlineStr"/>
    </row>
    <row r="3313">
      <c r="A3313" t="inlineStr">
        <is>
          <t>Animal products &amp; seafood</t>
        </is>
      </c>
      <c r="B3313" t="inlineStr">
        <is>
          <t>02</t>
        </is>
      </c>
      <c r="C3313" t="inlineStr">
        <is>
          <t>02061000</t>
        </is>
      </c>
      <c r="D3313" t="inlineStr">
        <is>
          <t>EDBL OFFAL OF BOVINE ANMLS,FRSH/CHILLED</t>
        </is>
      </c>
      <c r="E3313" s="3" t="n">
        <v>0.32</v>
      </c>
      <c r="F3313" s="3" t="n">
        <v>0.19</v>
      </c>
      <c r="G3313" s="3">
        <f>F3313-E3313</f>
        <v/>
      </c>
      <c r="H3313" s="4">
        <f>IF(E3313=0,"",F3313/E3313-1)</f>
        <v/>
      </c>
      <c r="I3313" t="inlineStr"/>
    </row>
    <row r="3314">
      <c r="A3314" t="inlineStr">
        <is>
          <t>Animal products &amp; seafood</t>
        </is>
      </c>
      <c r="B3314" t="inlineStr">
        <is>
          <t>03</t>
        </is>
      </c>
      <c r="C3314" t="inlineStr">
        <is>
          <t>03038980</t>
        </is>
      </c>
      <c r="D3314" t="inlineStr">
        <is>
          <t>CROAKERS, GROUPERS AND FLOUNDERS FROZEN</t>
        </is>
      </c>
      <c r="E3314" s="3" t="n">
        <v>0</v>
      </c>
      <c r="F3314" s="3" t="n">
        <v>0.18</v>
      </c>
      <c r="G3314" s="3">
        <f>F3314-E3314</f>
        <v/>
      </c>
      <c r="H3314" s="4">
        <f>IF(E3314=0,"",F3314/E3314-1)</f>
        <v/>
      </c>
      <c r="I3314" t="inlineStr"/>
    </row>
    <row r="3315">
      <c r="A3315" t="inlineStr">
        <is>
          <t>Animal products &amp; seafood</t>
        </is>
      </c>
      <c r="B3315" t="inlineStr">
        <is>
          <t>02</t>
        </is>
      </c>
      <c r="C3315" t="inlineStr">
        <is>
          <t>02044100</t>
        </is>
      </c>
      <c r="D3315" t="inlineStr">
        <is>
          <t>CARCASSES AND HALF-CARCASSES OF SHEEP,FROZEN</t>
        </is>
      </c>
      <c r="E3315" s="3" t="n">
        <v>0.03</v>
      </c>
      <c r="F3315" s="3" t="n">
        <v>0.17</v>
      </c>
      <c r="G3315" s="3">
        <f>F3315-E3315</f>
        <v/>
      </c>
      <c r="H3315" s="4">
        <f>IF(E3315=0,"",F3315/E3315-1)</f>
        <v/>
      </c>
      <c r="I3315" t="inlineStr"/>
    </row>
    <row r="3316">
      <c r="A3316" t="inlineStr">
        <is>
          <t>Animal products &amp; seafood</t>
        </is>
      </c>
      <c r="B3316" t="inlineStr">
        <is>
          <t>04</t>
        </is>
      </c>
      <c r="C3316" t="inlineStr">
        <is>
          <t>04039090</t>
        </is>
      </c>
      <c r="D3316" t="inlineStr">
        <is>
          <t>OTHERS(CROLD MLK,CRM,KIHIR ETC)</t>
        </is>
      </c>
      <c r="E3316" s="3" t="n">
        <v>0</v>
      </c>
      <c r="F3316" s="3" t="n">
        <v>0.15</v>
      </c>
      <c r="G3316" s="3">
        <f>F3316-E3316</f>
        <v/>
      </c>
      <c r="H3316" s="4">
        <f>IF(E3316=0,"",F3316/E3316-1)</f>
        <v/>
      </c>
      <c r="I3316" t="inlineStr"/>
    </row>
    <row r="3317">
      <c r="A3317" t="inlineStr">
        <is>
          <t>Animal products &amp; seafood</t>
        </is>
      </c>
      <c r="B3317" t="inlineStr">
        <is>
          <t>03</t>
        </is>
      </c>
      <c r="C3317" t="inlineStr">
        <is>
          <t>03055990</t>
        </is>
      </c>
      <c r="D3317" t="inlineStr">
        <is>
          <t>OTHER DRIED N.E.S.NT SMKD</t>
        </is>
      </c>
      <c r="E3317" s="3" t="n">
        <v>0.19</v>
      </c>
      <c r="F3317" s="3" t="n">
        <v>0.13</v>
      </c>
      <c r="G3317" s="3">
        <f>F3317-E3317</f>
        <v/>
      </c>
      <c r="H3317" s="4">
        <f>IF(E3317=0,"",F3317/E3317-1)</f>
        <v/>
      </c>
      <c r="I3317" t="inlineStr"/>
    </row>
    <row r="3318">
      <c r="A3318" t="inlineStr">
        <is>
          <t>Animal products &amp; seafood</t>
        </is>
      </c>
      <c r="B3318" t="inlineStr">
        <is>
          <t>03</t>
        </is>
      </c>
      <c r="C3318" t="inlineStr">
        <is>
          <t>03069500</t>
        </is>
      </c>
      <c r="D3318" t="inlineStr">
        <is>
          <t>SHRIMPS AND PRAWNS OTHN THN LIVE FRESH OR CHILLED</t>
        </is>
      </c>
      <c r="E3318" s="3" t="n">
        <v>0</v>
      </c>
      <c r="F3318" s="3" t="n">
        <v>0.12</v>
      </c>
      <c r="G3318" s="3">
        <f>F3318-E3318</f>
        <v/>
      </c>
      <c r="H3318" s="4">
        <f>IF(E3318=0,"",F3318/E3318-1)</f>
        <v/>
      </c>
      <c r="I3318" t="inlineStr"/>
    </row>
    <row r="3319">
      <c r="A3319" t="inlineStr">
        <is>
          <t>Animal products &amp; seafood</t>
        </is>
      </c>
      <c r="B3319" t="inlineStr">
        <is>
          <t>04</t>
        </is>
      </c>
      <c r="C3319" t="inlineStr">
        <is>
          <t>04014000</t>
        </is>
      </c>
      <c r="D3319" t="inlineStr">
        <is>
          <t>MILK, CREAM ETC. OF A FAT CONTENT, BY WEIGHT, EXCEEDING 6% BUT NOT EXCEEDING 10%</t>
        </is>
      </c>
      <c r="E3319" s="3" t="n">
        <v>0</v>
      </c>
      <c r="F3319" s="3" t="n">
        <v>0.11</v>
      </c>
      <c r="G3319" s="3">
        <f>F3319-E3319</f>
        <v/>
      </c>
      <c r="H3319" s="4">
        <f>IF(E3319=0,"",F3319/E3319-1)</f>
        <v/>
      </c>
      <c r="I3319" t="inlineStr"/>
    </row>
    <row r="3320">
      <c r="A3320" t="inlineStr">
        <is>
          <t>Animal products &amp; seafood</t>
        </is>
      </c>
      <c r="B3320" t="inlineStr">
        <is>
          <t>04</t>
        </is>
      </c>
      <c r="C3320" t="inlineStr">
        <is>
          <t>04062000</t>
        </is>
      </c>
      <c r="D3320" t="inlineStr">
        <is>
          <t>GRATED OR POWDERED CHEESE OF ALL KINDS</t>
        </is>
      </c>
      <c r="E3320" s="3" t="n">
        <v>0</v>
      </c>
      <c r="F3320" s="3" t="n">
        <v>0.09</v>
      </c>
      <c r="G3320" s="3">
        <f>F3320-E3320</f>
        <v/>
      </c>
      <c r="H3320" s="4">
        <f>IF(E3320=0,"",F3320/E3320-1)</f>
        <v/>
      </c>
      <c r="I3320" t="inlineStr"/>
    </row>
    <row r="3321">
      <c r="A3321" t="inlineStr">
        <is>
          <t>Animal products &amp; seafood</t>
        </is>
      </c>
      <c r="B3321" t="inlineStr">
        <is>
          <t>03</t>
        </is>
      </c>
      <c r="C3321" t="inlineStr">
        <is>
          <t>03011100</t>
        </is>
      </c>
      <c r="D3321" t="inlineStr">
        <is>
          <t>FRESHWATER ORNAMENTAL FISH</t>
        </is>
      </c>
      <c r="E3321" s="3" t="n">
        <v>0.12</v>
      </c>
      <c r="F3321" s="3" t="n">
        <v>0.06</v>
      </c>
      <c r="G3321" s="3">
        <f>F3321-E3321</f>
        <v/>
      </c>
      <c r="H3321" s="4">
        <f>IF(E3321=0,"",F3321/E3321-1)</f>
        <v/>
      </c>
      <c r="I3321" t="inlineStr"/>
    </row>
    <row r="3322">
      <c r="A3322" t="inlineStr">
        <is>
          <t>Animal products &amp; seafood</t>
        </is>
      </c>
      <c r="B3322" t="inlineStr">
        <is>
          <t>03</t>
        </is>
      </c>
      <c r="C3322" t="inlineStr">
        <is>
          <t>03075900</t>
        </is>
      </c>
      <c r="D3322" t="inlineStr">
        <is>
          <t>OCTOPUS OTHER THAN LIVE FRSH/CHLLD AND FROZEN</t>
        </is>
      </c>
      <c r="E3322" s="3" t="n">
        <v>0</v>
      </c>
      <c r="F3322" s="3" t="n">
        <v>0.04</v>
      </c>
      <c r="G3322" s="3">
        <f>F3322-E3322</f>
        <v/>
      </c>
      <c r="H3322" s="4">
        <f>IF(E3322=0,"",F3322/E3322-1)</f>
        <v/>
      </c>
      <c r="I3322" t="inlineStr"/>
    </row>
    <row r="3323">
      <c r="A3323" t="inlineStr">
        <is>
          <t>Animal products &amp; seafood</t>
        </is>
      </c>
      <c r="B3323" t="inlineStr">
        <is>
          <t>04</t>
        </is>
      </c>
      <c r="C3323" t="inlineStr">
        <is>
          <t>04039010</t>
        </is>
      </c>
      <c r="D3323" t="inlineStr">
        <is>
          <t>BUTTER MILK</t>
        </is>
      </c>
      <c r="E3323" s="3" t="n">
        <v>0.06</v>
      </c>
      <c r="F3323" s="3" t="n">
        <v>0.04</v>
      </c>
      <c r="G3323" s="3">
        <f>F3323-E3323</f>
        <v/>
      </c>
      <c r="H3323" s="4">
        <f>IF(E3323=0,"",F3323/E3323-1)</f>
        <v/>
      </c>
      <c r="I3323" t="inlineStr"/>
    </row>
    <row r="3324">
      <c r="A3324" t="inlineStr">
        <is>
          <t>Animal products &amp; seafood</t>
        </is>
      </c>
      <c r="B3324" t="inlineStr">
        <is>
          <t>01</t>
        </is>
      </c>
      <c r="C3324" t="inlineStr">
        <is>
          <t>01069000</t>
        </is>
      </c>
      <c r="D3324" t="inlineStr">
        <is>
          <t>OTHER LIVE ANIMALS</t>
        </is>
      </c>
      <c r="E3324" s="3" t="n">
        <v>0.04</v>
      </c>
      <c r="F3324" s="3" t="n">
        <v>0.03</v>
      </c>
      <c r="G3324" s="3">
        <f>F3324-E3324</f>
        <v/>
      </c>
      <c r="H3324" s="4">
        <f>IF(E3324=0,"",F3324/E3324-1)</f>
        <v/>
      </c>
      <c r="I3324" t="inlineStr"/>
    </row>
    <row r="3325">
      <c r="A3325" t="inlineStr">
        <is>
          <t>Animal products &amp; seafood</t>
        </is>
      </c>
      <c r="B3325" t="inlineStr">
        <is>
          <t>03</t>
        </is>
      </c>
      <c r="C3325" t="inlineStr">
        <is>
          <t>03024900</t>
        </is>
      </c>
      <c r="D3325" t="inlineStr">
        <is>
          <t>OTHER FISH INCL INDIAN MACKERELS, CREVALLES, SILVER POMFRETS, SCADS, CAPELIN, KAWAKAWA FRESH OR CHILLED</t>
        </is>
      </c>
      <c r="E3325" s="3" t="n">
        <v>0.15</v>
      </c>
      <c r="F3325" s="3" t="n">
        <v>0.03</v>
      </c>
      <c r="G3325" s="3">
        <f>F3325-E3325</f>
        <v/>
      </c>
      <c r="H3325" s="4">
        <f>IF(E3325=0,"",F3325/E3325-1)</f>
        <v/>
      </c>
      <c r="I3325" t="inlineStr"/>
    </row>
    <row r="3326">
      <c r="A3326" t="inlineStr">
        <is>
          <t>Animal products &amp; seafood</t>
        </is>
      </c>
      <c r="B3326" t="inlineStr">
        <is>
          <t>04</t>
        </is>
      </c>
      <c r="C3326" t="inlineStr">
        <is>
          <t>04021090</t>
        </is>
      </c>
      <c r="D3326" t="inlineStr">
        <is>
          <t>OTHER MLK AND CRM IN PWDR,GRANL OR SOLID FRM OF FAT CONTNT, BY WT. NOT EXCDNG 1.5%</t>
        </is>
      </c>
      <c r="E3326" s="3" t="n">
        <v>0</v>
      </c>
      <c r="F3326" s="3" t="n">
        <v>0.03</v>
      </c>
      <c r="G3326" s="3">
        <f>F3326-E3326</f>
        <v/>
      </c>
      <c r="H3326" s="4">
        <f>IF(E3326=0,"",F3326/E3326-1)</f>
        <v/>
      </c>
      <c r="I3326" t="inlineStr"/>
    </row>
    <row r="3327">
      <c r="A3327" t="inlineStr">
        <is>
          <t>Animal products &amp; seafood</t>
        </is>
      </c>
      <c r="B3327" t="inlineStr">
        <is>
          <t>03</t>
        </is>
      </c>
      <c r="C3327" t="inlineStr">
        <is>
          <t>03056990</t>
        </is>
      </c>
      <c r="D3327" t="inlineStr">
        <is>
          <t>OTHER FISH SMOKD, DRIED, SALTD OR IN BRINE</t>
        </is>
      </c>
      <c r="E3327" s="3" t="n">
        <v>0</v>
      </c>
      <c r="F3327" s="3" t="n">
        <v>0.02</v>
      </c>
      <c r="G3327" s="3">
        <f>F3327-E3327</f>
        <v/>
      </c>
      <c r="H3327" s="4">
        <f>IF(E3327=0,"",F3327/E3327-1)</f>
        <v/>
      </c>
      <c r="I3327" t="inlineStr"/>
    </row>
    <row r="3328">
      <c r="A3328" t="inlineStr">
        <is>
          <t>Animal products &amp; seafood</t>
        </is>
      </c>
      <c r="B3328" t="inlineStr">
        <is>
          <t>04</t>
        </is>
      </c>
      <c r="C3328" t="inlineStr">
        <is>
          <t>04022100</t>
        </is>
      </c>
      <c r="D3328" t="inlineStr">
        <is>
          <t>MLK AND CRM IN PWDR,GRNLS/OTHR SOLID FORMS NOT CONTNG ADDED SUGAR/OTHR SWETNG MATTER CONTNG FAT EXCEEDNG 1.5% BY WT</t>
        </is>
      </c>
      <c r="E3328" s="3" t="n">
        <v>0</v>
      </c>
      <c r="F3328" s="3" t="n">
        <v>0.02</v>
      </c>
      <c r="G3328" s="3">
        <f>F3328-E3328</f>
        <v/>
      </c>
      <c r="H3328" s="4">
        <f>IF(E3328=0,"",F3328/E3328-1)</f>
        <v/>
      </c>
      <c r="I3328" t="inlineStr"/>
    </row>
    <row r="3329">
      <c r="A3329" t="inlineStr">
        <is>
          <t>Animal products &amp; seafood</t>
        </is>
      </c>
      <c r="B3329" t="inlineStr">
        <is>
          <t>05</t>
        </is>
      </c>
      <c r="C3329" t="inlineStr">
        <is>
          <t>05069019</t>
        </is>
      </c>
      <c r="D3329" t="inlineStr">
        <is>
          <t>OTHER BONE MEALS</t>
        </is>
      </c>
      <c r="E3329" s="3" t="n">
        <v>0</v>
      </c>
      <c r="F3329" s="3" t="n">
        <v>0.02</v>
      </c>
      <c r="G3329" s="3">
        <f>F3329-E3329</f>
        <v/>
      </c>
      <c r="H3329" s="4">
        <f>IF(E3329=0,"",F3329/E3329-1)</f>
        <v/>
      </c>
      <c r="I3329" t="inlineStr"/>
    </row>
    <row r="3330">
      <c r="A3330" t="inlineStr">
        <is>
          <t>Animal products &amp; seafood</t>
        </is>
      </c>
      <c r="B3330" t="inlineStr">
        <is>
          <t>03</t>
        </is>
      </c>
      <c r="C3330" t="inlineStr">
        <is>
          <t>03028930</t>
        </is>
      </c>
      <c r="D3330" t="inlineStr">
        <is>
          <t>POMFRET FRESH OR CHILLED</t>
        </is>
      </c>
      <c r="E3330" s="3" t="n">
        <v>0</v>
      </c>
      <c r="F3330" s="3" t="n">
        <v>0.01</v>
      </c>
      <c r="G3330" s="3">
        <f>F3330-E3330</f>
        <v/>
      </c>
      <c r="H3330" s="4">
        <f>IF(E3330=0,"",F3330/E3330-1)</f>
        <v/>
      </c>
      <c r="I3330" t="inlineStr"/>
    </row>
    <row r="3331">
      <c r="A3331" t="inlineStr">
        <is>
          <t>Animal products &amp; seafood</t>
        </is>
      </c>
      <c r="B3331" t="inlineStr">
        <is>
          <t>03</t>
        </is>
      </c>
      <c r="C3331" t="inlineStr">
        <is>
          <t>03028990</t>
        </is>
      </c>
      <c r="D3331" t="inlineStr">
        <is>
          <t>OTHERS-OF-OTHERS-OF-FISH, FRESH OR CHILLED, EXCLUDING FISH FILLETS AND OTHER FISH MEAT OF HEADING 0304</t>
        </is>
      </c>
      <c r="E3331" s="3" t="n">
        <v>0.15</v>
      </c>
      <c r="F3331" s="3" t="n">
        <v>0.01</v>
      </c>
      <c r="G3331" s="3">
        <f>F3331-E3331</f>
        <v/>
      </c>
      <c r="H3331" s="4">
        <f>IF(E3331=0,"",F3331/E3331-1)</f>
        <v/>
      </c>
      <c r="I3331" t="inlineStr"/>
    </row>
    <row r="3332">
      <c r="A3332" t="inlineStr">
        <is>
          <t>Animal products &amp; seafood</t>
        </is>
      </c>
      <c r="B3332" t="inlineStr">
        <is>
          <t>03</t>
        </is>
      </c>
      <c r="C3332" t="inlineStr">
        <is>
          <t>03035910</t>
        </is>
      </c>
      <c r="D3332" t="inlineStr">
        <is>
          <t>INDIAN MACKERELS (RASTRELLIGER SPP.)</t>
        </is>
      </c>
      <c r="E3332" s="3" t="n">
        <v>0.57</v>
      </c>
      <c r="F3332" s="3" t="n">
        <v>0.01</v>
      </c>
      <c r="G3332" s="3">
        <f>F3332-E3332</f>
        <v/>
      </c>
      <c r="H3332" s="4">
        <f>IF(E3332=0,"",F3332/E3332-1)</f>
        <v/>
      </c>
      <c r="I3332" t="inlineStr"/>
    </row>
    <row r="3333">
      <c r="A3333" t="inlineStr">
        <is>
          <t>Animal products &amp; seafood</t>
        </is>
      </c>
      <c r="B3333" t="inlineStr">
        <is>
          <t>03</t>
        </is>
      </c>
      <c r="C3333" t="inlineStr">
        <is>
          <t>03055910</t>
        </is>
      </c>
      <c r="D3333" t="inlineStr">
        <is>
          <t>DRIED BOMBAY DUCK NT SMKD</t>
        </is>
      </c>
      <c r="E3333" s="3" t="n">
        <v>0.05</v>
      </c>
      <c r="F3333" s="3" t="n">
        <v>0.01</v>
      </c>
      <c r="G3333" s="3">
        <f>F3333-E3333</f>
        <v/>
      </c>
      <c r="H3333" s="4">
        <f>IF(E3333=0,"",F3333/E3333-1)</f>
        <v/>
      </c>
      <c r="I3333" t="inlineStr"/>
    </row>
    <row r="3334">
      <c r="A3334" t="inlineStr">
        <is>
          <t>Animal products &amp; seafood</t>
        </is>
      </c>
      <c r="B3334" t="inlineStr">
        <is>
          <t>01</t>
        </is>
      </c>
      <c r="C3334" t="inlineStr">
        <is>
          <t>01059400</t>
        </is>
      </c>
      <c r="D3334" t="inlineStr">
        <is>
          <t>FOWLS OF THE SPECIES GALLUS DOMESTICUS OTH THAN OF HEADING 01051100</t>
        </is>
      </c>
      <c r="E3334" s="3" t="n">
        <v>0.32</v>
      </c>
      <c r="F3334" s="3" t="n">
        <v>0</v>
      </c>
      <c r="G3334" s="3">
        <f>F3334-E3334</f>
        <v/>
      </c>
      <c r="H3334" s="4">
        <f>IF(E3334=0,"",F3334/E3334-1)</f>
        <v/>
      </c>
      <c r="I3334" t="inlineStr"/>
    </row>
    <row r="3335">
      <c r="A3335" t="inlineStr">
        <is>
          <t>Animal products &amp; seafood</t>
        </is>
      </c>
      <c r="B3335" t="inlineStr">
        <is>
          <t>02</t>
        </is>
      </c>
      <c r="C3335" t="inlineStr">
        <is>
          <t>02071400</t>
        </is>
      </c>
      <c r="D3335" t="inlineStr">
        <is>
          <t>CUTS AND OFAL OF FOWLS OF THE SPECIS GALS DOMSTCUS, FRZN</t>
        </is>
      </c>
      <c r="E3335" s="3" t="n">
        <v>0</v>
      </c>
      <c r="F3335" s="3" t="n">
        <v>0</v>
      </c>
      <c r="G3335" s="3">
        <f>F3335-E3335</f>
        <v/>
      </c>
      <c r="H3335" s="4">
        <f>IF(E3335=0,"",F3335/E3335-1)</f>
        <v/>
      </c>
      <c r="I3335" t="inlineStr"/>
    </row>
    <row r="3336">
      <c r="A3336" t="inlineStr">
        <is>
          <t>Animal products &amp; seafood</t>
        </is>
      </c>
      <c r="B3336" t="inlineStr">
        <is>
          <t>03</t>
        </is>
      </c>
      <c r="C3336" t="inlineStr">
        <is>
          <t>03022300</t>
        </is>
      </c>
      <c r="D3336" t="inlineStr">
        <is>
          <t>SOLE FRESH OR CHILLED</t>
        </is>
      </c>
      <c r="E3336" s="3" t="n">
        <v>0.01</v>
      </c>
      <c r="F3336" s="3" t="n">
        <v>0</v>
      </c>
      <c r="G3336" s="3">
        <f>F3336-E3336</f>
        <v/>
      </c>
      <c r="H3336" s="4">
        <f>IF(E3336=0,"",F3336/E3336-1)</f>
        <v/>
      </c>
      <c r="I3336" t="inlineStr"/>
    </row>
    <row r="3337">
      <c r="A3337" t="inlineStr">
        <is>
          <t>Animal products &amp; seafood</t>
        </is>
      </c>
      <c r="B3337" t="inlineStr">
        <is>
          <t>03</t>
        </is>
      </c>
      <c r="C3337" t="inlineStr">
        <is>
          <t>03024200</t>
        </is>
      </c>
      <c r="D3337" t="inlineStr">
        <is>
          <t>ANCHOVIES FRESH OR CHILLED</t>
        </is>
      </c>
      <c r="E3337" s="3" t="n">
        <v>0.04</v>
      </c>
      <c r="F3337" s="3" t="n">
        <v>0</v>
      </c>
      <c r="G3337" s="3">
        <f>F3337-E3337</f>
        <v/>
      </c>
      <c r="H3337" s="4">
        <f>IF(E3337=0,"",F3337/E3337-1)</f>
        <v/>
      </c>
      <c r="I3337" t="inlineStr"/>
    </row>
    <row r="3338">
      <c r="A3338" t="inlineStr">
        <is>
          <t>Animal products &amp; seafood</t>
        </is>
      </c>
      <c r="B3338" t="inlineStr">
        <is>
          <t>03</t>
        </is>
      </c>
      <c r="C3338" t="inlineStr">
        <is>
          <t>03027300</t>
        </is>
      </c>
      <c r="D3338" t="inlineStr">
        <is>
          <t>CARP FRESH OR CHILLED</t>
        </is>
      </c>
      <c r="E3338" s="3" t="n">
        <v>0.12</v>
      </c>
      <c r="F3338" s="3" t="n">
        <v>0</v>
      </c>
      <c r="G3338" s="3">
        <f>F3338-E3338</f>
        <v/>
      </c>
      <c r="H3338" s="4">
        <f>IF(E3338=0,"",F3338/E3338-1)</f>
        <v/>
      </c>
      <c r="I3338" t="inlineStr"/>
    </row>
    <row r="3339">
      <c r="A3339" t="inlineStr">
        <is>
          <t>Animal products &amp; seafood</t>
        </is>
      </c>
      <c r="B3339" t="inlineStr">
        <is>
          <t>03</t>
        </is>
      </c>
      <c r="C3339" t="inlineStr">
        <is>
          <t>03032300</t>
        </is>
      </c>
      <c r="D3339" t="inlineStr">
        <is>
          <t>TILAPIAS FROZEN</t>
        </is>
      </c>
      <c r="E3339" s="3" t="n">
        <v>0.14</v>
      </c>
      <c r="F3339" s="3" t="n">
        <v>0</v>
      </c>
      <c r="G3339" s="3">
        <f>F3339-E3339</f>
        <v/>
      </c>
      <c r="H3339" s="4">
        <f>IF(E3339=0,"",F3339/E3339-1)</f>
        <v/>
      </c>
      <c r="I3339" t="inlineStr"/>
    </row>
    <row r="3340">
      <c r="A3340" t="inlineStr">
        <is>
          <t>Animal products &amp; seafood</t>
        </is>
      </c>
      <c r="B3340" t="inlineStr">
        <is>
          <t>03</t>
        </is>
      </c>
      <c r="C3340" t="inlineStr">
        <is>
          <t>03032900</t>
        </is>
      </c>
      <c r="D3340" t="inlineStr">
        <is>
          <t>OTHER FISH INCL NILE PERCH AND SNAKEHEADS FROZEN</t>
        </is>
      </c>
      <c r="E3340" s="3" t="n">
        <v>0.14</v>
      </c>
      <c r="F3340" s="3" t="n">
        <v>0</v>
      </c>
      <c r="G3340" s="3">
        <f>F3340-E3340</f>
        <v/>
      </c>
      <c r="H3340" s="4">
        <f>IF(E3340=0,"",F3340/E3340-1)</f>
        <v/>
      </c>
      <c r="I3340" t="inlineStr"/>
    </row>
    <row r="3341">
      <c r="A3341" t="inlineStr">
        <is>
          <t>Animal products &amp; seafood</t>
        </is>
      </c>
      <c r="B3341" t="inlineStr">
        <is>
          <t>03</t>
        </is>
      </c>
      <c r="C3341" t="inlineStr">
        <is>
          <t>03034900</t>
        </is>
      </c>
      <c r="D3341" t="inlineStr">
        <is>
          <t>OTHER TUNAS FROZEN EXCL OF HEADING 030391 TO 030399</t>
        </is>
      </c>
      <c r="E3341" s="3" t="n">
        <v>0.64</v>
      </c>
      <c r="F3341" s="3" t="n">
        <v>0</v>
      </c>
      <c r="G3341" s="3">
        <f>F3341-E3341</f>
        <v/>
      </c>
      <c r="H3341" s="4">
        <f>IF(E3341=0,"",F3341/E3341-1)</f>
        <v/>
      </c>
      <c r="I3341" t="inlineStr"/>
    </row>
    <row r="3342">
      <c r="A3342" t="inlineStr">
        <is>
          <t>Animal products &amp; seafood</t>
        </is>
      </c>
      <c r="B3342" t="inlineStr">
        <is>
          <t>03</t>
        </is>
      </c>
      <c r="C3342" t="inlineStr">
        <is>
          <t>03055930</t>
        </is>
      </c>
      <c r="D3342" t="inlineStr">
        <is>
          <t>SPRATS DRIED NT SMOKED W/N SALTED</t>
        </is>
      </c>
      <c r="E3342" s="3" t="n">
        <v>0.02</v>
      </c>
      <c r="F3342" s="3" t="n">
        <v>0</v>
      </c>
      <c r="G3342" s="3">
        <f>F3342-E3342</f>
        <v/>
      </c>
      <c r="H3342" s="4">
        <f>IF(E3342=0,"",F3342/E3342-1)</f>
        <v/>
      </c>
      <c r="I3342" t="inlineStr"/>
    </row>
    <row r="3343">
      <c r="A3343" t="inlineStr">
        <is>
          <t>Animal products &amp; seafood</t>
        </is>
      </c>
      <c r="B3343" t="inlineStr">
        <is>
          <t>03</t>
        </is>
      </c>
      <c r="C3343" t="inlineStr">
        <is>
          <t>03056910</t>
        </is>
      </c>
      <c r="D3343" t="inlineStr">
        <is>
          <t>BOMBAY DUCK SLTD NT DRID NT SMKD</t>
        </is>
      </c>
      <c r="E3343" s="3" t="n">
        <v>0.01</v>
      </c>
      <c r="F3343" s="3" t="n">
        <v>0</v>
      </c>
      <c r="G3343" s="3">
        <f>F3343-E3343</f>
        <v/>
      </c>
      <c r="H3343" s="4">
        <f>IF(E3343=0,"",F3343/E3343-1)</f>
        <v/>
      </c>
      <c r="I3343" t="inlineStr"/>
    </row>
    <row r="3344">
      <c r="A3344" t="inlineStr">
        <is>
          <t>Animal products &amp; seafood</t>
        </is>
      </c>
      <c r="B3344" t="inlineStr">
        <is>
          <t>03</t>
        </is>
      </c>
      <c r="C3344" t="inlineStr">
        <is>
          <t>03061740</t>
        </is>
      </c>
      <c r="D3344" t="inlineStr">
        <is>
          <t>BLACK TIGER SHRIMP (PENAEUS MONODON)</t>
        </is>
      </c>
      <c r="E3344" s="3" t="n">
        <v>0.35</v>
      </c>
      <c r="F3344" s="3" t="n">
        <v>0</v>
      </c>
      <c r="G3344" s="3">
        <f>F3344-E3344</f>
        <v/>
      </c>
      <c r="H3344" s="4">
        <f>IF(E3344=0,"",F3344/E3344-1)</f>
        <v/>
      </c>
      <c r="I3344" t="inlineStr"/>
    </row>
    <row r="3345">
      <c r="A3345" t="inlineStr">
        <is>
          <t>Animal products &amp; seafood</t>
        </is>
      </c>
      <c r="B3345" t="inlineStr">
        <is>
          <t>03</t>
        </is>
      </c>
      <c r="C3345" t="inlineStr">
        <is>
          <t>03063300</t>
        </is>
      </c>
      <c r="D3345" t="inlineStr">
        <is>
          <t>LIVE FRESH OR CHILLED CRABS</t>
        </is>
      </c>
      <c r="E3345" s="3" t="n">
        <v>0.01</v>
      </c>
      <c r="F3345" s="3" t="n">
        <v>0</v>
      </c>
      <c r="G3345" s="3">
        <f>F3345-E3345</f>
        <v/>
      </c>
      <c r="H3345" s="4">
        <f>IF(E3345=0,"",F3345/E3345-1)</f>
        <v/>
      </c>
      <c r="I3345" t="inlineStr"/>
    </row>
    <row r="3346">
      <c r="A3346" t="inlineStr">
        <is>
          <t>Animal products &amp; seafood</t>
        </is>
      </c>
      <c r="B3346" t="inlineStr">
        <is>
          <t>03</t>
        </is>
      </c>
      <c r="C3346" t="inlineStr">
        <is>
          <t>03063610</t>
        </is>
      </c>
      <c r="D3346" t="inlineStr">
        <is>
          <t>Scampi</t>
        </is>
      </c>
      <c r="E3346" s="3" t="n">
        <v>0</v>
      </c>
      <c r="F3346" s="3" t="n">
        <v>0</v>
      </c>
      <c r="G3346" s="3">
        <f>F3346-E3346</f>
        <v/>
      </c>
      <c r="H3346" s="4">
        <f>IF(E3346=0,"",F3346/E3346-1)</f>
        <v/>
      </c>
      <c r="I3346" t="inlineStr"/>
    </row>
    <row r="3347">
      <c r="A3347" t="inlineStr">
        <is>
          <t>Animal products &amp; seafood</t>
        </is>
      </c>
      <c r="B3347" t="inlineStr">
        <is>
          <t>03</t>
        </is>
      </c>
      <c r="C3347" t="inlineStr">
        <is>
          <t>03063690</t>
        </is>
      </c>
      <c r="D3347" t="inlineStr">
        <is>
          <t>Other shrimps and prawns</t>
        </is>
      </c>
      <c r="E3347" s="3" t="n">
        <v>0.01</v>
      </c>
      <c r="F3347" s="3" t="n">
        <v>0</v>
      </c>
      <c r="G3347" s="3">
        <f>F3347-E3347</f>
        <v/>
      </c>
      <c r="H3347" s="4">
        <f>IF(E3347=0,"",F3347/E3347-1)</f>
        <v/>
      </c>
      <c r="I3347" t="inlineStr"/>
    </row>
    <row r="3348">
      <c r="A3348" t="inlineStr">
        <is>
          <t>Animal products &amp; seafood</t>
        </is>
      </c>
      <c r="B3348" t="inlineStr">
        <is>
          <t>03</t>
        </is>
      </c>
      <c r="C3348" t="inlineStr">
        <is>
          <t>03073910</t>
        </is>
      </c>
      <c r="D3348" t="inlineStr">
        <is>
          <t>CALMS-CALM MEAT(BIVLVS-VICTORIIA SPP ETC)</t>
        </is>
      </c>
      <c r="E3348" s="3" t="n">
        <v>0.06</v>
      </c>
      <c r="F3348" s="3" t="n">
        <v>0</v>
      </c>
      <c r="G3348" s="3">
        <f>F3348-E3348</f>
        <v/>
      </c>
      <c r="H3348" s="4">
        <f>IF(E3348=0,"",F3348/E3348-1)</f>
        <v/>
      </c>
      <c r="I3348" t="inlineStr"/>
    </row>
    <row r="3349">
      <c r="A3349" t="inlineStr">
        <is>
          <t>Animal products &amp; seafood</t>
        </is>
      </c>
      <c r="B3349" t="inlineStr">
        <is>
          <t>04</t>
        </is>
      </c>
      <c r="C3349" t="inlineStr">
        <is>
          <t>04061010</t>
        </is>
      </c>
      <c r="D3349" t="inlineStr">
        <is>
          <t>Mozzarella cheese</t>
        </is>
      </c>
      <c r="E3349" s="3" t="n">
        <v>0</v>
      </c>
      <c r="F3349" s="3" t="n">
        <v>0</v>
      </c>
      <c r="G3349" s="3">
        <f>F3349-E3349</f>
        <v/>
      </c>
      <c r="H3349" s="4">
        <f>IF(E3349=0,"",F3349/E3349-1)</f>
        <v/>
      </c>
      <c r="I3349" t="inlineStr"/>
    </row>
    <row r="3350">
      <c r="A3350" s="6" t="inlineStr">
        <is>
          <t>Textiles &amp; apparel  —  795 lines</t>
        </is>
      </c>
      <c r="B3350" s="6" t="inlineStr"/>
      <c r="C3350" s="6" t="inlineStr"/>
      <c r="D3350" s="6" t="inlineStr"/>
      <c r="E3350" s="7" t="n">
        <v>927.0700000000001</v>
      </c>
      <c r="F3350" s="7" t="n">
        <v>888.36</v>
      </c>
      <c r="G3350" s="7" t="n">
        <v>-38.71</v>
      </c>
      <c r="H3350" s="8" t="n">
        <v>-0.04175520726590165</v>
      </c>
      <c r="I3350" s="6" t="inlineStr"/>
    </row>
    <row r="3351">
      <c r="A3351" t="inlineStr">
        <is>
          <t>Textiles &amp; apparel</t>
        </is>
      </c>
      <c r="B3351" t="inlineStr">
        <is>
          <t>62</t>
        </is>
      </c>
      <c r="C3351" t="inlineStr">
        <is>
          <t>62142010</t>
        </is>
      </c>
      <c r="D3351" t="inlineStr">
        <is>
          <t>SHAWLS OF WOOL</t>
        </is>
      </c>
      <c r="E3351" s="3" t="n">
        <v>178.04</v>
      </c>
      <c r="F3351" s="3" t="n">
        <v>114.89</v>
      </c>
      <c r="G3351" s="3">
        <f>F3351-E3351</f>
        <v/>
      </c>
      <c r="H3351" s="4">
        <f>IF(E3351=0,"",F3351/E3351-1)</f>
        <v/>
      </c>
      <c r="I3351" t="inlineStr"/>
    </row>
    <row r="3352">
      <c r="A3352" t="inlineStr">
        <is>
          <t>Textiles &amp; apparel</t>
        </is>
      </c>
      <c r="B3352" t="inlineStr">
        <is>
          <t>56</t>
        </is>
      </c>
      <c r="C3352" t="inlineStr">
        <is>
          <t>56081110</t>
        </is>
      </c>
      <c r="D3352" t="inlineStr">
        <is>
          <t>MADE UP FISHING NETS OF NYLON</t>
        </is>
      </c>
      <c r="E3352" s="3" t="n">
        <v>64.15000000000001</v>
      </c>
      <c r="F3352" s="3" t="n">
        <v>78.5</v>
      </c>
      <c r="G3352" s="3">
        <f>F3352-E3352</f>
        <v/>
      </c>
      <c r="H3352" s="4">
        <f>IF(E3352=0,"",F3352/E3352-1)</f>
        <v/>
      </c>
      <c r="I3352" t="inlineStr"/>
    </row>
    <row r="3353">
      <c r="A3353" t="inlineStr">
        <is>
          <t>Textiles &amp; apparel</t>
        </is>
      </c>
      <c r="B3353" t="inlineStr">
        <is>
          <t>63</t>
        </is>
      </c>
      <c r="C3353" t="inlineStr">
        <is>
          <t>63053200</t>
        </is>
      </c>
      <c r="D3353" t="inlineStr">
        <is>
          <t>FLEXIBLE INTERMEDIATE BULK CONTAINERS OF MAN MADE TEXTILE MATERIALS</t>
        </is>
      </c>
      <c r="E3353" s="3" t="n">
        <v>49.05</v>
      </c>
      <c r="F3353" s="3" t="n">
        <v>48.65</v>
      </c>
      <c r="G3353" s="3">
        <f>F3353-E3353</f>
        <v/>
      </c>
      <c r="H3353" s="4">
        <f>IF(E3353=0,"",F3353/E3353-1)</f>
        <v/>
      </c>
      <c r="I3353" t="inlineStr"/>
    </row>
    <row r="3354">
      <c r="A3354" t="inlineStr">
        <is>
          <t>Textiles &amp; apparel</t>
        </is>
      </c>
      <c r="B3354" t="inlineStr">
        <is>
          <t>62</t>
        </is>
      </c>
      <c r="C3354" t="inlineStr">
        <is>
          <t>62034990</t>
        </is>
      </c>
      <c r="D3354" t="inlineStr">
        <is>
          <t>TROUSERS,BREECHES AND LIKE OF OTHER FIBRES</t>
        </is>
      </c>
      <c r="E3354" s="3" t="n">
        <v>34.29</v>
      </c>
      <c r="F3354" s="3" t="n">
        <v>43.72</v>
      </c>
      <c r="G3354" s="3">
        <f>F3354-E3354</f>
        <v/>
      </c>
      <c r="H3354" s="4">
        <f>IF(E3354=0,"",F3354/E3354-1)</f>
        <v/>
      </c>
      <c r="I3354" t="inlineStr"/>
    </row>
    <row r="3355">
      <c r="A3355" t="inlineStr">
        <is>
          <t>Textiles &amp; apparel</t>
        </is>
      </c>
      <c r="B3355" t="inlineStr">
        <is>
          <t>62</t>
        </is>
      </c>
      <c r="C3355" t="inlineStr">
        <is>
          <t>62052090</t>
        </is>
      </c>
      <c r="D3355" t="inlineStr">
        <is>
          <t>OF COTTON: OTHER</t>
        </is>
      </c>
      <c r="E3355" s="3" t="n">
        <v>27.92</v>
      </c>
      <c r="F3355" s="3" t="n">
        <v>37.08</v>
      </c>
      <c r="G3355" s="3">
        <f>F3355-E3355</f>
        <v/>
      </c>
      <c r="H3355" s="4">
        <f>IF(E3355=0,"",F3355/E3355-1)</f>
        <v/>
      </c>
      <c r="I3355" t="inlineStr"/>
    </row>
    <row r="3356">
      <c r="A3356" t="inlineStr">
        <is>
          <t>Textiles &amp; apparel</t>
        </is>
      </c>
      <c r="B3356" t="inlineStr">
        <is>
          <t>62</t>
        </is>
      </c>
      <c r="C3356" t="inlineStr">
        <is>
          <t>62034290</t>
        </is>
      </c>
      <c r="D3356" t="inlineStr">
        <is>
          <t>OF COTTON: OTHER</t>
        </is>
      </c>
      <c r="E3356" s="3" t="n">
        <v>46.9</v>
      </c>
      <c r="F3356" s="3" t="n">
        <v>34.12</v>
      </c>
      <c r="G3356" s="3">
        <f>F3356-E3356</f>
        <v/>
      </c>
      <c r="H3356" s="4">
        <f>IF(E3356=0,"",F3356/E3356-1)</f>
        <v/>
      </c>
      <c r="I3356" t="inlineStr"/>
    </row>
    <row r="3357">
      <c r="A3357" t="inlineStr">
        <is>
          <t>Textiles &amp; apparel</t>
        </is>
      </c>
      <c r="B3357" t="inlineStr">
        <is>
          <t>61</t>
        </is>
      </c>
      <c r="C3357" t="inlineStr">
        <is>
          <t>61091000</t>
        </is>
      </c>
      <c r="D3357" t="inlineStr">
        <is>
          <t>T-SHIRTS ETC OF COTTON</t>
        </is>
      </c>
      <c r="E3357" s="3" t="n">
        <v>32.65</v>
      </c>
      <c r="F3357" s="3" t="n">
        <v>28.45</v>
      </c>
      <c r="G3357" s="3">
        <f>F3357-E3357</f>
        <v/>
      </c>
      <c r="H3357" s="4">
        <f>IF(E3357=0,"",F3357/E3357-1)</f>
        <v/>
      </c>
      <c r="I3357" t="inlineStr"/>
    </row>
    <row r="3358">
      <c r="A3358" t="inlineStr">
        <is>
          <t>Textiles &amp; apparel</t>
        </is>
      </c>
      <c r="B3358" t="inlineStr">
        <is>
          <t>61</t>
        </is>
      </c>
      <c r="C3358" t="inlineStr">
        <is>
          <t>61119090</t>
        </is>
      </c>
      <c r="D3358" t="inlineStr">
        <is>
          <t>BABIES GRMNTS ETC OF WOOL/FINE ANIML HAIR</t>
        </is>
      </c>
      <c r="E3358" s="3" t="n">
        <v>21.58</v>
      </c>
      <c r="F3358" s="3" t="n">
        <v>23.25</v>
      </c>
      <c r="G3358" s="3">
        <f>F3358-E3358</f>
        <v/>
      </c>
      <c r="H3358" s="4">
        <f>IF(E3358=0,"",F3358/E3358-1)</f>
        <v/>
      </c>
      <c r="I3358" t="inlineStr"/>
    </row>
    <row r="3359">
      <c r="A3359" t="inlineStr">
        <is>
          <t>Textiles &amp; apparel</t>
        </is>
      </c>
      <c r="B3359" t="inlineStr">
        <is>
          <t>61</t>
        </is>
      </c>
      <c r="C3359" t="inlineStr">
        <is>
          <t>61033990</t>
        </is>
      </c>
      <c r="D3359" t="inlineStr">
        <is>
          <t>JACKETS AND BLAZERS OF OTHER FIBRES</t>
        </is>
      </c>
      <c r="E3359" s="3" t="n">
        <v>0.42</v>
      </c>
      <c r="F3359" s="3" t="n">
        <v>18.84</v>
      </c>
      <c r="G3359" s="3">
        <f>F3359-E3359</f>
        <v/>
      </c>
      <c r="H3359" s="4">
        <f>IF(E3359=0,"",F3359/E3359-1)</f>
        <v/>
      </c>
      <c r="I3359" t="inlineStr"/>
    </row>
    <row r="3360">
      <c r="A3360" t="inlineStr">
        <is>
          <t>Textiles &amp; apparel</t>
        </is>
      </c>
      <c r="B3360" t="inlineStr">
        <is>
          <t>56</t>
        </is>
      </c>
      <c r="C3360" t="inlineStr">
        <is>
          <t>56074900</t>
        </is>
      </c>
      <c r="D3360" t="inlineStr">
        <is>
          <t>OTHR CORDGE ETC OF POLYETHLN/POLYPROPYLN</t>
        </is>
      </c>
      <c r="E3360" s="3" t="n">
        <v>17.64</v>
      </c>
      <c r="F3360" s="3" t="n">
        <v>16.5</v>
      </c>
      <c r="G3360" s="3">
        <f>F3360-E3360</f>
        <v/>
      </c>
      <c r="H3360" s="4">
        <f>IF(E3360=0,"",F3360/E3360-1)</f>
        <v/>
      </c>
      <c r="I3360" t="inlineStr"/>
    </row>
    <row r="3361">
      <c r="A3361" t="inlineStr">
        <is>
          <t>Textiles &amp; apparel</t>
        </is>
      </c>
      <c r="B3361" t="inlineStr">
        <is>
          <t>55</t>
        </is>
      </c>
      <c r="C3361" t="inlineStr">
        <is>
          <t>55151130</t>
        </is>
      </c>
      <c r="D3361" t="inlineStr">
        <is>
          <t>FBRC OF POLSTR,MXD WTH VISCOS RYON,DYED</t>
        </is>
      </c>
      <c r="E3361" s="3" t="n">
        <v>20.34</v>
      </c>
      <c r="F3361" s="3" t="n">
        <v>15.38</v>
      </c>
      <c r="G3361" s="3">
        <f>F3361-E3361</f>
        <v/>
      </c>
      <c r="H3361" s="4">
        <f>IF(E3361=0,"",F3361/E3361-1)</f>
        <v/>
      </c>
      <c r="I3361" t="inlineStr"/>
    </row>
    <row r="3362">
      <c r="A3362" t="inlineStr">
        <is>
          <t>Textiles &amp; apparel</t>
        </is>
      </c>
      <c r="B3362" t="inlineStr">
        <is>
          <t>61</t>
        </is>
      </c>
      <c r="C3362" t="inlineStr">
        <is>
          <t>61079110</t>
        </is>
      </c>
      <c r="D3362" t="inlineStr">
        <is>
          <t>GENGIS (VESTS),OTHR THAN HAND CROCHETED, COTTON</t>
        </is>
      </c>
      <c r="E3362" s="3" t="n">
        <v>15.66</v>
      </c>
      <c r="F3362" s="3" t="n">
        <v>14.87</v>
      </c>
      <c r="G3362" s="3">
        <f>F3362-E3362</f>
        <v/>
      </c>
      <c r="H3362" s="4">
        <f>IF(E3362=0,"",F3362/E3362-1)</f>
        <v/>
      </c>
      <c r="I3362" t="inlineStr"/>
    </row>
    <row r="3363">
      <c r="A3363" t="inlineStr">
        <is>
          <t>Textiles &amp; apparel</t>
        </is>
      </c>
      <c r="B3363" t="inlineStr">
        <is>
          <t>61</t>
        </is>
      </c>
      <c r="C3363" t="inlineStr">
        <is>
          <t>61099090</t>
        </is>
      </c>
      <c r="D3363" t="inlineStr">
        <is>
          <t>T-SHIRT ETC OF OTHR FIBRES</t>
        </is>
      </c>
      <c r="E3363" s="3" t="n">
        <v>14.88</v>
      </c>
      <c r="F3363" s="3" t="n">
        <v>14.05</v>
      </c>
      <c r="G3363" s="3">
        <f>F3363-E3363</f>
        <v/>
      </c>
      <c r="H3363" s="4">
        <f>IF(E3363=0,"",F3363/E3363-1)</f>
        <v/>
      </c>
      <c r="I3363" t="inlineStr"/>
    </row>
    <row r="3364">
      <c r="A3364" t="inlineStr">
        <is>
          <t>Textiles &amp; apparel</t>
        </is>
      </c>
      <c r="B3364" t="inlineStr">
        <is>
          <t>62</t>
        </is>
      </c>
      <c r="C3364" t="inlineStr">
        <is>
          <t>62113200</t>
        </is>
      </c>
      <c r="D3364" t="inlineStr">
        <is>
          <t>OTHR GRMNTS OF CTN FOR MENS OR BOYS</t>
        </is>
      </c>
      <c r="E3364" s="3" t="n">
        <v>12.84</v>
      </c>
      <c r="F3364" s="3" t="n">
        <v>12.67</v>
      </c>
      <c r="G3364" s="3">
        <f>F3364-E3364</f>
        <v/>
      </c>
      <c r="H3364" s="4">
        <f>IF(E3364=0,"",F3364/E3364-1)</f>
        <v/>
      </c>
      <c r="I3364" t="inlineStr"/>
    </row>
    <row r="3365">
      <c r="A3365" t="inlineStr">
        <is>
          <t>Textiles &amp; apparel</t>
        </is>
      </c>
      <c r="B3365" t="inlineStr">
        <is>
          <t>54</t>
        </is>
      </c>
      <c r="C3365" t="inlineStr">
        <is>
          <t>54075490</t>
        </is>
      </c>
      <c r="D3365" t="inlineStr">
        <is>
          <t>OTHERS-OF-WOVN FABRCS,PRINTED,CNTNG BY WT&gt;=85%TEXTURED POLYESTER FILAMENTS</t>
        </is>
      </c>
      <c r="E3365" s="3" t="n">
        <v>18.55</v>
      </c>
      <c r="F3365" s="3" t="n">
        <v>11.49</v>
      </c>
      <c r="G3365" s="3">
        <f>F3365-E3365</f>
        <v/>
      </c>
      <c r="H3365" s="4">
        <f>IF(E3365=0,"",F3365/E3365-1)</f>
        <v/>
      </c>
      <c r="I3365" t="inlineStr"/>
    </row>
    <row r="3366">
      <c r="A3366" t="inlineStr">
        <is>
          <t>Textiles &amp; apparel</t>
        </is>
      </c>
      <c r="B3366" t="inlineStr">
        <is>
          <t>63</t>
        </is>
      </c>
      <c r="C3366" t="inlineStr">
        <is>
          <t>63079019</t>
        </is>
      </c>
      <c r="D3366" t="inlineStr">
        <is>
          <t>DRESS MATERIALS,N.E.S.</t>
        </is>
      </c>
      <c r="E3366" s="3" t="n">
        <v>2.2</v>
      </c>
      <c r="F3366" s="3" t="n">
        <v>11.04</v>
      </c>
      <c r="G3366" s="3">
        <f>F3366-E3366</f>
        <v/>
      </c>
      <c r="H3366" s="4">
        <f>IF(E3366=0,"",F3366/E3366-1)</f>
        <v/>
      </c>
      <c r="I3366" t="inlineStr"/>
    </row>
    <row r="3367">
      <c r="A3367" t="inlineStr">
        <is>
          <t>Textiles &amp; apparel</t>
        </is>
      </c>
      <c r="B3367" t="inlineStr">
        <is>
          <t>61</t>
        </is>
      </c>
      <c r="C3367" t="inlineStr">
        <is>
          <t>61044990</t>
        </is>
      </c>
      <c r="D3367" t="inlineStr">
        <is>
          <t>DRESSES OF OTHER FIBRES</t>
        </is>
      </c>
      <c r="E3367" s="3" t="n">
        <v>1.06</v>
      </c>
      <c r="F3367" s="3" t="n">
        <v>10.99</v>
      </c>
      <c r="G3367" s="3">
        <f>F3367-E3367</f>
        <v/>
      </c>
      <c r="H3367" s="4">
        <f>IF(E3367=0,"",F3367/E3367-1)</f>
        <v/>
      </c>
      <c r="I3367" t="inlineStr"/>
    </row>
    <row r="3368">
      <c r="A3368" t="inlineStr">
        <is>
          <t>Textiles &amp; apparel</t>
        </is>
      </c>
      <c r="B3368" t="inlineStr">
        <is>
          <t>62</t>
        </is>
      </c>
      <c r="C3368" t="inlineStr">
        <is>
          <t>62114390</t>
        </is>
      </c>
      <c r="D3368" t="inlineStr">
        <is>
          <t>OTHER GARMENTS OF MAN-MADE FIBRES - OTHER</t>
        </is>
      </c>
      <c r="E3368" s="3" t="n">
        <v>10.39</v>
      </c>
      <c r="F3368" s="3" t="n">
        <v>10.89</v>
      </c>
      <c r="G3368" s="3">
        <f>F3368-E3368</f>
        <v/>
      </c>
      <c r="H3368" s="4">
        <f>IF(E3368=0,"",F3368/E3368-1)</f>
        <v/>
      </c>
      <c r="I3368" t="inlineStr"/>
    </row>
    <row r="3369">
      <c r="A3369" t="inlineStr">
        <is>
          <t>Textiles &amp; apparel</t>
        </is>
      </c>
      <c r="B3369" t="inlineStr">
        <is>
          <t>62</t>
        </is>
      </c>
      <c r="C3369" t="inlineStr">
        <is>
          <t>62059090</t>
        </is>
      </c>
      <c r="D3369" t="inlineStr">
        <is>
          <t>SHIRTS OF OTHER FIBRES</t>
        </is>
      </c>
      <c r="E3369" s="3" t="n">
        <v>10.45</v>
      </c>
      <c r="F3369" s="3" t="n">
        <v>9.66</v>
      </c>
      <c r="G3369" s="3">
        <f>F3369-E3369</f>
        <v/>
      </c>
      <c r="H3369" s="4">
        <f>IF(E3369=0,"",F3369/E3369-1)</f>
        <v/>
      </c>
      <c r="I3369" t="inlineStr"/>
    </row>
    <row r="3370">
      <c r="A3370" t="inlineStr">
        <is>
          <t>Textiles &amp; apparel</t>
        </is>
      </c>
      <c r="B3370" t="inlineStr">
        <is>
          <t>61</t>
        </is>
      </c>
      <c r="C3370" t="inlineStr">
        <is>
          <t>61034990</t>
        </is>
      </c>
      <c r="D3370" t="inlineStr">
        <is>
          <t>TROUSERS,BIB,SHORTS ETC OF OTHER FIBRES</t>
        </is>
      </c>
      <c r="E3370" s="3" t="n">
        <v>17.82</v>
      </c>
      <c r="F3370" s="3" t="n">
        <v>9.43</v>
      </c>
      <c r="G3370" s="3">
        <f>F3370-E3370</f>
        <v/>
      </c>
      <c r="H3370" s="4">
        <f>IF(E3370=0,"",F3370/E3370-1)</f>
        <v/>
      </c>
      <c r="I3370" t="inlineStr"/>
    </row>
    <row r="3371">
      <c r="A3371" t="inlineStr">
        <is>
          <t>Textiles &amp; apparel</t>
        </is>
      </c>
      <c r="B3371" t="inlineStr">
        <is>
          <t>62</t>
        </is>
      </c>
      <c r="C3371" t="inlineStr">
        <is>
          <t>62044999</t>
        </is>
      </c>
      <c r="D3371" t="inlineStr">
        <is>
          <t>OTHR DRESSES OF OTHR TXTL MATERIALS OTHR THAN SILK - OTHER</t>
        </is>
      </c>
      <c r="E3371" s="3" t="n">
        <v>5.09</v>
      </c>
      <c r="F3371" s="3" t="n">
        <v>9.1</v>
      </c>
      <c r="G3371" s="3">
        <f>F3371-E3371</f>
        <v/>
      </c>
      <c r="H3371" s="4">
        <f>IF(E3371=0,"",F3371/E3371-1)</f>
        <v/>
      </c>
      <c r="I3371" t="inlineStr"/>
    </row>
    <row r="3372">
      <c r="A3372" t="inlineStr">
        <is>
          <t>Textiles &amp; apparel</t>
        </is>
      </c>
      <c r="B3372" t="inlineStr">
        <is>
          <t>62</t>
        </is>
      </c>
      <c r="C3372" t="inlineStr">
        <is>
          <t>62053090</t>
        </is>
      </c>
      <c r="D3372" t="inlineStr">
        <is>
          <t>MENS OR BOYS SHIRTS OF MAN-MADE FIBRES - OTHER</t>
        </is>
      </c>
      <c r="E3372" s="3" t="n">
        <v>7.07</v>
      </c>
      <c r="F3372" s="3" t="n">
        <v>7.7</v>
      </c>
      <c r="G3372" s="3">
        <f>F3372-E3372</f>
        <v/>
      </c>
      <c r="H3372" s="4">
        <f>IF(E3372=0,"",F3372/E3372-1)</f>
        <v/>
      </c>
      <c r="I3372" t="inlineStr"/>
    </row>
    <row r="3373">
      <c r="A3373" t="inlineStr">
        <is>
          <t>Textiles &amp; apparel</t>
        </is>
      </c>
      <c r="B3373" t="inlineStr">
        <is>
          <t>61</t>
        </is>
      </c>
      <c r="C3373" t="inlineStr">
        <is>
          <t>61071100</t>
        </is>
      </c>
      <c r="D3373" t="inlineStr">
        <is>
          <t>UNDERPANTS AND BRIEFS OF COTTON</t>
        </is>
      </c>
      <c r="E3373" s="3" t="n">
        <v>7.36</v>
      </c>
      <c r="F3373" s="3" t="n">
        <v>7.02</v>
      </c>
      <c r="G3373" s="3">
        <f>F3373-E3373</f>
        <v/>
      </c>
      <c r="H3373" s="4">
        <f>IF(E3373=0,"",F3373/E3373-1)</f>
        <v/>
      </c>
      <c r="I3373" t="inlineStr"/>
    </row>
    <row r="3374">
      <c r="A3374" t="inlineStr">
        <is>
          <t>Textiles &amp; apparel</t>
        </is>
      </c>
      <c r="B3374" t="inlineStr">
        <is>
          <t>52</t>
        </is>
      </c>
      <c r="C3374" t="inlineStr">
        <is>
          <t>52085190</t>
        </is>
      </c>
      <c r="D3374" t="inlineStr">
        <is>
          <t>Others of Plain weave, weighing not more than 100 g/m2</t>
        </is>
      </c>
      <c r="E3374" s="3" t="n">
        <v>1.66</v>
      </c>
      <c r="F3374" s="3" t="n">
        <v>6.79</v>
      </c>
      <c r="G3374" s="3">
        <f>F3374-E3374</f>
        <v/>
      </c>
      <c r="H3374" s="4">
        <f>IF(E3374=0,"",F3374/E3374-1)</f>
        <v/>
      </c>
      <c r="I3374" t="inlineStr"/>
    </row>
    <row r="3375">
      <c r="A3375" t="inlineStr">
        <is>
          <t>Textiles &amp; apparel</t>
        </is>
      </c>
      <c r="B3375" t="inlineStr">
        <is>
          <t>56</t>
        </is>
      </c>
      <c r="C3375" t="inlineStr">
        <is>
          <t>56031300</t>
        </is>
      </c>
      <c r="D3375" t="inlineStr">
        <is>
          <t>MAN-MADE FILMNT WGHNG BETWN 70G/SQM AND 150G/SQM</t>
        </is>
      </c>
      <c r="E3375" s="3" t="n">
        <v>6.35</v>
      </c>
      <c r="F3375" s="3" t="n">
        <v>6.56</v>
      </c>
      <c r="G3375" s="3">
        <f>F3375-E3375</f>
        <v/>
      </c>
      <c r="H3375" s="4">
        <f>IF(E3375=0,"",F3375/E3375-1)</f>
        <v/>
      </c>
      <c r="I3375" t="inlineStr"/>
    </row>
    <row r="3376">
      <c r="A3376" t="inlineStr">
        <is>
          <t>Textiles &amp; apparel</t>
        </is>
      </c>
      <c r="B3376" t="inlineStr">
        <is>
          <t>53</t>
        </is>
      </c>
      <c r="C3376" t="inlineStr">
        <is>
          <t>53101013</t>
        </is>
      </c>
      <c r="D3376" t="inlineStr">
        <is>
          <t>HESSIAN CLOTH CNTNG 100% BY WT OF JUTE.</t>
        </is>
      </c>
      <c r="E3376" s="3" t="n">
        <v>5.68</v>
      </c>
      <c r="F3376" s="3" t="n">
        <v>5.92</v>
      </c>
      <c r="G3376" s="3">
        <f>F3376-E3376</f>
        <v/>
      </c>
      <c r="H3376" s="4">
        <f>IF(E3376=0,"",F3376/E3376-1)</f>
        <v/>
      </c>
      <c r="I3376" t="inlineStr"/>
    </row>
    <row r="3377">
      <c r="A3377" t="inlineStr">
        <is>
          <t>Textiles &amp; apparel</t>
        </is>
      </c>
      <c r="B3377" t="inlineStr">
        <is>
          <t>61</t>
        </is>
      </c>
      <c r="C3377" t="inlineStr">
        <is>
          <t>61112000</t>
        </is>
      </c>
      <c r="D3377" t="inlineStr">
        <is>
          <t>BABIES GARMENTS ETC OF COTTON</t>
        </is>
      </c>
      <c r="E3377" s="3" t="n">
        <v>6.6</v>
      </c>
      <c r="F3377" s="3" t="n">
        <v>5.87</v>
      </c>
      <c r="G3377" s="3">
        <f>F3377-E3377</f>
        <v/>
      </c>
      <c r="H3377" s="4">
        <f>IF(E3377=0,"",F3377/E3377-1)</f>
        <v/>
      </c>
      <c r="I3377" t="inlineStr"/>
    </row>
    <row r="3378">
      <c r="A3378" t="inlineStr">
        <is>
          <t>Textiles &amp; apparel</t>
        </is>
      </c>
      <c r="B3378" t="inlineStr">
        <is>
          <t>62</t>
        </is>
      </c>
      <c r="C3378" t="inlineStr">
        <is>
          <t>62099090</t>
        </is>
      </c>
      <c r="D3378" t="inlineStr">
        <is>
          <t>BABIES GARMENTS AND CLOTHING ACCESSORIES OF WOOL OR FINE ANIMAL HAIR</t>
        </is>
      </c>
      <c r="E3378" s="3" t="n">
        <v>4.53</v>
      </c>
      <c r="F3378" s="3" t="n">
        <v>5.87</v>
      </c>
      <c r="G3378" s="3">
        <f>F3378-E3378</f>
        <v/>
      </c>
      <c r="H3378" s="4">
        <f>IF(E3378=0,"",F3378/E3378-1)</f>
        <v/>
      </c>
      <c r="I3378" t="inlineStr"/>
    </row>
    <row r="3379">
      <c r="A3379" t="inlineStr">
        <is>
          <t>Textiles &amp; apparel</t>
        </is>
      </c>
      <c r="B3379" t="inlineStr">
        <is>
          <t>62</t>
        </is>
      </c>
      <c r="C3379" t="inlineStr">
        <is>
          <t>62143090</t>
        </is>
      </c>
      <c r="D3379" t="inlineStr">
        <is>
          <t>SHWLS,SCRVS,MUFFLERS ETC OF SYNTHTC FBRS-OTHER</t>
        </is>
      </c>
      <c r="E3379" s="3" t="n">
        <v>3.14</v>
      </c>
      <c r="F3379" s="3" t="n">
        <v>5.77</v>
      </c>
      <c r="G3379" s="3">
        <f>F3379-E3379</f>
        <v/>
      </c>
      <c r="H3379" s="4">
        <f>IF(E3379=0,"",F3379/E3379-1)</f>
        <v/>
      </c>
      <c r="I3379" t="inlineStr"/>
    </row>
    <row r="3380">
      <c r="A3380" t="inlineStr">
        <is>
          <t>Textiles &amp; apparel</t>
        </is>
      </c>
      <c r="B3380" t="inlineStr">
        <is>
          <t>63</t>
        </is>
      </c>
      <c r="C3380" t="inlineStr">
        <is>
          <t>63079020</t>
        </is>
      </c>
      <c r="D3380" t="inlineStr">
        <is>
          <t>MADE UP ARTCLS OF COTTON</t>
        </is>
      </c>
      <c r="E3380" s="3" t="n">
        <v>6.94</v>
      </c>
      <c r="F3380" s="3" t="n">
        <v>5.72</v>
      </c>
      <c r="G3380" s="3">
        <f>F3380-E3380</f>
        <v/>
      </c>
      <c r="H3380" s="4">
        <f>IF(E3380=0,"",F3380/E3380-1)</f>
        <v/>
      </c>
      <c r="I3380" t="inlineStr"/>
    </row>
    <row r="3381">
      <c r="A3381" t="inlineStr">
        <is>
          <t>Textiles &amp; apparel</t>
        </is>
      </c>
      <c r="B3381" t="inlineStr">
        <is>
          <t>59</t>
        </is>
      </c>
      <c r="C3381" t="inlineStr">
        <is>
          <t>59031090</t>
        </is>
      </c>
      <c r="D3381" t="inlineStr">
        <is>
          <t>OTHR FABRC IMPRGNTD, LAMNTD PLTD AND COATED WITH PVC</t>
        </is>
      </c>
      <c r="E3381" s="3" t="n">
        <v>5.17</v>
      </c>
      <c r="F3381" s="3" t="n">
        <v>5.32</v>
      </c>
      <c r="G3381" s="3">
        <f>F3381-E3381</f>
        <v/>
      </c>
      <c r="H3381" s="4">
        <f>IF(E3381=0,"",F3381/E3381-1)</f>
        <v/>
      </c>
      <c r="I3381" t="inlineStr"/>
    </row>
    <row r="3382">
      <c r="A3382" t="inlineStr">
        <is>
          <t>Textiles &amp; apparel</t>
        </is>
      </c>
      <c r="B3382" t="inlineStr">
        <is>
          <t>62</t>
        </is>
      </c>
      <c r="C3382" t="inlineStr">
        <is>
          <t>62041390</t>
        </is>
      </c>
      <c r="D3382" t="inlineStr">
        <is>
          <t>SUITS OF SYNTHETIC FIBRES-OTHERS</t>
        </is>
      </c>
      <c r="E3382" s="3" t="n">
        <v>0.41</v>
      </c>
      <c r="F3382" s="3" t="n">
        <v>4.88</v>
      </c>
      <c r="G3382" s="3">
        <f>F3382-E3382</f>
        <v/>
      </c>
      <c r="H3382" s="4">
        <f>IF(E3382=0,"",F3382/E3382-1)</f>
        <v/>
      </c>
      <c r="I3382" t="inlineStr"/>
    </row>
    <row r="3383">
      <c r="A3383" t="inlineStr">
        <is>
          <t>Textiles &amp; apparel</t>
        </is>
      </c>
      <c r="B3383" t="inlineStr">
        <is>
          <t>61</t>
        </is>
      </c>
      <c r="C3383" t="inlineStr">
        <is>
          <t>61032990</t>
        </is>
      </c>
      <c r="D3383" t="inlineStr">
        <is>
          <t>ENSEMBLES OF WOOL OR FINE ANIMAL HAIR</t>
        </is>
      </c>
      <c r="E3383" s="3" t="n">
        <v>0.13</v>
      </c>
      <c r="F3383" s="3" t="n">
        <v>4.61</v>
      </c>
      <c r="G3383" s="3">
        <f>F3383-E3383</f>
        <v/>
      </c>
      <c r="H3383" s="4">
        <f>IF(E3383=0,"",F3383/E3383-1)</f>
        <v/>
      </c>
      <c r="I3383" t="inlineStr"/>
    </row>
    <row r="3384">
      <c r="A3384" t="inlineStr">
        <is>
          <t>Textiles &amp; apparel</t>
        </is>
      </c>
      <c r="B3384" t="inlineStr">
        <is>
          <t>62</t>
        </is>
      </c>
      <c r="C3384" t="inlineStr">
        <is>
          <t>62031910</t>
        </is>
      </c>
      <c r="D3384" t="inlineStr">
        <is>
          <t>SUITS OF COTTON</t>
        </is>
      </c>
      <c r="E3384" s="3" t="n">
        <v>2.57</v>
      </c>
      <c r="F3384" s="3" t="n">
        <v>4.4</v>
      </c>
      <c r="G3384" s="3">
        <f>F3384-E3384</f>
        <v/>
      </c>
      <c r="H3384" s="4">
        <f>IF(E3384=0,"",F3384/E3384-1)</f>
        <v/>
      </c>
      <c r="I3384" t="inlineStr"/>
    </row>
    <row r="3385">
      <c r="A3385" t="inlineStr">
        <is>
          <t>Textiles &amp; apparel</t>
        </is>
      </c>
      <c r="B3385" t="inlineStr">
        <is>
          <t>62</t>
        </is>
      </c>
      <c r="C3385" t="inlineStr">
        <is>
          <t>62149099</t>
        </is>
      </c>
      <c r="D3385" t="inlineStr">
        <is>
          <t>SHAWLS,SCARVES,ETC OF OTHR TXTL FIBRES-OTHER</t>
        </is>
      </c>
      <c r="E3385" s="3" t="n">
        <v>2.23</v>
      </c>
      <c r="F3385" s="3" t="n">
        <v>4.31</v>
      </c>
      <c r="G3385" s="3">
        <f>F3385-E3385</f>
        <v/>
      </c>
      <c r="H3385" s="4">
        <f>IF(E3385=0,"",F3385/E3385-1)</f>
        <v/>
      </c>
      <c r="I3385" t="inlineStr"/>
    </row>
    <row r="3386">
      <c r="A3386" t="inlineStr">
        <is>
          <t>Textiles &amp; apparel</t>
        </is>
      </c>
      <c r="B3386" t="inlineStr">
        <is>
          <t>62</t>
        </is>
      </c>
      <c r="C3386" t="inlineStr">
        <is>
          <t>62031990</t>
        </is>
      </c>
      <c r="D3386" t="inlineStr">
        <is>
          <t>SUITS OF OTHR TXTL MATERIALS</t>
        </is>
      </c>
      <c r="E3386" s="3" t="n">
        <v>4.91</v>
      </c>
      <c r="F3386" s="3" t="n">
        <v>4.06</v>
      </c>
      <c r="G3386" s="3">
        <f>F3386-E3386</f>
        <v/>
      </c>
      <c r="H3386" s="4">
        <f>IF(E3386=0,"",F3386/E3386-1)</f>
        <v/>
      </c>
      <c r="I3386" t="inlineStr"/>
    </row>
    <row r="3387">
      <c r="A3387" t="inlineStr">
        <is>
          <t>Textiles &amp; apparel</t>
        </is>
      </c>
      <c r="B3387" t="inlineStr">
        <is>
          <t>60</t>
        </is>
      </c>
      <c r="C3387" t="inlineStr">
        <is>
          <t>60059000</t>
        </is>
      </c>
      <c r="D3387" t="inlineStr">
        <is>
          <t>WARP KNIT FBRCS OF WOOL OR FINE ANIML HAIR</t>
        </is>
      </c>
      <c r="E3387" s="3" t="n">
        <v>3</v>
      </c>
      <c r="F3387" s="3" t="n">
        <v>4.04</v>
      </c>
      <c r="G3387" s="3">
        <f>F3387-E3387</f>
        <v/>
      </c>
      <c r="H3387" s="4">
        <f>IF(E3387=0,"",F3387/E3387-1)</f>
        <v/>
      </c>
      <c r="I3387" t="inlineStr"/>
    </row>
    <row r="3388">
      <c r="A3388" t="inlineStr">
        <is>
          <t>Textiles &amp; apparel</t>
        </is>
      </c>
      <c r="B3388" t="inlineStr">
        <is>
          <t>61</t>
        </is>
      </c>
      <c r="C3388" t="inlineStr">
        <is>
          <t>61099010</t>
        </is>
      </c>
      <c r="D3388" t="inlineStr">
        <is>
          <t>T-SHIRT ETC OF SYN FIBRES</t>
        </is>
      </c>
      <c r="E3388" s="3" t="n">
        <v>3.85</v>
      </c>
      <c r="F3388" s="3" t="n">
        <v>3.9</v>
      </c>
      <c r="G3388" s="3">
        <f>F3388-E3388</f>
        <v/>
      </c>
      <c r="H3388" s="4">
        <f>IF(E3388=0,"",F3388/E3388-1)</f>
        <v/>
      </c>
      <c r="I3388" t="inlineStr"/>
    </row>
    <row r="3389">
      <c r="A3389" t="inlineStr">
        <is>
          <t>Textiles &amp; apparel</t>
        </is>
      </c>
      <c r="B3389" t="inlineStr">
        <is>
          <t>63</t>
        </is>
      </c>
      <c r="C3389" t="inlineStr">
        <is>
          <t>63026090</t>
        </is>
      </c>
      <c r="D3389" t="inlineStr">
        <is>
          <t>TOILET LINEN AND KITCHEN LINEN, OF TERRY TOWELLING OR SIMILAR TERRY FABRICS, OF COTTON, OTHER THAN HANDLOOM</t>
        </is>
      </c>
      <c r="E3389" s="3" t="n">
        <v>1.25</v>
      </c>
      <c r="F3389" s="3" t="n">
        <v>3.77</v>
      </c>
      <c r="G3389" s="3">
        <f>F3389-E3389</f>
        <v/>
      </c>
      <c r="H3389" s="4">
        <f>IF(E3389=0,"",F3389/E3389-1)</f>
        <v/>
      </c>
      <c r="I3389" t="inlineStr"/>
    </row>
    <row r="3390">
      <c r="A3390" t="inlineStr">
        <is>
          <t>Textiles &amp; apparel</t>
        </is>
      </c>
      <c r="B3390" t="inlineStr">
        <is>
          <t>62</t>
        </is>
      </c>
      <c r="C3390" t="inlineStr">
        <is>
          <t>62114299</t>
        </is>
      </c>
      <c r="D3390" t="inlineStr">
        <is>
          <t>COTN GRMNTS OTHR THN KURTA AND SALWAR WTH/WITHOUT DUPPATTA - OTHER</t>
        </is>
      </c>
      <c r="E3390" s="3" t="n">
        <v>2.7</v>
      </c>
      <c r="F3390" s="3" t="n">
        <v>3.71</v>
      </c>
      <c r="G3390" s="3">
        <f>F3390-E3390</f>
        <v/>
      </c>
      <c r="H3390" s="4">
        <f>IF(E3390=0,"",F3390/E3390-1)</f>
        <v/>
      </c>
      <c r="I3390" t="inlineStr"/>
    </row>
    <row r="3391">
      <c r="A3391" t="inlineStr">
        <is>
          <t>Textiles &amp; apparel</t>
        </is>
      </c>
      <c r="B3391" t="inlineStr">
        <is>
          <t>52</t>
        </is>
      </c>
      <c r="C3391" t="inlineStr">
        <is>
          <t>52082210</t>
        </is>
      </c>
      <c r="D3391" t="inlineStr">
        <is>
          <t>DHOTI</t>
        </is>
      </c>
      <c r="E3391" s="3" t="n">
        <v>3.37</v>
      </c>
      <c r="F3391" s="3" t="n">
        <v>3.69</v>
      </c>
      <c r="G3391" s="3">
        <f>F3391-E3391</f>
        <v/>
      </c>
      <c r="H3391" s="4">
        <f>IF(E3391=0,"",F3391/E3391-1)</f>
        <v/>
      </c>
      <c r="I3391" t="inlineStr"/>
    </row>
    <row r="3392">
      <c r="A3392" t="inlineStr">
        <is>
          <t>Textiles &amp; apparel</t>
        </is>
      </c>
      <c r="B3392" t="inlineStr">
        <is>
          <t>61</t>
        </is>
      </c>
      <c r="C3392" t="inlineStr">
        <is>
          <t>61046990</t>
        </is>
      </c>
      <c r="D3392" t="inlineStr">
        <is>
          <t>TROUSERS,BIB AND BRACE ETC OF OTHER FIBRES</t>
        </is>
      </c>
      <c r="E3392" s="3" t="n">
        <v>9.449999999999999</v>
      </c>
      <c r="F3392" s="3" t="n">
        <v>3.65</v>
      </c>
      <c r="G3392" s="3">
        <f>F3392-E3392</f>
        <v/>
      </c>
      <c r="H3392" s="4">
        <f>IF(E3392=0,"",F3392/E3392-1)</f>
        <v/>
      </c>
      <c r="I3392" t="inlineStr"/>
    </row>
    <row r="3393">
      <c r="A3393" t="inlineStr">
        <is>
          <t>Textiles &amp; apparel</t>
        </is>
      </c>
      <c r="B3393" t="inlineStr">
        <is>
          <t>62</t>
        </is>
      </c>
      <c r="C3393" t="inlineStr">
        <is>
          <t>62044290</t>
        </is>
      </c>
      <c r="D3393" t="inlineStr">
        <is>
          <t>OTHR DRESSES OF COTTON</t>
        </is>
      </c>
      <c r="E3393" s="3" t="n">
        <v>2.26</v>
      </c>
      <c r="F3393" s="3" t="n">
        <v>3.58</v>
      </c>
      <c r="G3393" s="3">
        <f>F3393-E3393</f>
        <v/>
      </c>
      <c r="H3393" s="4">
        <f>IF(E3393=0,"",F3393/E3393-1)</f>
        <v/>
      </c>
      <c r="I3393" t="inlineStr"/>
    </row>
    <row r="3394">
      <c r="A3394" t="inlineStr">
        <is>
          <t>Textiles &amp; apparel</t>
        </is>
      </c>
      <c r="B3394" t="inlineStr">
        <is>
          <t>63</t>
        </is>
      </c>
      <c r="C3394" t="inlineStr">
        <is>
          <t>63079099</t>
        </is>
      </c>
      <c r="D3394" t="inlineStr">
        <is>
          <t>OTHR MADE UP ARTCLS - OTHRS</t>
        </is>
      </c>
      <c r="E3394" s="3" t="n">
        <v>4.93</v>
      </c>
      <c r="F3394" s="3" t="n">
        <v>3.35</v>
      </c>
      <c r="G3394" s="3">
        <f>F3394-E3394</f>
        <v/>
      </c>
      <c r="H3394" s="4">
        <f>IF(E3394=0,"",F3394/E3394-1)</f>
        <v/>
      </c>
      <c r="I3394" t="inlineStr"/>
    </row>
    <row r="3395">
      <c r="A3395" t="inlineStr">
        <is>
          <t>Textiles &amp; apparel</t>
        </is>
      </c>
      <c r="B3395" t="inlineStr">
        <is>
          <t>62</t>
        </is>
      </c>
      <c r="C3395" t="inlineStr">
        <is>
          <t>62149049</t>
        </is>
      </c>
      <c r="D3395" t="inlineStr">
        <is>
          <t>SCARVES COTTON-OTHER</t>
        </is>
      </c>
      <c r="E3395" s="3" t="n">
        <v>2.16</v>
      </c>
      <c r="F3395" s="3" t="n">
        <v>3.28</v>
      </c>
      <c r="G3395" s="3">
        <f>F3395-E3395</f>
        <v/>
      </c>
      <c r="H3395" s="4">
        <f>IF(E3395=0,"",F3395/E3395-1)</f>
        <v/>
      </c>
      <c r="I3395" t="inlineStr"/>
    </row>
    <row r="3396">
      <c r="A3396" t="inlineStr">
        <is>
          <t>Textiles &amp; apparel</t>
        </is>
      </c>
      <c r="B3396" t="inlineStr">
        <is>
          <t>62</t>
        </is>
      </c>
      <c r="C3396" t="inlineStr">
        <is>
          <t>62046290</t>
        </is>
      </c>
      <c r="D3396" t="inlineStr">
        <is>
          <t>OF COTTON: OTHER</t>
        </is>
      </c>
      <c r="E3396" s="3" t="n">
        <v>5.16</v>
      </c>
      <c r="F3396" s="3" t="n">
        <v>3.21</v>
      </c>
      <c r="G3396" s="3">
        <f>F3396-E3396</f>
        <v/>
      </c>
      <c r="H3396" s="4">
        <f>IF(E3396=0,"",F3396/E3396-1)</f>
        <v/>
      </c>
      <c r="I3396" t="inlineStr"/>
    </row>
    <row r="3397">
      <c r="A3397" t="inlineStr">
        <is>
          <t>Textiles &amp; apparel</t>
        </is>
      </c>
      <c r="B3397" t="inlineStr">
        <is>
          <t>54</t>
        </is>
      </c>
      <c r="C3397" t="inlineStr">
        <is>
          <t>54075290</t>
        </is>
      </c>
      <c r="D3397" t="inlineStr">
        <is>
          <t>OTHERS-OF-WOVEN FABRICS,DYED,CNTNG BY WT&gt;=85% TEXTURED POLYESTER FILAMENTS</t>
        </is>
      </c>
      <c r="E3397" s="3" t="n">
        <v>3.19</v>
      </c>
      <c r="F3397" s="3" t="n">
        <v>3.2</v>
      </c>
      <c r="G3397" s="3">
        <f>F3397-E3397</f>
        <v/>
      </c>
      <c r="H3397" s="4">
        <f>IF(E3397=0,"",F3397/E3397-1)</f>
        <v/>
      </c>
      <c r="I3397" t="inlineStr"/>
    </row>
    <row r="3398">
      <c r="A3398" t="inlineStr">
        <is>
          <t>Textiles &amp; apparel</t>
        </is>
      </c>
      <c r="B3398" t="inlineStr">
        <is>
          <t>62</t>
        </is>
      </c>
      <c r="C3398" t="inlineStr">
        <is>
          <t>62113300</t>
        </is>
      </c>
      <c r="D3398" t="inlineStr">
        <is>
          <t>OTHR GRMNTS OF MAN-MDE FBRS FR MENS/BOYS</t>
        </is>
      </c>
      <c r="E3398" s="3" t="n">
        <v>2.29</v>
      </c>
      <c r="F3398" s="3" t="n">
        <v>2.97</v>
      </c>
      <c r="G3398" s="3">
        <f>F3398-E3398</f>
        <v/>
      </c>
      <c r="H3398" s="4">
        <f>IF(E3398=0,"",F3398/E3398-1)</f>
        <v/>
      </c>
      <c r="I3398" t="inlineStr"/>
    </row>
    <row r="3399">
      <c r="A3399" t="inlineStr">
        <is>
          <t>Textiles &amp; apparel</t>
        </is>
      </c>
      <c r="B3399" t="inlineStr">
        <is>
          <t>62</t>
        </is>
      </c>
      <c r="C3399" t="inlineStr">
        <is>
          <t>62046990</t>
        </is>
      </c>
      <c r="D3399" t="inlineStr">
        <is>
          <t>TROUSERS,BIB ETC OF OTHER FIBRES</t>
        </is>
      </c>
      <c r="E3399" s="3" t="n">
        <v>2.45</v>
      </c>
      <c r="F3399" s="3" t="n">
        <v>2.95</v>
      </c>
      <c r="G3399" s="3">
        <f>F3399-E3399</f>
        <v/>
      </c>
      <c r="H3399" s="4">
        <f>IF(E3399=0,"",F3399/E3399-1)</f>
        <v/>
      </c>
      <c r="I3399" t="inlineStr"/>
    </row>
    <row r="3400">
      <c r="A3400" t="inlineStr">
        <is>
          <t>Textiles &amp; apparel</t>
        </is>
      </c>
      <c r="B3400" t="inlineStr">
        <is>
          <t>54</t>
        </is>
      </c>
      <c r="C3400" t="inlineStr">
        <is>
          <t>54078116</t>
        </is>
      </c>
      <c r="D3400" t="inlineStr">
        <is>
          <t>UNBLECHD POLYESTER DHUTI</t>
        </is>
      </c>
      <c r="E3400" s="3" t="n">
        <v>0.76</v>
      </c>
      <c r="F3400" s="3" t="n">
        <v>2.87</v>
      </c>
      <c r="G3400" s="3">
        <f>F3400-E3400</f>
        <v/>
      </c>
      <c r="H3400" s="4">
        <f>IF(E3400=0,"",F3400/E3400-1)</f>
        <v/>
      </c>
      <c r="I3400" t="inlineStr"/>
    </row>
    <row r="3401">
      <c r="A3401" t="inlineStr">
        <is>
          <t>Textiles &amp; apparel</t>
        </is>
      </c>
      <c r="B3401" t="inlineStr">
        <is>
          <t>55</t>
        </is>
      </c>
      <c r="C3401" t="inlineStr">
        <is>
          <t>55151330</t>
        </is>
      </c>
      <c r="D3401" t="inlineStr">
        <is>
          <t>FBRC OF POLSTR,MXD WTH WOOL/FINE ANIMAL HAIR, DYED</t>
        </is>
      </c>
      <c r="E3401" s="3" t="n">
        <v>3.36</v>
      </c>
      <c r="F3401" s="3" t="n">
        <v>2.86</v>
      </c>
      <c r="G3401" s="3">
        <f>F3401-E3401</f>
        <v/>
      </c>
      <c r="H3401" s="4">
        <f>IF(E3401=0,"",F3401/E3401-1)</f>
        <v/>
      </c>
      <c r="I3401" t="inlineStr"/>
    </row>
    <row r="3402">
      <c r="A3402" t="inlineStr">
        <is>
          <t>Textiles &amp; apparel</t>
        </is>
      </c>
      <c r="B3402" t="inlineStr">
        <is>
          <t>57</t>
        </is>
      </c>
      <c r="C3402" t="inlineStr">
        <is>
          <t>57031010</t>
        </is>
      </c>
      <c r="D3402" t="inlineStr">
        <is>
          <t>CARPETS</t>
        </is>
      </c>
      <c r="E3402" s="3" t="n">
        <v>1.94</v>
      </c>
      <c r="F3402" s="3" t="n">
        <v>2.8</v>
      </c>
      <c r="G3402" s="3">
        <f>F3402-E3402</f>
        <v/>
      </c>
      <c r="H3402" s="4">
        <f>IF(E3402=0,"",F3402/E3402-1)</f>
        <v/>
      </c>
      <c r="I3402" t="inlineStr"/>
    </row>
    <row r="3403">
      <c r="A3403" t="inlineStr">
        <is>
          <t>Textiles &amp; apparel</t>
        </is>
      </c>
      <c r="B3403" t="inlineStr">
        <is>
          <t>62</t>
        </is>
      </c>
      <c r="C3403" t="inlineStr">
        <is>
          <t>62044390</t>
        </is>
      </c>
      <c r="D3403" t="inlineStr">
        <is>
          <t>OTHR DRESSES OF SYNTH FIBRES</t>
        </is>
      </c>
      <c r="E3403" s="3" t="n">
        <v>3.55</v>
      </c>
      <c r="F3403" s="3" t="n">
        <v>2.63</v>
      </c>
      <c r="G3403" s="3">
        <f>F3403-E3403</f>
        <v/>
      </c>
      <c r="H3403" s="4">
        <f>IF(E3403=0,"",F3403/E3403-1)</f>
        <v/>
      </c>
      <c r="I3403" t="inlineStr"/>
    </row>
    <row r="3404">
      <c r="A3404" t="inlineStr">
        <is>
          <t>Textiles &amp; apparel</t>
        </is>
      </c>
      <c r="B3404" t="inlineStr">
        <is>
          <t>62</t>
        </is>
      </c>
      <c r="C3404" t="inlineStr">
        <is>
          <t>62092090</t>
        </is>
      </c>
      <c r="D3404" t="inlineStr">
        <is>
          <t>OTHERS-OF-BABIESGRMNTS AND CLOTHNG ACCSSRS OF COTTON</t>
        </is>
      </c>
      <c r="E3404" s="3" t="n">
        <v>3.41</v>
      </c>
      <c r="F3404" s="3" t="n">
        <v>2.6</v>
      </c>
      <c r="G3404" s="3">
        <f>F3404-E3404</f>
        <v/>
      </c>
      <c r="H3404" s="4">
        <f>IF(E3404=0,"",F3404/E3404-1)</f>
        <v/>
      </c>
      <c r="I3404" t="inlineStr"/>
    </row>
    <row r="3405">
      <c r="A3405" t="inlineStr">
        <is>
          <t>Textiles &amp; apparel</t>
        </is>
      </c>
      <c r="B3405" t="inlineStr">
        <is>
          <t>56</t>
        </is>
      </c>
      <c r="C3405" t="inlineStr">
        <is>
          <t>56031400</t>
        </is>
      </c>
      <c r="D3405" t="inlineStr">
        <is>
          <t>MAN-MADE FILMNT WGHNG &gt;150G/SQM</t>
        </is>
      </c>
      <c r="E3405" s="3" t="n">
        <v>0.96</v>
      </c>
      <c r="F3405" s="3" t="n">
        <v>2.37</v>
      </c>
      <c r="G3405" s="3">
        <f>F3405-E3405</f>
        <v/>
      </c>
      <c r="H3405" s="4">
        <f>IF(E3405=0,"",F3405/E3405-1)</f>
        <v/>
      </c>
      <c r="I3405" t="inlineStr"/>
    </row>
    <row r="3406">
      <c r="A3406" t="inlineStr">
        <is>
          <t>Textiles &amp; apparel</t>
        </is>
      </c>
      <c r="B3406" t="inlineStr">
        <is>
          <t>62</t>
        </is>
      </c>
      <c r="C3406" t="inlineStr">
        <is>
          <t>62034300</t>
        </is>
      </c>
      <c r="D3406" t="inlineStr">
        <is>
          <t>TROUSERS,BIB AND BRACE,OVERALLS,BREECHES AND SHORTS OF SYNTHETIC FIBRS,MENS OR BOYS</t>
        </is>
      </c>
      <c r="E3406" s="3" t="n">
        <v>5.64</v>
      </c>
      <c r="F3406" s="3" t="n">
        <v>2.32</v>
      </c>
      <c r="G3406" s="3">
        <f>F3406-E3406</f>
        <v/>
      </c>
      <c r="H3406" s="4">
        <f>IF(E3406=0,"",F3406/E3406-1)</f>
        <v/>
      </c>
      <c r="I3406" t="inlineStr"/>
    </row>
    <row r="3407">
      <c r="A3407" t="inlineStr">
        <is>
          <t>Textiles &amp; apparel</t>
        </is>
      </c>
      <c r="B3407" t="inlineStr">
        <is>
          <t>54</t>
        </is>
      </c>
      <c r="C3407" t="inlineStr">
        <is>
          <t>54041990</t>
        </is>
      </c>
      <c r="D3407" t="inlineStr">
        <is>
          <t>OTHERS-OF-OTHERS-OF-SYNTHTC MONFLMNT OF&gt;=67 DCTX AND OF CRSS- SCTNL DIMNSN&lt;=1MM;STRP ETC(E.G.ARTFCL STRW)OF SYNTHTC TXTL MTRLS</t>
        </is>
      </c>
      <c r="E3407" s="3" t="n">
        <v>0.93</v>
      </c>
      <c r="F3407" s="3" t="n">
        <v>2.27</v>
      </c>
      <c r="G3407" s="3">
        <f>F3407-E3407</f>
        <v/>
      </c>
      <c r="H3407" s="4">
        <f>IF(E3407=0,"",F3407/E3407-1)</f>
        <v/>
      </c>
      <c r="I3407" t="inlineStr"/>
    </row>
    <row r="3408">
      <c r="A3408" t="inlineStr">
        <is>
          <t>Textiles &amp; apparel</t>
        </is>
      </c>
      <c r="B3408" t="inlineStr">
        <is>
          <t>55</t>
        </is>
      </c>
      <c r="C3408" t="inlineStr">
        <is>
          <t>55095100</t>
        </is>
      </c>
      <c r="D3408" t="inlineStr">
        <is>
          <t>OTHR YARN OF POLYSTR STPL FIBRS MIXED MAINLY/SOLELY WITH ARTIFICIAL STAPLE FIBRS</t>
        </is>
      </c>
      <c r="E3408" s="3" t="n">
        <v>0.88</v>
      </c>
      <c r="F3408" s="3" t="n">
        <v>2.22</v>
      </c>
      <c r="G3408" s="3">
        <f>F3408-E3408</f>
        <v/>
      </c>
      <c r="H3408" s="4">
        <f>IF(E3408=0,"",F3408/E3408-1)</f>
        <v/>
      </c>
      <c r="I3408" t="inlineStr"/>
    </row>
    <row r="3409">
      <c r="A3409" t="inlineStr">
        <is>
          <t>Textiles &amp; apparel</t>
        </is>
      </c>
      <c r="B3409" t="inlineStr">
        <is>
          <t>55</t>
        </is>
      </c>
      <c r="C3409" t="inlineStr">
        <is>
          <t>55144200</t>
        </is>
      </c>
      <c r="D3409" t="inlineStr">
        <is>
          <t>WOVEN FABRICS,3/4-THRD TWLL INCL CROSS TWLL OF POLYESTR STAPLE FIBRES,PRINTED</t>
        </is>
      </c>
      <c r="E3409" s="3" t="n">
        <v>5.72</v>
      </c>
      <c r="F3409" s="3" t="n">
        <v>2.17</v>
      </c>
      <c r="G3409" s="3">
        <f>F3409-E3409</f>
        <v/>
      </c>
      <c r="H3409" s="4">
        <f>IF(E3409=0,"",F3409/E3409-1)</f>
        <v/>
      </c>
      <c r="I3409" t="inlineStr"/>
    </row>
    <row r="3410">
      <c r="A3410" t="inlineStr">
        <is>
          <t>Textiles &amp; apparel</t>
        </is>
      </c>
      <c r="B3410" t="inlineStr">
        <is>
          <t>51</t>
        </is>
      </c>
      <c r="C3410" t="inlineStr">
        <is>
          <t>51123030</t>
        </is>
      </c>
      <c r="D3410" t="inlineStr">
        <is>
          <t>DYED WOVN FBRCS MIXED WITH MANMADE STAPL FIBRS OF COMD WOOL AND FINE ANML HAIR</t>
        </is>
      </c>
      <c r="E3410" s="3" t="n">
        <v>1.11</v>
      </c>
      <c r="F3410" s="3" t="n">
        <v>2.13</v>
      </c>
      <c r="G3410" s="3">
        <f>F3410-E3410</f>
        <v/>
      </c>
      <c r="H3410" s="4">
        <f>IF(E3410=0,"",F3410/E3410-1)</f>
        <v/>
      </c>
      <c r="I3410" t="inlineStr"/>
    </row>
    <row r="3411">
      <c r="A3411" t="inlineStr">
        <is>
          <t>Textiles &amp; apparel</t>
        </is>
      </c>
      <c r="B3411" t="inlineStr">
        <is>
          <t>52</t>
        </is>
      </c>
      <c r="C3411" t="inlineStr">
        <is>
          <t>52085180</t>
        </is>
      </c>
      <c r="D3411" t="inlineStr">
        <is>
          <t>Voils (excluding leno fabrics) of Plain weave, weighing not more than 100 g/m2</t>
        </is>
      </c>
      <c r="E3411" s="3" t="n">
        <v>0.36</v>
      </c>
      <c r="F3411" s="3" t="n">
        <v>2.1</v>
      </c>
      <c r="G3411" s="3">
        <f>F3411-E3411</f>
        <v/>
      </c>
      <c r="H3411" s="4">
        <f>IF(E3411=0,"",F3411/E3411-1)</f>
        <v/>
      </c>
      <c r="I3411" t="inlineStr"/>
    </row>
    <row r="3412">
      <c r="A3412" t="inlineStr">
        <is>
          <t>Textiles &amp; apparel</t>
        </is>
      </c>
      <c r="B3412" t="inlineStr">
        <is>
          <t>62</t>
        </is>
      </c>
      <c r="C3412" t="inlineStr">
        <is>
          <t>62113990</t>
        </is>
      </c>
      <c r="D3412" t="inlineStr">
        <is>
          <t>OTHERS-OF-OTHR GRMNTS OF OTHR TXTL MTRLS FR MNS/BOYS</t>
        </is>
      </c>
      <c r="E3412" s="3" t="n">
        <v>2.55</v>
      </c>
      <c r="F3412" s="3" t="n">
        <v>2.1</v>
      </c>
      <c r="G3412" s="3">
        <f>F3412-E3412</f>
        <v/>
      </c>
      <c r="H3412" s="4">
        <f>IF(E3412=0,"",F3412/E3412-1)</f>
        <v/>
      </c>
      <c r="I3412" t="inlineStr"/>
    </row>
    <row r="3413">
      <c r="A3413" t="inlineStr">
        <is>
          <t>Textiles &amp; apparel</t>
        </is>
      </c>
      <c r="B3413" t="inlineStr">
        <is>
          <t>63</t>
        </is>
      </c>
      <c r="C3413" t="inlineStr">
        <is>
          <t>63014000</t>
        </is>
      </c>
      <c r="D3413" t="inlineStr">
        <is>
          <t>BLANKETS(OTHER THAN ELECTRIC BLANKETS) AND TRAVELLING RUGS,OF SYNTHETIC FIBRES</t>
        </is>
      </c>
      <c r="E3413" s="3" t="n">
        <v>1.15</v>
      </c>
      <c r="F3413" s="3" t="n">
        <v>2.09</v>
      </c>
      <c r="G3413" s="3">
        <f>F3413-E3413</f>
        <v/>
      </c>
      <c r="H3413" s="4">
        <f>IF(E3413=0,"",F3413/E3413-1)</f>
        <v/>
      </c>
      <c r="I3413" t="inlineStr"/>
    </row>
    <row r="3414">
      <c r="A3414" t="inlineStr">
        <is>
          <t>Textiles &amp; apparel</t>
        </is>
      </c>
      <c r="B3414" t="inlineStr">
        <is>
          <t>54</t>
        </is>
      </c>
      <c r="C3414" t="inlineStr">
        <is>
          <t>54023300</t>
        </is>
      </c>
      <c r="D3414" t="inlineStr">
        <is>
          <t>TEXTURED YARN OF POLYESTERS</t>
        </is>
      </c>
      <c r="E3414" s="3" t="n">
        <v>0.65</v>
      </c>
      <c r="F3414" s="3" t="n">
        <v>2.07</v>
      </c>
      <c r="G3414" s="3">
        <f>F3414-E3414</f>
        <v/>
      </c>
      <c r="H3414" s="4">
        <f>IF(E3414=0,"",F3414/E3414-1)</f>
        <v/>
      </c>
      <c r="I3414" t="inlineStr"/>
    </row>
    <row r="3415">
      <c r="A3415" t="inlineStr">
        <is>
          <t>Textiles &amp; apparel</t>
        </is>
      </c>
      <c r="B3415" t="inlineStr">
        <is>
          <t>59</t>
        </is>
      </c>
      <c r="C3415" t="inlineStr">
        <is>
          <t>59039090</t>
        </is>
      </c>
      <c r="D3415" t="inlineStr">
        <is>
          <t>OTHER FABRC PLTD LAMNTD COATD IMPREGNATED WITH OTHR PLASTICS</t>
        </is>
      </c>
      <c r="E3415" s="3" t="n">
        <v>1.53</v>
      </c>
      <c r="F3415" s="3" t="n">
        <v>2.07</v>
      </c>
      <c r="G3415" s="3">
        <f>F3415-E3415</f>
        <v/>
      </c>
      <c r="H3415" s="4">
        <f>IF(E3415=0,"",F3415/E3415-1)</f>
        <v/>
      </c>
      <c r="I3415" t="inlineStr"/>
    </row>
    <row r="3416">
      <c r="A3416" t="inlineStr">
        <is>
          <t>Textiles &amp; apparel</t>
        </is>
      </c>
      <c r="B3416" t="inlineStr">
        <is>
          <t>62</t>
        </is>
      </c>
      <c r="C3416" t="inlineStr">
        <is>
          <t>62121000</t>
        </is>
      </c>
      <c r="D3416" t="inlineStr">
        <is>
          <t>BRASSIERES</t>
        </is>
      </c>
      <c r="E3416" s="3" t="n">
        <v>1.71</v>
      </c>
      <c r="F3416" s="3" t="n">
        <v>2.04</v>
      </c>
      <c r="G3416" s="3">
        <f>F3416-E3416</f>
        <v/>
      </c>
      <c r="H3416" s="4">
        <f>IF(E3416=0,"",F3416/E3416-1)</f>
        <v/>
      </c>
      <c r="I3416" t="inlineStr"/>
    </row>
    <row r="3417">
      <c r="A3417" t="inlineStr">
        <is>
          <t>Textiles &amp; apparel</t>
        </is>
      </c>
      <c r="B3417" t="inlineStr">
        <is>
          <t>52</t>
        </is>
      </c>
      <c r="C3417" t="inlineStr">
        <is>
          <t>52083290</t>
        </is>
      </c>
      <c r="D3417" t="inlineStr">
        <is>
          <t>OTHERS-OF-COTN FABRICS CONTNG&gt;=85% BY WT OF COTNDYED,PLAIN WEAVE WEIGHNG &gt;=100 G/M2</t>
        </is>
      </c>
      <c r="E3417" s="3" t="n">
        <v>0.32</v>
      </c>
      <c r="F3417" s="3" t="n">
        <v>2.02</v>
      </c>
      <c r="G3417" s="3">
        <f>F3417-E3417</f>
        <v/>
      </c>
      <c r="H3417" s="4">
        <f>IF(E3417=0,"",F3417/E3417-1)</f>
        <v/>
      </c>
      <c r="I3417" t="inlineStr"/>
    </row>
    <row r="3418">
      <c r="A3418" t="inlineStr">
        <is>
          <t>Textiles &amp; apparel</t>
        </is>
      </c>
      <c r="B3418" t="inlineStr">
        <is>
          <t>63</t>
        </is>
      </c>
      <c r="C3418" t="inlineStr">
        <is>
          <t>63049260</t>
        </is>
      </c>
      <c r="D3418" t="inlineStr">
        <is>
          <t>TOWEL ORHT THN TERRY OF COTN, NTKNTD/CRCHT</t>
        </is>
      </c>
      <c r="E3418" s="3" t="n">
        <v>1.96</v>
      </c>
      <c r="F3418" s="3" t="n">
        <v>2.01</v>
      </c>
      <c r="G3418" s="3">
        <f>F3418-E3418</f>
        <v/>
      </c>
      <c r="H3418" s="4">
        <f>IF(E3418=0,"",F3418/E3418-1)</f>
        <v/>
      </c>
      <c r="I3418" t="inlineStr"/>
    </row>
    <row r="3419">
      <c r="A3419" t="inlineStr">
        <is>
          <t>Textiles &amp; apparel</t>
        </is>
      </c>
      <c r="B3419" t="inlineStr">
        <is>
          <t>62</t>
        </is>
      </c>
      <c r="C3419" t="inlineStr">
        <is>
          <t>62142029</t>
        </is>
      </c>
      <c r="D3419" t="inlineStr">
        <is>
          <t>SCARVES:OTHER</t>
        </is>
      </c>
      <c r="E3419" s="3" t="n">
        <v>1.29</v>
      </c>
      <c r="F3419" s="3" t="n">
        <v>1.97</v>
      </c>
      <c r="G3419" s="3">
        <f>F3419-E3419</f>
        <v/>
      </c>
      <c r="H3419" s="4">
        <f>IF(E3419=0,"",F3419/E3419-1)</f>
        <v/>
      </c>
      <c r="I3419" t="inlineStr"/>
    </row>
    <row r="3420">
      <c r="A3420" t="inlineStr">
        <is>
          <t>Textiles &amp; apparel</t>
        </is>
      </c>
      <c r="B3420" t="inlineStr">
        <is>
          <t>63</t>
        </is>
      </c>
      <c r="C3420" t="inlineStr">
        <is>
          <t>63053900</t>
        </is>
      </c>
      <c r="D3420" t="inlineStr">
        <is>
          <t>SACKS AND BAGS OF OTHER MAN-MADE TXTL MATRLS</t>
        </is>
      </c>
      <c r="E3420" s="3" t="n">
        <v>0.55</v>
      </c>
      <c r="F3420" s="3" t="n">
        <v>1.97</v>
      </c>
      <c r="G3420" s="3">
        <f>F3420-E3420</f>
        <v/>
      </c>
      <c r="H3420" s="4">
        <f>IF(E3420=0,"",F3420/E3420-1)</f>
        <v/>
      </c>
      <c r="I3420" t="inlineStr"/>
    </row>
    <row r="3421">
      <c r="A3421" t="inlineStr">
        <is>
          <t>Textiles &amp; apparel</t>
        </is>
      </c>
      <c r="B3421" t="inlineStr">
        <is>
          <t>52</t>
        </is>
      </c>
      <c r="C3421" t="inlineStr">
        <is>
          <t>52081210</t>
        </is>
      </c>
      <c r="D3421" t="inlineStr">
        <is>
          <t>DHOTI</t>
        </is>
      </c>
      <c r="E3421" s="3" t="n">
        <v>1.95</v>
      </c>
      <c r="F3421" s="3" t="n">
        <v>1.85</v>
      </c>
      <c r="G3421" s="3">
        <f>F3421-E3421</f>
        <v/>
      </c>
      <c r="H3421" s="4">
        <f>IF(E3421=0,"",F3421/E3421-1)</f>
        <v/>
      </c>
      <c r="I3421" t="inlineStr"/>
    </row>
    <row r="3422">
      <c r="A3422" t="inlineStr">
        <is>
          <t>Textiles &amp; apparel</t>
        </is>
      </c>
      <c r="B3422" t="inlineStr">
        <is>
          <t>54</t>
        </is>
      </c>
      <c r="C3422" t="inlineStr">
        <is>
          <t>54075240</t>
        </is>
      </c>
      <c r="D3422" t="inlineStr">
        <is>
          <t>POLYESTER SAREES</t>
        </is>
      </c>
      <c r="E3422" s="3" t="n">
        <v>1.75</v>
      </c>
      <c r="F3422" s="3" t="n">
        <v>1.85</v>
      </c>
      <c r="G3422" s="3">
        <f>F3422-E3422</f>
        <v/>
      </c>
      <c r="H3422" s="4">
        <f>IF(E3422=0,"",F3422/E3422-1)</f>
        <v/>
      </c>
      <c r="I3422" t="inlineStr"/>
    </row>
    <row r="3423">
      <c r="A3423" t="inlineStr">
        <is>
          <t>Textiles &amp; apparel</t>
        </is>
      </c>
      <c r="B3423" t="inlineStr">
        <is>
          <t>52</t>
        </is>
      </c>
      <c r="C3423" t="inlineStr">
        <is>
          <t>52083190</t>
        </is>
      </c>
      <c r="D3423" t="inlineStr">
        <is>
          <t>OTHERS-OF-COTN FABRICS CONTNG &gt;=85%BY WT OF COTNDYED PLAIN WEAVE WEIGNG&lt;=100 G/M2</t>
        </is>
      </c>
      <c r="E3423" s="3" t="n">
        <v>2.18</v>
      </c>
      <c r="F3423" s="3" t="n">
        <v>1.81</v>
      </c>
      <c r="G3423" s="3">
        <f>F3423-E3423</f>
        <v/>
      </c>
      <c r="H3423" s="4">
        <f>IF(E3423=0,"",F3423/E3423-1)</f>
        <v/>
      </c>
      <c r="I3423" t="inlineStr"/>
    </row>
    <row r="3424">
      <c r="A3424" t="inlineStr">
        <is>
          <t>Textiles &amp; apparel</t>
        </is>
      </c>
      <c r="B3424" t="inlineStr">
        <is>
          <t>59</t>
        </is>
      </c>
      <c r="C3424" t="inlineStr">
        <is>
          <t>59070012</t>
        </is>
      </c>
      <c r="D3424" t="inlineStr">
        <is>
          <t>TXTL FBRCS COVRD WTH TXTL FLOCKS PN BASE FBRCS OF MN-MD TXTL MATRL</t>
        </is>
      </c>
      <c r="E3424" s="3" t="n">
        <v>2.15</v>
      </c>
      <c r="F3424" s="3" t="n">
        <v>1.76</v>
      </c>
      <c r="G3424" s="3">
        <f>F3424-E3424</f>
        <v/>
      </c>
      <c r="H3424" s="4">
        <f>IF(E3424=0,"",F3424/E3424-1)</f>
        <v/>
      </c>
      <c r="I3424" t="inlineStr"/>
    </row>
    <row r="3425">
      <c r="A3425" t="inlineStr">
        <is>
          <t>Textiles &amp; apparel</t>
        </is>
      </c>
      <c r="B3425" t="inlineStr">
        <is>
          <t>61</t>
        </is>
      </c>
      <c r="C3425" t="inlineStr">
        <is>
          <t>61082100</t>
        </is>
      </c>
      <c r="D3425" t="inlineStr">
        <is>
          <t>BRIEFS AND PANTIES OF COTTON</t>
        </is>
      </c>
      <c r="E3425" s="3" t="n">
        <v>2.05</v>
      </c>
      <c r="F3425" s="3" t="n">
        <v>1.76</v>
      </c>
      <c r="G3425" s="3">
        <f>F3425-E3425</f>
        <v/>
      </c>
      <c r="H3425" s="4">
        <f>IF(E3425=0,"",F3425/E3425-1)</f>
        <v/>
      </c>
      <c r="I3425" t="inlineStr"/>
    </row>
    <row r="3426">
      <c r="A3426" t="inlineStr">
        <is>
          <t>Textiles &amp; apparel</t>
        </is>
      </c>
      <c r="B3426" t="inlineStr">
        <is>
          <t>59</t>
        </is>
      </c>
      <c r="C3426" t="inlineStr">
        <is>
          <t>59119090</t>
        </is>
      </c>
      <c r="D3426" t="inlineStr">
        <is>
          <t>OTHERS-OF-OTHR TXTL PRDCTS AND ARTCLS FOR TECHNCL USE</t>
        </is>
      </c>
      <c r="E3426" s="3" t="n">
        <v>2</v>
      </c>
      <c r="F3426" s="3" t="n">
        <v>1.74</v>
      </c>
      <c r="G3426" s="3">
        <f>F3426-E3426</f>
        <v/>
      </c>
      <c r="H3426" s="4">
        <f>IF(E3426=0,"",F3426/E3426-1)</f>
        <v/>
      </c>
      <c r="I3426" t="inlineStr"/>
    </row>
    <row r="3427">
      <c r="A3427" t="inlineStr">
        <is>
          <t>Textiles &amp; apparel</t>
        </is>
      </c>
      <c r="B3427" t="inlineStr">
        <is>
          <t>61</t>
        </is>
      </c>
      <c r="C3427" t="inlineStr">
        <is>
          <t>61152990</t>
        </is>
      </c>
      <c r="D3427" t="inlineStr">
        <is>
          <t>PANTY HOSE AND TIGHTS OF OTHER FIBRES</t>
        </is>
      </c>
      <c r="E3427" s="3" t="n">
        <v>0.78</v>
      </c>
      <c r="F3427" s="3" t="n">
        <v>1.74</v>
      </c>
      <c r="G3427" s="3">
        <f>F3427-E3427</f>
        <v/>
      </c>
      <c r="H3427" s="4">
        <f>IF(E3427=0,"",F3427/E3427-1)</f>
        <v/>
      </c>
      <c r="I3427" t="inlineStr"/>
    </row>
    <row r="3428">
      <c r="A3428" t="inlineStr">
        <is>
          <t>Textiles &amp; apparel</t>
        </is>
      </c>
      <c r="B3428" t="inlineStr">
        <is>
          <t>54</t>
        </is>
      </c>
      <c r="C3428" t="inlineStr">
        <is>
          <t>54022090</t>
        </is>
      </c>
      <c r="D3428" t="inlineStr">
        <is>
          <t>OTHER POLYESTER (EXCL TERYLENE DACRON)</t>
        </is>
      </c>
      <c r="E3428" s="3" t="n">
        <v>0.68</v>
      </c>
      <c r="F3428" s="3" t="n">
        <v>1.73</v>
      </c>
      <c r="G3428" s="3">
        <f>F3428-E3428</f>
        <v/>
      </c>
      <c r="H3428" s="4">
        <f>IF(E3428=0,"",F3428/E3428-1)</f>
        <v/>
      </c>
      <c r="I3428" t="inlineStr"/>
    </row>
    <row r="3429">
      <c r="A3429" t="inlineStr">
        <is>
          <t>Textiles &amp; apparel</t>
        </is>
      </c>
      <c r="B3429" t="inlineStr">
        <is>
          <t>54</t>
        </is>
      </c>
      <c r="C3429" t="inlineStr">
        <is>
          <t>54078290</t>
        </is>
      </c>
      <c r="D3429" t="inlineStr">
        <is>
          <t>OTHERS-OF-WOVN FBRCS DYD CNTNG&lt;85% BY WT OF SYNTHTC FILMNTS MIXED MAINLY OR SOLELY WTH COTTON</t>
        </is>
      </c>
      <c r="E3429" s="3" t="n">
        <v>1.48</v>
      </c>
      <c r="F3429" s="3" t="n">
        <v>1.73</v>
      </c>
      <c r="G3429" s="3">
        <f>F3429-E3429</f>
        <v/>
      </c>
      <c r="H3429" s="4">
        <f>IF(E3429=0,"",F3429/E3429-1)</f>
        <v/>
      </c>
      <c r="I3429" t="inlineStr"/>
    </row>
    <row r="3430">
      <c r="A3430" t="inlineStr">
        <is>
          <t>Textiles &amp; apparel</t>
        </is>
      </c>
      <c r="B3430" t="inlineStr">
        <is>
          <t>63</t>
        </is>
      </c>
      <c r="C3430" t="inlineStr">
        <is>
          <t>63072090</t>
        </is>
      </c>
      <c r="D3430" t="inlineStr">
        <is>
          <t>LIFE JACKETS AND LIFE BELTS EXCL COTTON</t>
        </is>
      </c>
      <c r="E3430" s="3" t="n">
        <v>1.16</v>
      </c>
      <c r="F3430" s="3" t="n">
        <v>1.66</v>
      </c>
      <c r="G3430" s="3">
        <f>F3430-E3430</f>
        <v/>
      </c>
      <c r="H3430" s="4">
        <f>IF(E3430=0,"",F3430/E3430-1)</f>
        <v/>
      </c>
      <c r="I3430" t="inlineStr"/>
    </row>
    <row r="3431">
      <c r="A3431" t="inlineStr">
        <is>
          <t>Textiles &amp; apparel</t>
        </is>
      </c>
      <c r="B3431" t="inlineStr">
        <is>
          <t>52</t>
        </is>
      </c>
      <c r="C3431" t="inlineStr">
        <is>
          <t>52081190</t>
        </is>
      </c>
      <c r="D3431" t="inlineStr">
        <is>
          <t>OTHERS-OF-COTN FABRCS CONTNG&gt;=85% BY WT OF COTN,UNBLEACHED PLAIN WEAVE WEIGING &lt;=100 G/M2</t>
        </is>
      </c>
      <c r="E3431" s="3" t="n">
        <v>3.2</v>
      </c>
      <c r="F3431" s="3" t="n">
        <v>1.65</v>
      </c>
      <c r="G3431" s="3">
        <f>F3431-E3431</f>
        <v/>
      </c>
      <c r="H3431" s="4">
        <f>IF(E3431=0,"",F3431/E3431-1)</f>
        <v/>
      </c>
      <c r="I3431" t="inlineStr"/>
    </row>
    <row r="3432">
      <c r="A3432" t="inlineStr">
        <is>
          <t>Textiles &amp; apparel</t>
        </is>
      </c>
      <c r="B3432" t="inlineStr">
        <is>
          <t>52</t>
        </is>
      </c>
      <c r="C3432" t="inlineStr">
        <is>
          <t>52083210</t>
        </is>
      </c>
      <c r="D3432" t="inlineStr">
        <is>
          <t>LUNGI</t>
        </is>
      </c>
      <c r="E3432" s="3" t="n">
        <v>1.77</v>
      </c>
      <c r="F3432" s="3" t="n">
        <v>1.62</v>
      </c>
      <c r="G3432" s="3">
        <f>F3432-E3432</f>
        <v/>
      </c>
      <c r="H3432" s="4">
        <f>IF(E3432=0,"",F3432/E3432-1)</f>
        <v/>
      </c>
      <c r="I3432" t="inlineStr"/>
    </row>
    <row r="3433">
      <c r="A3433" t="inlineStr">
        <is>
          <t>Textiles &amp; apparel</t>
        </is>
      </c>
      <c r="B3433" t="inlineStr">
        <is>
          <t>61</t>
        </is>
      </c>
      <c r="C3433" t="inlineStr">
        <is>
          <t>61089100</t>
        </is>
      </c>
      <c r="D3433" t="inlineStr">
        <is>
          <t>NEGLIGES,BATHROBES ETC OF COTTON</t>
        </is>
      </c>
      <c r="E3433" s="3" t="n">
        <v>1.04</v>
      </c>
      <c r="F3433" s="3" t="n">
        <v>1.59</v>
      </c>
      <c r="G3433" s="3">
        <f>F3433-E3433</f>
        <v/>
      </c>
      <c r="H3433" s="4">
        <f>IF(E3433=0,"",F3433/E3433-1)</f>
        <v/>
      </c>
      <c r="I3433" t="inlineStr"/>
    </row>
    <row r="3434">
      <c r="A3434" t="inlineStr">
        <is>
          <t>Textiles &amp; apparel</t>
        </is>
      </c>
      <c r="B3434" t="inlineStr">
        <is>
          <t>63</t>
        </is>
      </c>
      <c r="C3434" t="inlineStr">
        <is>
          <t>63053300</t>
        </is>
      </c>
      <c r="D3434" t="inlineStr">
        <is>
          <t>SACKS AND BAGS OF POLYETHYLENE OR POLYPROPYLENE STRIP OR THE LIKE</t>
        </is>
      </c>
      <c r="E3434" s="3" t="n">
        <v>0.58</v>
      </c>
      <c r="F3434" s="3" t="n">
        <v>1.54</v>
      </c>
      <c r="G3434" s="3">
        <f>F3434-E3434</f>
        <v/>
      </c>
      <c r="H3434" s="4">
        <f>IF(E3434=0,"",F3434/E3434-1)</f>
        <v/>
      </c>
      <c r="I3434" t="inlineStr"/>
    </row>
    <row r="3435">
      <c r="A3435" t="inlineStr">
        <is>
          <t>Textiles &amp; apparel</t>
        </is>
      </c>
      <c r="B3435" t="inlineStr">
        <is>
          <t>59</t>
        </is>
      </c>
      <c r="C3435" t="inlineStr">
        <is>
          <t>59032090</t>
        </is>
      </c>
      <c r="D3435" t="inlineStr">
        <is>
          <t>OTHER FABRCS IMPGRNTD LAMNTND PLTD AND COATED WITH POLYURETHANE</t>
        </is>
      </c>
      <c r="E3435" s="3" t="n">
        <v>0.51</v>
      </c>
      <c r="F3435" s="3" t="n">
        <v>1.51</v>
      </c>
      <c r="G3435" s="3">
        <f>F3435-E3435</f>
        <v/>
      </c>
      <c r="H3435" s="4">
        <f>IF(E3435=0,"",F3435/E3435-1)</f>
        <v/>
      </c>
      <c r="I3435" t="inlineStr"/>
    </row>
    <row r="3436">
      <c r="A3436" t="inlineStr">
        <is>
          <t>Textiles &amp; apparel</t>
        </is>
      </c>
      <c r="B3436" t="inlineStr">
        <is>
          <t>62</t>
        </is>
      </c>
      <c r="C3436" t="inlineStr">
        <is>
          <t>62033990</t>
        </is>
      </c>
      <c r="D3436" t="inlineStr">
        <is>
          <t>JACKETS AND BLAZERS OF OTHER FIBRES</t>
        </is>
      </c>
      <c r="E3436" s="3" t="n">
        <v>1.39</v>
      </c>
      <c r="F3436" s="3" t="n">
        <v>1.5</v>
      </c>
      <c r="G3436" s="3">
        <f>F3436-E3436</f>
        <v/>
      </c>
      <c r="H3436" s="4">
        <f>IF(E3436=0,"",F3436/E3436-1)</f>
        <v/>
      </c>
      <c r="I3436" t="inlineStr"/>
    </row>
    <row r="3437">
      <c r="A3437" t="inlineStr">
        <is>
          <t>Textiles &amp; apparel</t>
        </is>
      </c>
      <c r="B3437" t="inlineStr">
        <is>
          <t>54</t>
        </is>
      </c>
      <c r="C3437" t="inlineStr">
        <is>
          <t>54025300</t>
        </is>
      </c>
      <c r="D3437" t="inlineStr">
        <is>
          <t>OTH YARN OF POLYPROPYLENE SINGLE,WITH A TWIST EXCEEDING 50 TURNS/PER METRE</t>
        </is>
      </c>
      <c r="E3437" s="3" t="n">
        <v>1.97</v>
      </c>
      <c r="F3437" s="3" t="n">
        <v>1.44</v>
      </c>
      <c r="G3437" s="3">
        <f>F3437-E3437</f>
        <v/>
      </c>
      <c r="H3437" s="4">
        <f>IF(E3437=0,"",F3437/E3437-1)</f>
        <v/>
      </c>
      <c r="I3437" t="inlineStr"/>
    </row>
    <row r="3438">
      <c r="A3438" t="inlineStr">
        <is>
          <t>Textiles &amp; apparel</t>
        </is>
      </c>
      <c r="B3438" t="inlineStr">
        <is>
          <t>55</t>
        </is>
      </c>
      <c r="C3438" t="inlineStr">
        <is>
          <t>55151230</t>
        </is>
      </c>
      <c r="D3438" t="inlineStr">
        <is>
          <t>FBRC OF POLSTR,MXD WTH MAN-MADE FILMNT , DYED</t>
        </is>
      </c>
      <c r="E3438" s="3" t="n">
        <v>0.01</v>
      </c>
      <c r="F3438" s="3" t="n">
        <v>1.39</v>
      </c>
      <c r="G3438" s="3">
        <f>F3438-E3438</f>
        <v/>
      </c>
      <c r="H3438" s="4">
        <f>IF(E3438=0,"",F3438/E3438-1)</f>
        <v/>
      </c>
      <c r="I3438" t="inlineStr"/>
    </row>
    <row r="3439">
      <c r="A3439" t="inlineStr">
        <is>
          <t>Textiles &amp; apparel</t>
        </is>
      </c>
      <c r="B3439" t="inlineStr">
        <is>
          <t>62</t>
        </is>
      </c>
      <c r="C3439" t="inlineStr">
        <is>
          <t>62101090</t>
        </is>
      </c>
      <c r="D3439" t="inlineStr">
        <is>
          <t>GARMENTS,MADE UP OF FABRICS OF HEADING NO.5602 OR 5603 - OTHER</t>
        </is>
      </c>
      <c r="E3439" s="3" t="n">
        <v>0.4</v>
      </c>
      <c r="F3439" s="3" t="n">
        <v>1.38</v>
      </c>
      <c r="G3439" s="3">
        <f>F3439-E3439</f>
        <v/>
      </c>
      <c r="H3439" s="4">
        <f>IF(E3439=0,"",F3439/E3439-1)</f>
        <v/>
      </c>
      <c r="I3439" t="inlineStr"/>
    </row>
    <row r="3440">
      <c r="A3440" t="inlineStr">
        <is>
          <t>Textiles &amp; apparel</t>
        </is>
      </c>
      <c r="B3440" t="inlineStr">
        <is>
          <t>55</t>
        </is>
      </c>
      <c r="C3440" t="inlineStr">
        <is>
          <t>55132100</t>
        </is>
      </c>
      <c r="D3440" t="inlineStr">
        <is>
          <t>WOVEN FABRICS OF POLYESTER STAPLE FIBRES, PLAIN WEAVE,DYED</t>
        </is>
      </c>
      <c r="E3440" s="3" t="n">
        <v>0.19</v>
      </c>
      <c r="F3440" s="3" t="n">
        <v>1.37</v>
      </c>
      <c r="G3440" s="3">
        <f>F3440-E3440</f>
        <v/>
      </c>
      <c r="H3440" s="4">
        <f>IF(E3440=0,"",F3440/E3440-1)</f>
        <v/>
      </c>
      <c r="I3440" t="inlineStr"/>
    </row>
    <row r="3441">
      <c r="A3441" t="inlineStr">
        <is>
          <t>Textiles &amp; apparel</t>
        </is>
      </c>
      <c r="B3441" t="inlineStr">
        <is>
          <t>62</t>
        </is>
      </c>
      <c r="C3441" t="inlineStr">
        <is>
          <t>62042290</t>
        </is>
      </c>
      <c r="D3441" t="inlineStr">
        <is>
          <t>OTHER ENSEMBLES OF COTTON</t>
        </is>
      </c>
      <c r="E3441" s="3" t="n">
        <v>0.96</v>
      </c>
      <c r="F3441" s="3" t="n">
        <v>1.37</v>
      </c>
      <c r="G3441" s="3">
        <f>F3441-E3441</f>
        <v/>
      </c>
      <c r="H3441" s="4">
        <f>IF(E3441=0,"",F3441/E3441-1)</f>
        <v/>
      </c>
      <c r="I3441" t="inlineStr"/>
    </row>
    <row r="3442">
      <c r="A3442" t="inlineStr">
        <is>
          <t>Textiles &amp; apparel</t>
        </is>
      </c>
      <c r="B3442" t="inlineStr">
        <is>
          <t>54</t>
        </is>
      </c>
      <c r="C3442" t="inlineStr">
        <is>
          <t>54071019</t>
        </is>
      </c>
      <c r="D3442" t="inlineStr">
        <is>
          <t>UNBLECHD OTHR POLYESTER FABRICS</t>
        </is>
      </c>
      <c r="E3442" s="3" t="n">
        <v>0.4</v>
      </c>
      <c r="F3442" s="3" t="n">
        <v>1.36</v>
      </c>
      <c r="G3442" s="3">
        <f>F3442-E3442</f>
        <v/>
      </c>
      <c r="H3442" s="4">
        <f>IF(E3442=0,"",F3442/E3442-1)</f>
        <v/>
      </c>
      <c r="I3442" t="inlineStr"/>
    </row>
    <row r="3443">
      <c r="A3443" t="inlineStr">
        <is>
          <t>Textiles &amp; apparel</t>
        </is>
      </c>
      <c r="B3443" t="inlineStr">
        <is>
          <t>50</t>
        </is>
      </c>
      <c r="C3443" t="inlineStr">
        <is>
          <t>50072090</t>
        </is>
      </c>
      <c r="D3443" t="inlineStr">
        <is>
          <t>ITEMS OTHR THN SAREES CONTNG &gt;85% BY WT OF SLK ETC.</t>
        </is>
      </c>
      <c r="E3443" s="3" t="n">
        <v>1.75</v>
      </c>
      <c r="F3443" s="3" t="n">
        <v>1.35</v>
      </c>
      <c r="G3443" s="3">
        <f>F3443-E3443</f>
        <v/>
      </c>
      <c r="H3443" s="4">
        <f>IF(E3443=0,"",F3443/E3443-1)</f>
        <v/>
      </c>
      <c r="I3443" t="inlineStr"/>
    </row>
    <row r="3444">
      <c r="A3444" t="inlineStr">
        <is>
          <t>Textiles &amp; apparel</t>
        </is>
      </c>
      <c r="B3444" t="inlineStr">
        <is>
          <t>62</t>
        </is>
      </c>
      <c r="C3444" t="inlineStr">
        <is>
          <t>62069000</t>
        </is>
      </c>
      <c r="D3444" t="inlineStr">
        <is>
          <t>BLOUSES,SHIRTS ETC OF OTHR TXTL MATERIALS</t>
        </is>
      </c>
      <c r="E3444" s="3" t="n">
        <v>1.66</v>
      </c>
      <c r="F3444" s="3" t="n">
        <v>1.29</v>
      </c>
      <c r="G3444" s="3">
        <f>F3444-E3444</f>
        <v/>
      </c>
      <c r="H3444" s="4">
        <f>IF(E3444=0,"",F3444/E3444-1)</f>
        <v/>
      </c>
      <c r="I3444" t="inlineStr"/>
    </row>
    <row r="3445">
      <c r="A3445" t="inlineStr">
        <is>
          <t>Textiles &amp; apparel</t>
        </is>
      </c>
      <c r="B3445" t="inlineStr">
        <is>
          <t>61</t>
        </is>
      </c>
      <c r="C3445" t="inlineStr">
        <is>
          <t>61072100</t>
        </is>
      </c>
      <c r="D3445" t="inlineStr">
        <is>
          <t>NIGHTSHIRTS AND PYJAMAS OF COTTON</t>
        </is>
      </c>
      <c r="E3445" s="3" t="n">
        <v>0.97</v>
      </c>
      <c r="F3445" s="3" t="n">
        <v>1.28</v>
      </c>
      <c r="G3445" s="3">
        <f>F3445-E3445</f>
        <v/>
      </c>
      <c r="H3445" s="4">
        <f>IF(E3445=0,"",F3445/E3445-1)</f>
        <v/>
      </c>
      <c r="I3445" t="inlineStr"/>
    </row>
    <row r="3446">
      <c r="A3446" t="inlineStr">
        <is>
          <t>Textiles &amp; apparel</t>
        </is>
      </c>
      <c r="B3446" t="inlineStr">
        <is>
          <t>61</t>
        </is>
      </c>
      <c r="C3446" t="inlineStr">
        <is>
          <t>61034300</t>
        </is>
      </c>
      <c r="D3446" t="inlineStr">
        <is>
          <t>TROUSERS,SHORTS ETC OF SYNTHETIC FIBRES</t>
        </is>
      </c>
      <c r="E3446" s="3" t="n">
        <v>1.67</v>
      </c>
      <c r="F3446" s="3" t="n">
        <v>1.27</v>
      </c>
      <c r="G3446" s="3">
        <f>F3446-E3446</f>
        <v/>
      </c>
      <c r="H3446" s="4">
        <f>IF(E3446=0,"",F3446/E3446-1)</f>
        <v/>
      </c>
      <c r="I3446" t="inlineStr"/>
    </row>
    <row r="3447">
      <c r="A3447" t="inlineStr">
        <is>
          <t>Textiles &amp; apparel</t>
        </is>
      </c>
      <c r="B3447" t="inlineStr">
        <is>
          <t>52</t>
        </is>
      </c>
      <c r="C3447" t="inlineStr">
        <is>
          <t>52081990</t>
        </is>
      </c>
      <c r="D3447" t="inlineStr">
        <is>
          <t>OTHERS COTN FABRICS CONTNG &gt;=85% BY WT OF COTN</t>
        </is>
      </c>
      <c r="E3447" s="3" t="n">
        <v>1.13</v>
      </c>
      <c r="F3447" s="3" t="n">
        <v>1.21</v>
      </c>
      <c r="G3447" s="3">
        <f>F3447-E3447</f>
        <v/>
      </c>
      <c r="H3447" s="4">
        <f>IF(E3447=0,"",F3447/E3447-1)</f>
        <v/>
      </c>
      <c r="I3447" t="inlineStr"/>
    </row>
    <row r="3448">
      <c r="A3448" t="inlineStr">
        <is>
          <t>Textiles &amp; apparel</t>
        </is>
      </c>
      <c r="B3448" t="inlineStr">
        <is>
          <t>61</t>
        </is>
      </c>
      <c r="C3448" t="inlineStr">
        <is>
          <t>61042990</t>
        </is>
      </c>
      <c r="D3448" t="inlineStr">
        <is>
          <t>ENSEMBLES OF WOOL/FINE ANIMAL HAIR</t>
        </is>
      </c>
      <c r="E3448" s="3" t="n">
        <v>0.15</v>
      </c>
      <c r="F3448" s="3" t="n">
        <v>1.19</v>
      </c>
      <c r="G3448" s="3">
        <f>F3448-E3448</f>
        <v/>
      </c>
      <c r="H3448" s="4">
        <f>IF(E3448=0,"",F3448/E3448-1)</f>
        <v/>
      </c>
      <c r="I3448" t="inlineStr"/>
    </row>
    <row r="3449">
      <c r="A3449" t="inlineStr">
        <is>
          <t>Textiles &amp; apparel</t>
        </is>
      </c>
      <c r="B3449" t="inlineStr">
        <is>
          <t>52</t>
        </is>
      </c>
      <c r="C3449" t="inlineStr">
        <is>
          <t>52085290</t>
        </is>
      </c>
      <c r="D3449" t="inlineStr">
        <is>
          <t>OTHERS-OF-COTN FABRICS CONTNG &gt;=85% BY WT COTNPRINTED,PLAIN WEAVE WEIGHING &gt;100 G/M2</t>
        </is>
      </c>
      <c r="E3449" s="3" t="n">
        <v>0.35</v>
      </c>
      <c r="F3449" s="3" t="n">
        <v>1.18</v>
      </c>
      <c r="G3449" s="3">
        <f>F3449-E3449</f>
        <v/>
      </c>
      <c r="H3449" s="4">
        <f>IF(E3449=0,"",F3449/E3449-1)</f>
        <v/>
      </c>
      <c r="I3449" t="inlineStr"/>
    </row>
    <row r="3450">
      <c r="A3450" t="inlineStr">
        <is>
          <t>Textiles &amp; apparel</t>
        </is>
      </c>
      <c r="B3450" t="inlineStr">
        <is>
          <t>52</t>
        </is>
      </c>
      <c r="C3450" t="inlineStr">
        <is>
          <t>52085280</t>
        </is>
      </c>
      <c r="D3450" t="inlineStr">
        <is>
          <t>VOILS ( EXCLD LEND FABRICS )</t>
        </is>
      </c>
      <c r="E3450" s="3" t="n">
        <v>1.18</v>
      </c>
      <c r="F3450" s="3" t="n">
        <v>1.14</v>
      </c>
      <c r="G3450" s="3">
        <f>F3450-E3450</f>
        <v/>
      </c>
      <c r="H3450" s="4">
        <f>IF(E3450=0,"",F3450/E3450-1)</f>
        <v/>
      </c>
      <c r="I3450" t="inlineStr"/>
    </row>
    <row r="3451">
      <c r="A3451" t="inlineStr">
        <is>
          <t>Textiles &amp; apparel</t>
        </is>
      </c>
      <c r="B3451" t="inlineStr">
        <is>
          <t>62</t>
        </is>
      </c>
      <c r="C3451" t="inlineStr">
        <is>
          <t>62101020</t>
        </is>
      </c>
      <c r="D3451" t="inlineStr">
        <is>
          <t>GARMENTS,MADE UP OF FABRICS OF HEADING NO.5602 OR 5603 - SURGICAL GOWNS AND DRAPES</t>
        </is>
      </c>
      <c r="E3451" s="3" t="n">
        <v>0.82</v>
      </c>
      <c r="F3451" s="3" t="n">
        <v>1.11</v>
      </c>
      <c r="G3451" s="3">
        <f>F3451-E3451</f>
        <v/>
      </c>
      <c r="H3451" s="4">
        <f>IF(E3451=0,"",F3451/E3451-1)</f>
        <v/>
      </c>
      <c r="I3451" t="inlineStr"/>
    </row>
    <row r="3452">
      <c r="A3452" t="inlineStr">
        <is>
          <t>Textiles &amp; apparel</t>
        </is>
      </c>
      <c r="B3452" t="inlineStr">
        <is>
          <t>52</t>
        </is>
      </c>
      <c r="C3452" t="inlineStr">
        <is>
          <t>52052310</t>
        </is>
      </c>
      <c r="D3452" t="inlineStr">
        <is>
          <t>GREY</t>
        </is>
      </c>
      <c r="E3452" s="3" t="n">
        <v>0</v>
      </c>
      <c r="F3452" s="3" t="n">
        <v>1.08</v>
      </c>
      <c r="G3452" s="3">
        <f>F3452-E3452</f>
        <v/>
      </c>
      <c r="H3452" s="4">
        <f>IF(E3452=0,"",F3452/E3452-1)</f>
        <v/>
      </c>
      <c r="I3452" t="inlineStr"/>
    </row>
    <row r="3453">
      <c r="A3453" t="inlineStr">
        <is>
          <t>Textiles &amp; apparel</t>
        </is>
      </c>
      <c r="B3453" t="inlineStr">
        <is>
          <t>62</t>
        </is>
      </c>
      <c r="C3453" t="inlineStr">
        <is>
          <t>62149069</t>
        </is>
      </c>
      <c r="D3453" t="inlineStr">
        <is>
          <t>SHAWLS MUFFELERS ETC OF MANMADE FIBRE-OTHER</t>
        </is>
      </c>
      <c r="E3453" s="3" t="n">
        <v>0.36</v>
      </c>
      <c r="F3453" s="3" t="n">
        <v>1.08</v>
      </c>
      <c r="G3453" s="3">
        <f>F3453-E3453</f>
        <v/>
      </c>
      <c r="H3453" s="4">
        <f>IF(E3453=0,"",F3453/E3453-1)</f>
        <v/>
      </c>
      <c r="I3453" t="inlineStr"/>
    </row>
    <row r="3454">
      <c r="A3454" t="inlineStr">
        <is>
          <t>Textiles &amp; apparel</t>
        </is>
      </c>
      <c r="B3454" t="inlineStr">
        <is>
          <t>61</t>
        </is>
      </c>
      <c r="C3454" t="inlineStr">
        <is>
          <t>61083100</t>
        </is>
      </c>
      <c r="D3454" t="inlineStr">
        <is>
          <t>NIGHTDRESSES AND PYJAMAS OF COTTON</t>
        </is>
      </c>
      <c r="E3454" s="3" t="n">
        <v>1.18</v>
      </c>
      <c r="F3454" s="3" t="n">
        <v>1.07</v>
      </c>
      <c r="G3454" s="3">
        <f>F3454-E3454</f>
        <v/>
      </c>
      <c r="H3454" s="4">
        <f>IF(E3454=0,"",F3454/E3454-1)</f>
        <v/>
      </c>
      <c r="I3454" t="inlineStr"/>
    </row>
    <row r="3455">
      <c r="A3455" t="inlineStr">
        <is>
          <t>Textiles &amp; apparel</t>
        </is>
      </c>
      <c r="B3455" t="inlineStr">
        <is>
          <t>61</t>
        </is>
      </c>
      <c r="C3455" t="inlineStr">
        <is>
          <t>61046200</t>
        </is>
      </c>
      <c r="D3455" t="inlineStr">
        <is>
          <t>TRSRS,BIBS,BRC OVRLLS,BRCHS,SHRTS OF COTN</t>
        </is>
      </c>
      <c r="E3455" s="3" t="n">
        <v>0.73</v>
      </c>
      <c r="F3455" s="3" t="n">
        <v>1.05</v>
      </c>
      <c r="G3455" s="3">
        <f>F3455-E3455</f>
        <v/>
      </c>
      <c r="H3455" s="4">
        <f>IF(E3455=0,"",F3455/E3455-1)</f>
        <v/>
      </c>
      <c r="I3455" t="inlineStr"/>
    </row>
    <row r="3456">
      <c r="A3456" t="inlineStr">
        <is>
          <t>Textiles &amp; apparel</t>
        </is>
      </c>
      <c r="B3456" t="inlineStr">
        <is>
          <t>61</t>
        </is>
      </c>
      <c r="C3456" t="inlineStr">
        <is>
          <t>61079190</t>
        </is>
      </c>
      <c r="D3456" t="inlineStr">
        <is>
          <t>OTHR COTTON ARTICLES</t>
        </is>
      </c>
      <c r="E3456" s="3" t="n">
        <v>0.26</v>
      </c>
      <c r="F3456" s="3" t="n">
        <v>1.05</v>
      </c>
      <c r="G3456" s="3">
        <f>F3456-E3456</f>
        <v/>
      </c>
      <c r="H3456" s="4">
        <f>IF(E3456=0,"",F3456/E3456-1)</f>
        <v/>
      </c>
      <c r="I3456" t="inlineStr"/>
    </row>
    <row r="3457">
      <c r="A3457" t="inlineStr">
        <is>
          <t>Textiles &amp; apparel</t>
        </is>
      </c>
      <c r="B3457" t="inlineStr">
        <is>
          <t>62</t>
        </is>
      </c>
      <c r="C3457" t="inlineStr">
        <is>
          <t>62149039</t>
        </is>
      </c>
      <c r="D3457" t="inlineStr">
        <is>
          <t>ODHANI,COTTON,N.E.S.</t>
        </is>
      </c>
      <c r="E3457" s="3" t="n">
        <v>6.93</v>
      </c>
      <c r="F3457" s="3" t="n">
        <v>1.05</v>
      </c>
      <c r="G3457" s="3">
        <f>F3457-E3457</f>
        <v/>
      </c>
      <c r="H3457" s="4">
        <f>IF(E3457=0,"",F3457/E3457-1)</f>
        <v/>
      </c>
      <c r="I3457" t="inlineStr"/>
    </row>
    <row r="3458">
      <c r="A3458" t="inlineStr">
        <is>
          <t>Textiles &amp; apparel</t>
        </is>
      </c>
      <c r="B3458" t="inlineStr">
        <is>
          <t>52</t>
        </is>
      </c>
      <c r="C3458" t="inlineStr">
        <is>
          <t>52121100</t>
        </is>
      </c>
      <c r="D3458" t="inlineStr">
        <is>
          <t>OTHR UNBLCHED WOVEN FABRICS OF COTTON WEIGHING NOT MORE THAN 200 G/M2</t>
        </is>
      </c>
      <c r="E3458" s="3" t="n">
        <v>2.42</v>
      </c>
      <c r="F3458" s="3" t="n">
        <v>1.04</v>
      </c>
      <c r="G3458" s="3">
        <f>F3458-E3458</f>
        <v/>
      </c>
      <c r="H3458" s="4">
        <f>IF(E3458=0,"",F3458/E3458-1)</f>
        <v/>
      </c>
      <c r="I3458" t="inlineStr"/>
    </row>
    <row r="3459">
      <c r="A3459" t="inlineStr">
        <is>
          <t>Textiles &amp; apparel</t>
        </is>
      </c>
      <c r="B3459" t="inlineStr">
        <is>
          <t>54</t>
        </is>
      </c>
      <c r="C3459" t="inlineStr">
        <is>
          <t>54071099</t>
        </is>
      </c>
      <c r="D3459" t="inlineStr">
        <is>
          <t>OTHR POLYESTER FBRCS NES</t>
        </is>
      </c>
      <c r="E3459" s="3" t="n">
        <v>0.4</v>
      </c>
      <c r="F3459" s="3" t="n">
        <v>1.03</v>
      </c>
      <c r="G3459" s="3">
        <f>F3459-E3459</f>
        <v/>
      </c>
      <c r="H3459" s="4">
        <f>IF(E3459=0,"",F3459/E3459-1)</f>
        <v/>
      </c>
      <c r="I3459" t="inlineStr"/>
    </row>
    <row r="3460">
      <c r="A3460" t="inlineStr">
        <is>
          <t>Textiles &amp; apparel</t>
        </is>
      </c>
      <c r="B3460" t="inlineStr">
        <is>
          <t>55</t>
        </is>
      </c>
      <c r="C3460" t="inlineStr">
        <is>
          <t>55095900</t>
        </is>
      </c>
      <c r="D3460" t="inlineStr">
        <is>
          <t>OTHER YARN OF POLYESTER STAPLE FIBRES</t>
        </is>
      </c>
      <c r="E3460" s="3" t="n">
        <v>0</v>
      </c>
      <c r="F3460" s="3" t="n">
        <v>1.03</v>
      </c>
      <c r="G3460" s="3">
        <f>F3460-E3460</f>
        <v/>
      </c>
      <c r="H3460" s="4">
        <f>IF(E3460=0,"",F3460/E3460-1)</f>
        <v/>
      </c>
      <c r="I3460" t="inlineStr"/>
    </row>
    <row r="3461">
      <c r="A3461" t="inlineStr">
        <is>
          <t>Textiles &amp; apparel</t>
        </is>
      </c>
      <c r="B3461" t="inlineStr">
        <is>
          <t>56</t>
        </is>
      </c>
      <c r="C3461" t="inlineStr">
        <is>
          <t>56012110</t>
        </is>
      </c>
      <c r="D3461" t="inlineStr">
        <is>
          <t>ABSORBENT COTTON WOOL</t>
        </is>
      </c>
      <c r="E3461" s="3" t="n">
        <v>0.6</v>
      </c>
      <c r="F3461" s="3" t="n">
        <v>1.03</v>
      </c>
      <c r="G3461" s="3">
        <f>F3461-E3461</f>
        <v/>
      </c>
      <c r="H3461" s="4">
        <f>IF(E3461=0,"",F3461/E3461-1)</f>
        <v/>
      </c>
      <c r="I3461" t="inlineStr"/>
    </row>
    <row r="3462">
      <c r="A3462" t="inlineStr">
        <is>
          <t>Textiles &amp; apparel</t>
        </is>
      </c>
      <c r="B3462" t="inlineStr">
        <is>
          <t>62</t>
        </is>
      </c>
      <c r="C3462" t="inlineStr">
        <is>
          <t>62141090</t>
        </is>
      </c>
      <c r="D3462" t="inlineStr">
        <is>
          <t>SHWLS,SCRVS,ETC OF SLK,OTHERS</t>
        </is>
      </c>
      <c r="E3462" s="3" t="n">
        <v>0.52</v>
      </c>
      <c r="F3462" s="3" t="n">
        <v>1.02</v>
      </c>
      <c r="G3462" s="3">
        <f>F3462-E3462</f>
        <v/>
      </c>
      <c r="H3462" s="4">
        <f>IF(E3462=0,"",F3462/E3462-1)</f>
        <v/>
      </c>
      <c r="I3462" t="inlineStr"/>
    </row>
    <row r="3463">
      <c r="A3463" t="inlineStr">
        <is>
          <t>Textiles &amp; apparel</t>
        </is>
      </c>
      <c r="B3463" t="inlineStr">
        <is>
          <t>63</t>
        </is>
      </c>
      <c r="C3463" t="inlineStr">
        <is>
          <t>63051040</t>
        </is>
      </c>
      <c r="D3463" t="inlineStr">
        <is>
          <t>JUTE SACKING BAGS</t>
        </is>
      </c>
      <c r="E3463" s="3" t="n">
        <v>1.41</v>
      </c>
      <c r="F3463" s="3" t="n">
        <v>1</v>
      </c>
      <c r="G3463" s="3">
        <f>F3463-E3463</f>
        <v/>
      </c>
      <c r="H3463" s="4">
        <f>IF(E3463=0,"",F3463/E3463-1)</f>
        <v/>
      </c>
      <c r="I3463" t="inlineStr"/>
    </row>
    <row r="3464">
      <c r="A3464" t="inlineStr">
        <is>
          <t>Textiles &amp; apparel</t>
        </is>
      </c>
      <c r="B3464" t="inlineStr">
        <is>
          <t>52</t>
        </is>
      </c>
      <c r="C3464" t="inlineStr">
        <is>
          <t>52083129</t>
        </is>
      </c>
      <c r="D3464" t="inlineStr">
        <is>
          <t>OTHERS-OF-COTN FABRICS CONTNG &gt;=85%BY WT OF COTNDYED PLAIN WEAVE WEIGNG&lt;=100 G/M2</t>
        </is>
      </c>
      <c r="E3464" s="3" t="n">
        <v>0.2</v>
      </c>
      <c r="F3464" s="3" t="n">
        <v>0.99</v>
      </c>
      <c r="G3464" s="3">
        <f>F3464-E3464</f>
        <v/>
      </c>
      <c r="H3464" s="4">
        <f>IF(E3464=0,"",F3464/E3464-1)</f>
        <v/>
      </c>
      <c r="I3464" t="inlineStr"/>
    </row>
    <row r="3465">
      <c r="A3465" t="inlineStr">
        <is>
          <t>Textiles &amp; apparel</t>
        </is>
      </c>
      <c r="B3465" t="inlineStr">
        <is>
          <t>54</t>
        </is>
      </c>
      <c r="C3465" t="inlineStr">
        <is>
          <t>54074290</t>
        </is>
      </c>
      <c r="D3465" t="inlineStr">
        <is>
          <t>OTHERS-OF-WOVEN FABRICS CNTNG BY WT&gt;=85% OF FILAMENTS OF NYLON OR OTHR POLYAMIDES,DYED</t>
        </is>
      </c>
      <c r="E3465" s="3" t="n">
        <v>0.97</v>
      </c>
      <c r="F3465" s="3" t="n">
        <v>0.97</v>
      </c>
      <c r="G3465" s="3">
        <f>F3465-E3465</f>
        <v/>
      </c>
      <c r="H3465" s="4">
        <f>IF(E3465=0,"",F3465/E3465-1)</f>
        <v/>
      </c>
      <c r="I3465" t="inlineStr"/>
    </row>
    <row r="3466">
      <c r="A3466" t="inlineStr">
        <is>
          <t>Textiles &amp; apparel</t>
        </is>
      </c>
      <c r="B3466" t="inlineStr">
        <is>
          <t>61</t>
        </is>
      </c>
      <c r="C3466" t="inlineStr">
        <is>
          <t>61034200</t>
        </is>
      </c>
      <c r="D3466" t="inlineStr">
        <is>
          <t>TROUSERS,SHORTS ETC OF COTTON</t>
        </is>
      </c>
      <c r="E3466" s="3" t="n">
        <v>1.89</v>
      </c>
      <c r="F3466" s="3" t="n">
        <v>0.97</v>
      </c>
      <c r="G3466" s="3">
        <f>F3466-E3466</f>
        <v/>
      </c>
      <c r="H3466" s="4">
        <f>IF(E3466=0,"",F3466/E3466-1)</f>
        <v/>
      </c>
      <c r="I3466" t="inlineStr"/>
    </row>
    <row r="3467">
      <c r="A3467" t="inlineStr">
        <is>
          <t>Textiles &amp; apparel</t>
        </is>
      </c>
      <c r="B3467" t="inlineStr">
        <is>
          <t>56</t>
        </is>
      </c>
      <c r="C3467" t="inlineStr">
        <is>
          <t>56081190</t>
        </is>
      </c>
      <c r="D3467" t="inlineStr">
        <is>
          <t>MADE UP FISHING NETS OTHR THAN NYLON</t>
        </is>
      </c>
      <c r="E3467" s="3" t="n">
        <v>0.1</v>
      </c>
      <c r="F3467" s="3" t="n">
        <v>0.96</v>
      </c>
      <c r="G3467" s="3">
        <f>F3467-E3467</f>
        <v/>
      </c>
      <c r="H3467" s="4">
        <f>IF(E3467=0,"",F3467/E3467-1)</f>
        <v/>
      </c>
      <c r="I3467" t="inlineStr"/>
    </row>
    <row r="3468">
      <c r="A3468" t="inlineStr">
        <is>
          <t>Textiles &amp; apparel</t>
        </is>
      </c>
      <c r="B3468" t="inlineStr">
        <is>
          <t>54</t>
        </is>
      </c>
      <c r="C3468" t="inlineStr">
        <is>
          <t>54033100</t>
        </is>
      </c>
      <c r="D3468" t="inlineStr">
        <is>
          <t>OTHR YARN OF VISCOSE RAYON,SNGL,UNTWSTD/ WITH A TWIST NT EXCDNG 120 TURNS PER METRE</t>
        </is>
      </c>
      <c r="E3468" s="3" t="n">
        <v>0.55</v>
      </c>
      <c r="F3468" s="3" t="n">
        <v>0.95</v>
      </c>
      <c r="G3468" s="3">
        <f>F3468-E3468</f>
        <v/>
      </c>
      <c r="H3468" s="4">
        <f>IF(E3468=0,"",F3468/E3468-1)</f>
        <v/>
      </c>
      <c r="I3468" t="inlineStr"/>
    </row>
    <row r="3469">
      <c r="A3469" t="inlineStr">
        <is>
          <t>Textiles &amp; apparel</t>
        </is>
      </c>
      <c r="B3469" t="inlineStr">
        <is>
          <t>61</t>
        </is>
      </c>
      <c r="C3469" t="inlineStr">
        <is>
          <t>61109000</t>
        </is>
      </c>
      <c r="D3469" t="inlineStr">
        <is>
          <t>JERSEY ETC OF OTHER TXTL MATRLS</t>
        </is>
      </c>
      <c r="E3469" s="3" t="n">
        <v>0.12</v>
      </c>
      <c r="F3469" s="3" t="n">
        <v>0.89</v>
      </c>
      <c r="G3469" s="3">
        <f>F3469-E3469</f>
        <v/>
      </c>
      <c r="H3469" s="4">
        <f>IF(E3469=0,"",F3469/E3469-1)</f>
        <v/>
      </c>
      <c r="I3469" t="inlineStr"/>
    </row>
    <row r="3470">
      <c r="A3470" t="inlineStr">
        <is>
          <t>Textiles &amp; apparel</t>
        </is>
      </c>
      <c r="B3470" t="inlineStr">
        <is>
          <t>56</t>
        </is>
      </c>
      <c r="C3470" t="inlineStr">
        <is>
          <t>56075090</t>
        </is>
      </c>
      <c r="D3470" t="inlineStr">
        <is>
          <t>OTHERS-OF-TWNE,CORDGE,CBLS ETC OF OTHR SYNTHTC FIBRS</t>
        </is>
      </c>
      <c r="E3470" s="3" t="n">
        <v>0.08</v>
      </c>
      <c r="F3470" s="3" t="n">
        <v>0.88</v>
      </c>
      <c r="G3470" s="3">
        <f>F3470-E3470</f>
        <v/>
      </c>
      <c r="H3470" s="4">
        <f>IF(E3470=0,"",F3470/E3470-1)</f>
        <v/>
      </c>
      <c r="I3470" t="inlineStr"/>
    </row>
    <row r="3471">
      <c r="A3471" t="inlineStr">
        <is>
          <t>Textiles &amp; apparel</t>
        </is>
      </c>
      <c r="B3471" t="inlineStr">
        <is>
          <t>61</t>
        </is>
      </c>
      <c r="C3471" t="inlineStr">
        <is>
          <t>61031020</t>
        </is>
      </c>
      <c r="D3471" t="inlineStr">
        <is>
          <t>SUITS OF COTTON</t>
        </is>
      </c>
      <c r="E3471" s="3" t="n">
        <v>0.17</v>
      </c>
      <c r="F3471" s="3" t="n">
        <v>0.88</v>
      </c>
      <c r="G3471" s="3">
        <f>F3471-E3471</f>
        <v/>
      </c>
      <c r="H3471" s="4">
        <f>IF(E3471=0,"",F3471/E3471-1)</f>
        <v/>
      </c>
      <c r="I3471" t="inlineStr"/>
    </row>
    <row r="3472">
      <c r="A3472" t="inlineStr">
        <is>
          <t>Textiles &amp; apparel</t>
        </is>
      </c>
      <c r="B3472" t="inlineStr">
        <is>
          <t>55</t>
        </is>
      </c>
      <c r="C3472" t="inlineStr">
        <is>
          <t>55081000</t>
        </is>
      </c>
      <c r="D3472" t="inlineStr">
        <is>
          <t>SEWING THREAD OF SYNTHTC STAPLE FIBRES</t>
        </is>
      </c>
      <c r="E3472" s="3" t="n">
        <v>0.04</v>
      </c>
      <c r="F3472" s="3" t="n">
        <v>0.84</v>
      </c>
      <c r="G3472" s="3">
        <f>F3472-E3472</f>
        <v/>
      </c>
      <c r="H3472" s="4">
        <f>IF(E3472=0,"",F3472/E3472-1)</f>
        <v/>
      </c>
      <c r="I3472" t="inlineStr"/>
    </row>
    <row r="3473">
      <c r="A3473" t="inlineStr">
        <is>
          <t>Textiles &amp; apparel</t>
        </is>
      </c>
      <c r="B3473" t="inlineStr">
        <is>
          <t>55</t>
        </is>
      </c>
      <c r="C3473" t="inlineStr">
        <is>
          <t>55142900</t>
        </is>
      </c>
      <c r="D3473" t="inlineStr">
        <is>
          <t>WOVEN FABRICS OF OTHR SYNTHTC FIBRS,DYED</t>
        </is>
      </c>
      <c r="E3473" s="3" t="n">
        <v>2.14</v>
      </c>
      <c r="F3473" s="3" t="n">
        <v>0.84</v>
      </c>
      <c r="G3473" s="3">
        <f>F3473-E3473</f>
        <v/>
      </c>
      <c r="H3473" s="4">
        <f>IF(E3473=0,"",F3473/E3473-1)</f>
        <v/>
      </c>
      <c r="I3473" t="inlineStr"/>
    </row>
    <row r="3474">
      <c r="A3474" t="inlineStr">
        <is>
          <t>Textiles &amp; apparel</t>
        </is>
      </c>
      <c r="B3474" t="inlineStr">
        <is>
          <t>56</t>
        </is>
      </c>
      <c r="C3474" t="inlineStr">
        <is>
          <t>56090090</t>
        </is>
      </c>
      <c r="D3474" t="inlineStr">
        <is>
          <t>ARTICLES,MADE-UP OF OTHER FIBRES</t>
        </is>
      </c>
      <c r="E3474" s="3" t="n">
        <v>0.52</v>
      </c>
      <c r="F3474" s="3" t="n">
        <v>0.82</v>
      </c>
      <c r="G3474" s="3">
        <f>F3474-E3474</f>
        <v/>
      </c>
      <c r="H3474" s="4">
        <f>IF(E3474=0,"",F3474/E3474-1)</f>
        <v/>
      </c>
      <c r="I3474" t="inlineStr"/>
    </row>
    <row r="3475">
      <c r="A3475" t="inlineStr">
        <is>
          <t>Textiles &amp; apparel</t>
        </is>
      </c>
      <c r="B3475" t="inlineStr">
        <is>
          <t>63</t>
        </is>
      </c>
      <c r="C3475" t="inlineStr">
        <is>
          <t>63049270</t>
        </is>
      </c>
      <c r="D3475" t="inlineStr">
        <is>
          <t>MOSQUITO NETS OF COTN, NTKNTD/CRCHTD</t>
        </is>
      </c>
      <c r="E3475" s="3" t="n">
        <v>0.95</v>
      </c>
      <c r="F3475" s="3" t="n">
        <v>0.82</v>
      </c>
      <c r="G3475" s="3">
        <f>F3475-E3475</f>
        <v/>
      </c>
      <c r="H3475" s="4">
        <f>IF(E3475=0,"",F3475/E3475-1)</f>
        <v/>
      </c>
      <c r="I3475" t="inlineStr"/>
    </row>
    <row r="3476">
      <c r="A3476" t="inlineStr">
        <is>
          <t>Textiles &amp; apparel</t>
        </is>
      </c>
      <c r="B3476" t="inlineStr">
        <is>
          <t>61</t>
        </is>
      </c>
      <c r="C3476" t="inlineStr">
        <is>
          <t>61051090</t>
        </is>
      </c>
      <c r="D3476" t="inlineStr">
        <is>
          <t>OTHER SHIRTS OF COTTON</t>
        </is>
      </c>
      <c r="E3476" s="3" t="n">
        <v>0.46</v>
      </c>
      <c r="F3476" s="3" t="n">
        <v>0.8</v>
      </c>
      <c r="G3476" s="3">
        <f>F3476-E3476</f>
        <v/>
      </c>
      <c r="H3476" s="4">
        <f>IF(E3476=0,"",F3476/E3476-1)</f>
        <v/>
      </c>
      <c r="I3476" t="inlineStr"/>
    </row>
    <row r="3477">
      <c r="A3477" t="inlineStr">
        <is>
          <t>Textiles &amp; apparel</t>
        </is>
      </c>
      <c r="B3477" t="inlineStr">
        <is>
          <t>62</t>
        </is>
      </c>
      <c r="C3477" t="inlineStr">
        <is>
          <t>62114999</t>
        </is>
      </c>
      <c r="D3477" t="inlineStr">
        <is>
          <t>OTHER GARMENTS OF OTHER TEXTILE MATERIALS EXCL. WOOL OR FINE ANIMAL HAIR/SILK - OTHER</t>
        </is>
      </c>
      <c r="E3477" s="3" t="n">
        <v>0.93</v>
      </c>
      <c r="F3477" s="3" t="n">
        <v>0.8</v>
      </c>
      <c r="G3477" s="3">
        <f>F3477-E3477</f>
        <v/>
      </c>
      <c r="H3477" s="4">
        <f>IF(E3477=0,"",F3477/E3477-1)</f>
        <v/>
      </c>
      <c r="I3477" t="inlineStr"/>
    </row>
    <row r="3478">
      <c r="A3478" t="inlineStr">
        <is>
          <t>Textiles &amp; apparel</t>
        </is>
      </c>
      <c r="B3478" t="inlineStr">
        <is>
          <t>63</t>
        </is>
      </c>
      <c r="C3478" t="inlineStr">
        <is>
          <t>63079011</t>
        </is>
      </c>
      <c r="D3478" t="inlineStr">
        <is>
          <t>DRESS MATERIALS OF COTTON HAND PRINTED</t>
        </is>
      </c>
      <c r="E3478" s="3" t="n">
        <v>0.66</v>
      </c>
      <c r="F3478" s="3" t="n">
        <v>0.8</v>
      </c>
      <c r="G3478" s="3">
        <f>F3478-E3478</f>
        <v/>
      </c>
      <c r="H3478" s="4">
        <f>IF(E3478=0,"",F3478/E3478-1)</f>
        <v/>
      </c>
      <c r="I3478" t="inlineStr"/>
    </row>
    <row r="3479">
      <c r="A3479" t="inlineStr">
        <is>
          <t>Textiles &amp; apparel</t>
        </is>
      </c>
      <c r="B3479" t="inlineStr">
        <is>
          <t>62</t>
        </is>
      </c>
      <c r="C3479" t="inlineStr">
        <is>
          <t>62142090</t>
        </is>
      </c>
      <c r="D3479" t="inlineStr">
        <is>
          <t>OTHR ITMS OF WOOL OTHR THN SHWLS,SCRVS AND MUFFLERS</t>
        </is>
      </c>
      <c r="E3479" s="3" t="n">
        <v>2.05</v>
      </c>
      <c r="F3479" s="3" t="n">
        <v>0.79</v>
      </c>
      <c r="G3479" s="3">
        <f>F3479-E3479</f>
        <v/>
      </c>
      <c r="H3479" s="4">
        <f>IF(E3479=0,"",F3479/E3479-1)</f>
        <v/>
      </c>
      <c r="I3479" t="inlineStr"/>
    </row>
    <row r="3480">
      <c r="A3480" t="inlineStr">
        <is>
          <t>Textiles &amp; apparel</t>
        </is>
      </c>
      <c r="B3480" t="inlineStr">
        <is>
          <t>62</t>
        </is>
      </c>
      <c r="C3480" t="inlineStr">
        <is>
          <t>62114219</t>
        </is>
      </c>
      <c r="D3480" t="inlineStr">
        <is>
          <t>KURTA AND SALWAR WTH/WTHOUT DUPTA OF COTN - OTHER</t>
        </is>
      </c>
      <c r="E3480" s="3" t="n">
        <v>0.23</v>
      </c>
      <c r="F3480" s="3" t="n">
        <v>0.76</v>
      </c>
      <c r="G3480" s="3">
        <f>F3480-E3480</f>
        <v/>
      </c>
      <c r="H3480" s="4">
        <f>IF(E3480=0,"",F3480/E3480-1)</f>
        <v/>
      </c>
      <c r="I3480" t="inlineStr"/>
    </row>
    <row r="3481">
      <c r="A3481" t="inlineStr">
        <is>
          <t>Textiles &amp; apparel</t>
        </is>
      </c>
      <c r="B3481" t="inlineStr">
        <is>
          <t>63</t>
        </is>
      </c>
      <c r="C3481" t="inlineStr">
        <is>
          <t>63049250</t>
        </is>
      </c>
      <c r="D3481" t="inlineStr">
        <is>
          <t>TERRY TOWEL OF COTN, NTKNTD/CRCHTD</t>
        </is>
      </c>
      <c r="E3481" s="3" t="n">
        <v>0.41</v>
      </c>
      <c r="F3481" s="3" t="n">
        <v>0.75</v>
      </c>
      <c r="G3481" s="3">
        <f>F3481-E3481</f>
        <v/>
      </c>
      <c r="H3481" s="4">
        <f>IF(E3481=0,"",F3481/E3481-1)</f>
        <v/>
      </c>
      <c r="I3481" t="inlineStr"/>
    </row>
    <row r="3482">
      <c r="A3482" t="inlineStr">
        <is>
          <t>Textiles &amp; apparel</t>
        </is>
      </c>
      <c r="B3482" t="inlineStr">
        <is>
          <t>55</t>
        </is>
      </c>
      <c r="C3482" t="inlineStr">
        <is>
          <t>55161490</t>
        </is>
      </c>
      <c r="D3482" t="inlineStr">
        <is>
          <t>SPUN RAYON PRINTED FABRICS N.E.S.</t>
        </is>
      </c>
      <c r="E3482" s="3" t="n">
        <v>0.01</v>
      </c>
      <c r="F3482" s="3" t="n">
        <v>0.74</v>
      </c>
      <c r="G3482" s="3">
        <f>F3482-E3482</f>
        <v/>
      </c>
      <c r="H3482" s="4">
        <f>IF(E3482=0,"",F3482/E3482-1)</f>
        <v/>
      </c>
      <c r="I3482" t="inlineStr"/>
    </row>
    <row r="3483">
      <c r="A3483" t="inlineStr">
        <is>
          <t>Textiles &amp; apparel</t>
        </is>
      </c>
      <c r="B3483" t="inlineStr">
        <is>
          <t>59</t>
        </is>
      </c>
      <c r="C3483" t="inlineStr">
        <is>
          <t>59070019</t>
        </is>
      </c>
      <c r="D3483" t="inlineStr">
        <is>
          <t>TXTL FBRCS COVRD WTH TXTL FLOCKS ON BASE FBRCS OF OTHR TXTL MATRL</t>
        </is>
      </c>
      <c r="E3483" s="3" t="n">
        <v>0.33</v>
      </c>
      <c r="F3483" s="3" t="n">
        <v>0.74</v>
      </c>
      <c r="G3483" s="3">
        <f>F3483-E3483</f>
        <v/>
      </c>
      <c r="H3483" s="4">
        <f>IF(E3483=0,"",F3483/E3483-1)</f>
        <v/>
      </c>
      <c r="I3483" t="inlineStr"/>
    </row>
    <row r="3484">
      <c r="A3484" t="inlineStr">
        <is>
          <t>Textiles &amp; apparel</t>
        </is>
      </c>
      <c r="B3484" t="inlineStr">
        <is>
          <t>62</t>
        </is>
      </c>
      <c r="C3484" t="inlineStr">
        <is>
          <t>62089110</t>
        </is>
      </c>
      <c r="D3484" t="inlineStr">
        <is>
          <t>DRESSING GOWNS AND BATHROBES OF COTN</t>
        </is>
      </c>
      <c r="E3484" s="3" t="n">
        <v>1.79</v>
      </c>
      <c r="F3484" s="3" t="n">
        <v>0.72</v>
      </c>
      <c r="G3484" s="3">
        <f>F3484-E3484</f>
        <v/>
      </c>
      <c r="H3484" s="4">
        <f>IF(E3484=0,"",F3484/E3484-1)</f>
        <v/>
      </c>
      <c r="I3484" t="inlineStr"/>
    </row>
    <row r="3485">
      <c r="A3485" t="inlineStr">
        <is>
          <t>Textiles &amp; apparel</t>
        </is>
      </c>
      <c r="B3485" t="inlineStr">
        <is>
          <t>50</t>
        </is>
      </c>
      <c r="C3485" t="inlineStr">
        <is>
          <t>50079090</t>
        </is>
      </c>
      <c r="D3485" t="inlineStr">
        <is>
          <t>OTHER FABRICS</t>
        </is>
      </c>
      <c r="E3485" s="3" t="n">
        <v>0</v>
      </c>
      <c r="F3485" s="3" t="n">
        <v>0.68</v>
      </c>
      <c r="G3485" s="3">
        <f>F3485-E3485</f>
        <v/>
      </c>
      <c r="H3485" s="4">
        <f>IF(E3485=0,"",F3485/E3485-1)</f>
        <v/>
      </c>
      <c r="I3485" t="inlineStr"/>
    </row>
    <row r="3486">
      <c r="A3486" t="inlineStr">
        <is>
          <t>Textiles &amp; apparel</t>
        </is>
      </c>
      <c r="B3486" t="inlineStr">
        <is>
          <t>62</t>
        </is>
      </c>
      <c r="C3486" t="inlineStr">
        <is>
          <t>62041999</t>
        </is>
      </c>
      <c r="D3486" t="inlineStr">
        <is>
          <t>SUITS OF ALL OTHER FIBRES - Others</t>
        </is>
      </c>
      <c r="E3486" s="3" t="n">
        <v>0.73</v>
      </c>
      <c r="F3486" s="3" t="n">
        <v>0.67</v>
      </c>
      <c r="G3486" s="3">
        <f>F3486-E3486</f>
        <v/>
      </c>
      <c r="H3486" s="4">
        <f>IF(E3486=0,"",F3486/E3486-1)</f>
        <v/>
      </c>
      <c r="I3486" t="inlineStr"/>
    </row>
    <row r="3487">
      <c r="A3487" t="inlineStr">
        <is>
          <t>Textiles &amp; apparel</t>
        </is>
      </c>
      <c r="B3487" t="inlineStr">
        <is>
          <t>63</t>
        </is>
      </c>
      <c r="C3487" t="inlineStr">
        <is>
          <t>63071090</t>
        </is>
      </c>
      <c r="D3487" t="inlineStr">
        <is>
          <t>OTHERS-OF-FLOOR-CLOTHS,DISH-CLOTHS,DUSTERSAND SIMILAR CLEANING CLOTHS</t>
        </is>
      </c>
      <c r="E3487" s="3" t="n">
        <v>0.29</v>
      </c>
      <c r="F3487" s="3" t="n">
        <v>0.67</v>
      </c>
      <c r="G3487" s="3">
        <f>F3487-E3487</f>
        <v/>
      </c>
      <c r="H3487" s="4">
        <f>IF(E3487=0,"",F3487/E3487-1)</f>
        <v/>
      </c>
      <c r="I3487" t="inlineStr"/>
    </row>
    <row r="3488">
      <c r="A3488" t="inlineStr">
        <is>
          <t>Textiles &amp; apparel</t>
        </is>
      </c>
      <c r="B3488" t="inlineStr">
        <is>
          <t>52</t>
        </is>
      </c>
      <c r="C3488" t="inlineStr">
        <is>
          <t>52091190</t>
        </is>
      </c>
      <c r="D3488" t="inlineStr">
        <is>
          <t>OTHERS-OF-PLAIN WEAVE,UNBLEACHED COTTON FABRICS WEIGHING MORE THN 200 GM PER SQM</t>
        </is>
      </c>
      <c r="E3488" s="3" t="n">
        <v>0</v>
      </c>
      <c r="F3488" s="3" t="n">
        <v>0.66</v>
      </c>
      <c r="G3488" s="3">
        <f>F3488-E3488</f>
        <v/>
      </c>
      <c r="H3488" s="4">
        <f>IF(E3488=0,"",F3488/E3488-1)</f>
        <v/>
      </c>
      <c r="I3488" t="inlineStr"/>
    </row>
    <row r="3489">
      <c r="A3489" t="inlineStr">
        <is>
          <t>Textiles &amp; apparel</t>
        </is>
      </c>
      <c r="B3489" t="inlineStr">
        <is>
          <t>61</t>
        </is>
      </c>
      <c r="C3489" t="inlineStr">
        <is>
          <t>61149090</t>
        </is>
      </c>
      <c r="D3489" t="inlineStr">
        <is>
          <t>OTHER GARMENTS OF OTHER FIBRES</t>
        </is>
      </c>
      <c r="E3489" s="3" t="n">
        <v>0.6899999999999999</v>
      </c>
      <c r="F3489" s="3" t="n">
        <v>0.66</v>
      </c>
      <c r="G3489" s="3">
        <f>F3489-E3489</f>
        <v/>
      </c>
      <c r="H3489" s="4">
        <f>IF(E3489=0,"",F3489/E3489-1)</f>
        <v/>
      </c>
      <c r="I3489" t="inlineStr"/>
    </row>
    <row r="3490">
      <c r="A3490" t="inlineStr">
        <is>
          <t>Textiles &amp; apparel</t>
        </is>
      </c>
      <c r="B3490" t="inlineStr">
        <is>
          <t>62</t>
        </is>
      </c>
      <c r="C3490" t="inlineStr">
        <is>
          <t>62064000</t>
        </is>
      </c>
      <c r="D3490" t="inlineStr">
        <is>
          <t>BLOUSES,SHIRTS ETC OF MAN-MADE FIBRES</t>
        </is>
      </c>
      <c r="E3490" s="3" t="n">
        <v>0.51</v>
      </c>
      <c r="F3490" s="3" t="n">
        <v>0.66</v>
      </c>
      <c r="G3490" s="3">
        <f>F3490-E3490</f>
        <v/>
      </c>
      <c r="H3490" s="4">
        <f>IF(E3490=0,"",F3490/E3490-1)</f>
        <v/>
      </c>
      <c r="I3490" t="inlineStr"/>
    </row>
    <row r="3491">
      <c r="A3491" t="inlineStr">
        <is>
          <t>Textiles &amp; apparel</t>
        </is>
      </c>
      <c r="B3491" t="inlineStr">
        <is>
          <t>62</t>
        </is>
      </c>
      <c r="C3491" t="inlineStr">
        <is>
          <t>62141020</t>
        </is>
      </c>
      <c r="D3491" t="inlineStr">
        <is>
          <t>SCRVS OF SLK MSRNG 60 CM/LESS,HND PRINTED</t>
        </is>
      </c>
      <c r="E3491" s="3" t="n">
        <v>0.03</v>
      </c>
      <c r="F3491" s="3" t="n">
        <v>0.66</v>
      </c>
      <c r="G3491" s="3">
        <f>F3491-E3491</f>
        <v/>
      </c>
      <c r="H3491" s="4">
        <f>IF(E3491=0,"",F3491/E3491-1)</f>
        <v/>
      </c>
      <c r="I3491" t="inlineStr"/>
    </row>
    <row r="3492">
      <c r="A3492" t="inlineStr">
        <is>
          <t>Textiles &amp; apparel</t>
        </is>
      </c>
      <c r="B3492" t="inlineStr">
        <is>
          <t>62</t>
        </is>
      </c>
      <c r="C3492" t="inlineStr">
        <is>
          <t>62032200</t>
        </is>
      </c>
      <c r="D3492" t="inlineStr">
        <is>
          <t>ENSEMBLES OF COTTON</t>
        </is>
      </c>
      <c r="E3492" s="3" t="n">
        <v>0.41</v>
      </c>
      <c r="F3492" s="3" t="n">
        <v>0.65</v>
      </c>
      <c r="G3492" s="3">
        <f>F3492-E3492</f>
        <v/>
      </c>
      <c r="H3492" s="4">
        <f>IF(E3492=0,"",F3492/E3492-1)</f>
        <v/>
      </c>
      <c r="I3492" t="inlineStr"/>
    </row>
    <row r="3493">
      <c r="A3493" t="inlineStr">
        <is>
          <t>Textiles &amp; apparel</t>
        </is>
      </c>
      <c r="B3493" t="inlineStr">
        <is>
          <t>61</t>
        </is>
      </c>
      <c r="C3493" t="inlineStr">
        <is>
          <t>61159990</t>
        </is>
      </c>
      <c r="D3493" t="inlineStr">
        <is>
          <t>OTHER HOSIERY OF OTHER TEXTILE FIBRES</t>
        </is>
      </c>
      <c r="E3493" s="3" t="n">
        <v>1.16</v>
      </c>
      <c r="F3493" s="3" t="n">
        <v>0.64</v>
      </c>
      <c r="G3493" s="3">
        <f>F3493-E3493</f>
        <v/>
      </c>
      <c r="H3493" s="4">
        <f>IF(E3493=0,"",F3493/E3493-1)</f>
        <v/>
      </c>
      <c r="I3493" t="inlineStr"/>
    </row>
    <row r="3494">
      <c r="A3494" t="inlineStr">
        <is>
          <t>Textiles &amp; apparel</t>
        </is>
      </c>
      <c r="B3494" t="inlineStr">
        <is>
          <t>52</t>
        </is>
      </c>
      <c r="C3494" t="inlineStr">
        <is>
          <t>52081110</t>
        </is>
      </c>
      <c r="D3494" t="inlineStr">
        <is>
          <t>DHOTI</t>
        </is>
      </c>
      <c r="E3494" s="3" t="n">
        <v>0.2</v>
      </c>
      <c r="F3494" s="3" t="n">
        <v>0.63</v>
      </c>
      <c r="G3494" s="3">
        <f>F3494-E3494</f>
        <v/>
      </c>
      <c r="H3494" s="4">
        <f>IF(E3494=0,"",F3494/E3494-1)</f>
        <v/>
      </c>
      <c r="I3494" t="inlineStr"/>
    </row>
    <row r="3495">
      <c r="A3495" t="inlineStr">
        <is>
          <t>Textiles &amp; apparel</t>
        </is>
      </c>
      <c r="B3495" t="inlineStr">
        <is>
          <t>61</t>
        </is>
      </c>
      <c r="C3495" t="inlineStr">
        <is>
          <t>61083990</t>
        </is>
      </c>
      <c r="D3495" t="inlineStr">
        <is>
          <t>NIGHTDRESSES AND PYJAMAS OF OTHR FIBRES</t>
        </is>
      </c>
      <c r="E3495" s="3" t="n">
        <v>0.49</v>
      </c>
      <c r="F3495" s="3" t="n">
        <v>0.63</v>
      </c>
      <c r="G3495" s="3">
        <f>F3495-E3495</f>
        <v/>
      </c>
      <c r="H3495" s="4">
        <f>IF(E3495=0,"",F3495/E3495-1)</f>
        <v/>
      </c>
      <c r="I3495" t="inlineStr"/>
    </row>
    <row r="3496">
      <c r="A3496" t="inlineStr">
        <is>
          <t>Textiles &amp; apparel</t>
        </is>
      </c>
      <c r="B3496" t="inlineStr">
        <is>
          <t>54</t>
        </is>
      </c>
      <c r="C3496" t="inlineStr">
        <is>
          <t>54011000</t>
        </is>
      </c>
      <c r="D3496" t="inlineStr">
        <is>
          <t>SEWING THRED OF SYNTHETIC FILAMENTS</t>
        </is>
      </c>
      <c r="E3496" s="3" t="n">
        <v>0.24</v>
      </c>
      <c r="F3496" s="3" t="n">
        <v>0.62</v>
      </c>
      <c r="G3496" s="3">
        <f>F3496-E3496</f>
        <v/>
      </c>
      <c r="H3496" s="4">
        <f>IF(E3496=0,"",F3496/E3496-1)</f>
        <v/>
      </c>
      <c r="I3496" t="inlineStr"/>
    </row>
    <row r="3497">
      <c r="A3497" t="inlineStr">
        <is>
          <t>Textiles &amp; apparel</t>
        </is>
      </c>
      <c r="B3497" t="inlineStr">
        <is>
          <t>56</t>
        </is>
      </c>
      <c r="C3497" t="inlineStr">
        <is>
          <t>56039200</t>
        </is>
      </c>
      <c r="D3497" t="inlineStr">
        <is>
          <t>OTHER FILMNT WGHNG BETWN 25G/SQM AND 70G/SQM</t>
        </is>
      </c>
      <c r="E3497" s="3" t="n">
        <v>0.19</v>
      </c>
      <c r="F3497" s="3" t="n">
        <v>0.62</v>
      </c>
      <c r="G3497" s="3">
        <f>F3497-E3497</f>
        <v/>
      </c>
      <c r="H3497" s="4">
        <f>IF(E3497=0,"",F3497/E3497-1)</f>
        <v/>
      </c>
      <c r="I3497" t="inlineStr"/>
    </row>
    <row r="3498">
      <c r="A3498" t="inlineStr">
        <is>
          <t>Textiles &amp; apparel</t>
        </is>
      </c>
      <c r="B3498" t="inlineStr">
        <is>
          <t>62</t>
        </is>
      </c>
      <c r="C3498" t="inlineStr">
        <is>
          <t>62014090</t>
        </is>
      </c>
      <c r="D3498" t="inlineStr">
        <is>
          <t>OTHERS-OF-OF MAN-MADE FIBRES</t>
        </is>
      </c>
      <c r="E3498" s="3" t="n">
        <v>0.01</v>
      </c>
      <c r="F3498" s="3" t="n">
        <v>0.62</v>
      </c>
      <c r="G3498" s="3">
        <f>F3498-E3498</f>
        <v/>
      </c>
      <c r="H3498" s="4">
        <f>IF(E3498=0,"",F3498/E3498-1)</f>
        <v/>
      </c>
      <c r="I3498" t="inlineStr"/>
    </row>
    <row r="3499">
      <c r="A3499" t="inlineStr">
        <is>
          <t>Textiles &amp; apparel</t>
        </is>
      </c>
      <c r="B3499" t="inlineStr">
        <is>
          <t>53</t>
        </is>
      </c>
      <c r="C3499" t="inlineStr">
        <is>
          <t>53050040</t>
        </is>
      </c>
      <c r="D3499" t="inlineStr">
        <is>
          <t>C0IR PITH</t>
        </is>
      </c>
      <c r="E3499" s="3" t="n">
        <v>0.23</v>
      </c>
      <c r="F3499" s="3" t="n">
        <v>0.61</v>
      </c>
      <c r="G3499" s="3">
        <f>F3499-E3499</f>
        <v/>
      </c>
      <c r="H3499" s="4">
        <f>IF(E3499=0,"",F3499/E3499-1)</f>
        <v/>
      </c>
      <c r="I3499" t="inlineStr"/>
    </row>
    <row r="3500">
      <c r="A3500" t="inlineStr">
        <is>
          <t>Textiles &amp; apparel</t>
        </is>
      </c>
      <c r="B3500" t="inlineStr">
        <is>
          <t>61</t>
        </is>
      </c>
      <c r="C3500" t="inlineStr">
        <is>
          <t>61142000</t>
        </is>
      </c>
      <c r="D3500" t="inlineStr">
        <is>
          <t>OTHER GARMENTS OF COTTON</t>
        </is>
      </c>
      <c r="E3500" s="3" t="n">
        <v>0.3</v>
      </c>
      <c r="F3500" s="3" t="n">
        <v>0.61</v>
      </c>
      <c r="G3500" s="3">
        <f>F3500-E3500</f>
        <v/>
      </c>
      <c r="H3500" s="4">
        <f>IF(E3500=0,"",F3500/E3500-1)</f>
        <v/>
      </c>
      <c r="I3500" t="inlineStr"/>
    </row>
    <row r="3501">
      <c r="A3501" t="inlineStr">
        <is>
          <t>Textiles &amp; apparel</t>
        </is>
      </c>
      <c r="B3501" t="inlineStr">
        <is>
          <t>52</t>
        </is>
      </c>
      <c r="C3501" t="inlineStr">
        <is>
          <t>52083110</t>
        </is>
      </c>
      <c r="D3501" t="inlineStr">
        <is>
          <t>LUNGI</t>
        </is>
      </c>
      <c r="E3501" s="3" t="n">
        <v>0.93</v>
      </c>
      <c r="F3501" s="3" t="n">
        <v>0.6</v>
      </c>
      <c r="G3501" s="3">
        <f>F3501-E3501</f>
        <v/>
      </c>
      <c r="H3501" s="4">
        <f>IF(E3501=0,"",F3501/E3501-1)</f>
        <v/>
      </c>
      <c r="I3501" t="inlineStr"/>
    </row>
    <row r="3502">
      <c r="A3502" t="inlineStr">
        <is>
          <t>Textiles &amp; apparel</t>
        </is>
      </c>
      <c r="B3502" t="inlineStr">
        <is>
          <t>52</t>
        </is>
      </c>
      <c r="C3502" t="inlineStr">
        <is>
          <t>52091250</t>
        </is>
      </c>
      <c r="D3502" t="inlineStr">
        <is>
          <t>CANVAS, INCLD DUCK-CARDED/COMBED YARN</t>
        </is>
      </c>
      <c r="E3502" s="3" t="n">
        <v>0</v>
      </c>
      <c r="F3502" s="3" t="n">
        <v>0.6</v>
      </c>
      <c r="G3502" s="3">
        <f>F3502-E3502</f>
        <v/>
      </c>
      <c r="H3502" s="4">
        <f>IF(E3502=0,"",F3502/E3502-1)</f>
        <v/>
      </c>
      <c r="I3502" t="inlineStr"/>
    </row>
    <row r="3503">
      <c r="A3503" t="inlineStr">
        <is>
          <t>Textiles &amp; apparel</t>
        </is>
      </c>
      <c r="B3503" t="inlineStr">
        <is>
          <t>54</t>
        </is>
      </c>
      <c r="C3503" t="inlineStr">
        <is>
          <t>54026100</t>
        </is>
      </c>
      <c r="D3503" t="inlineStr">
        <is>
          <t>OTHR YARN OF NYLON OR OTHER POLYMDS, MULTIPLE(FOLDED)OR CABLED</t>
        </is>
      </c>
      <c r="E3503" s="3" t="n">
        <v>0.19</v>
      </c>
      <c r="F3503" s="3" t="n">
        <v>0.59</v>
      </c>
      <c r="G3503" s="3">
        <f>F3503-E3503</f>
        <v/>
      </c>
      <c r="H3503" s="4">
        <f>IF(E3503=0,"",F3503/E3503-1)</f>
        <v/>
      </c>
      <c r="I3503" t="inlineStr"/>
    </row>
    <row r="3504">
      <c r="A3504" t="inlineStr">
        <is>
          <t>Textiles &amp; apparel</t>
        </is>
      </c>
      <c r="B3504" t="inlineStr">
        <is>
          <t>59</t>
        </is>
      </c>
      <c r="C3504" t="inlineStr">
        <is>
          <t>59111000</t>
        </is>
      </c>
      <c r="D3504" t="inlineStr">
        <is>
          <t>TXTL FBRCS FLT AND FLT-LND WVN FBRCS COTD COVRD WTH RUBR ETC FR CARD CLOTHNG AND SMLR FBRCS FR OTHR TECHNCL PRPS INCL</t>
        </is>
      </c>
      <c r="E3504" s="3" t="n">
        <v>0.68</v>
      </c>
      <c r="F3504" s="3" t="n">
        <v>0.59</v>
      </c>
      <c r="G3504" s="3">
        <f>F3504-E3504</f>
        <v/>
      </c>
      <c r="H3504" s="4">
        <f>IF(E3504=0,"",F3504/E3504-1)</f>
        <v/>
      </c>
      <c r="I3504" t="inlineStr"/>
    </row>
    <row r="3505">
      <c r="A3505" t="inlineStr">
        <is>
          <t>Textiles &amp; apparel</t>
        </is>
      </c>
      <c r="B3505" t="inlineStr">
        <is>
          <t>62</t>
        </is>
      </c>
      <c r="C3505" t="inlineStr">
        <is>
          <t>62041919</t>
        </is>
      </c>
      <c r="D3505" t="inlineStr">
        <is>
          <t>SUITS OF SILK, OTHERS</t>
        </is>
      </c>
      <c r="E3505" s="3" t="n">
        <v>0.04</v>
      </c>
      <c r="F3505" s="3" t="n">
        <v>0.59</v>
      </c>
      <c r="G3505" s="3">
        <f>F3505-E3505</f>
        <v/>
      </c>
      <c r="H3505" s="4">
        <f>IF(E3505=0,"",F3505/E3505-1)</f>
        <v/>
      </c>
      <c r="I3505" t="inlineStr"/>
    </row>
    <row r="3506">
      <c r="A3506" t="inlineStr">
        <is>
          <t>Textiles &amp; apparel</t>
        </is>
      </c>
      <c r="B3506" t="inlineStr">
        <is>
          <t>55</t>
        </is>
      </c>
      <c r="C3506" t="inlineStr">
        <is>
          <t>55033090</t>
        </is>
      </c>
      <c r="D3506" t="inlineStr">
        <is>
          <t>OTHER STAPLE FIBRS OF ACRLC/MODACRLC NT CRD/CMBD</t>
        </is>
      </c>
      <c r="E3506" s="3" t="n">
        <v>0.07000000000000001</v>
      </c>
      <c r="F3506" s="3" t="n">
        <v>0.58</v>
      </c>
      <c r="G3506" s="3">
        <f>F3506-E3506</f>
        <v/>
      </c>
      <c r="H3506" s="4">
        <f>IF(E3506=0,"",F3506/E3506-1)</f>
        <v/>
      </c>
      <c r="I3506" t="inlineStr"/>
    </row>
    <row r="3507">
      <c r="A3507" t="inlineStr">
        <is>
          <t>Textiles &amp; apparel</t>
        </is>
      </c>
      <c r="B3507" t="inlineStr">
        <is>
          <t>56</t>
        </is>
      </c>
      <c r="C3507" t="inlineStr">
        <is>
          <t>56031200</t>
        </is>
      </c>
      <c r="D3507" t="inlineStr">
        <is>
          <t>MAN-MADE FILMNT WGHNG&gt;25G /SQM</t>
        </is>
      </c>
      <c r="E3507" s="3" t="n">
        <v>0.04</v>
      </c>
      <c r="F3507" s="3" t="n">
        <v>0.58</v>
      </c>
      <c r="G3507" s="3">
        <f>F3507-E3507</f>
        <v/>
      </c>
      <c r="H3507" s="4">
        <f>IF(E3507=0,"",F3507/E3507-1)</f>
        <v/>
      </c>
      <c r="I3507" t="inlineStr"/>
    </row>
    <row r="3508">
      <c r="A3508" t="inlineStr">
        <is>
          <t>Textiles &amp; apparel</t>
        </is>
      </c>
      <c r="B3508" t="inlineStr">
        <is>
          <t>56</t>
        </is>
      </c>
      <c r="C3508" t="inlineStr">
        <is>
          <t>56039490</t>
        </is>
      </c>
      <c r="D3508" t="inlineStr">
        <is>
          <t>OTHER FILMNT WGHNG &gt;150G/SQM-OTHER</t>
        </is>
      </c>
      <c r="E3508" s="3" t="n">
        <v>0.12</v>
      </c>
      <c r="F3508" s="3" t="n">
        <v>0.58</v>
      </c>
      <c r="G3508" s="3">
        <f>F3508-E3508</f>
        <v/>
      </c>
      <c r="H3508" s="4">
        <f>IF(E3508=0,"",F3508/E3508-1)</f>
        <v/>
      </c>
      <c r="I3508" t="inlineStr"/>
    </row>
    <row r="3509">
      <c r="A3509" t="inlineStr">
        <is>
          <t>Textiles &amp; apparel</t>
        </is>
      </c>
      <c r="B3509" t="inlineStr">
        <is>
          <t>61</t>
        </is>
      </c>
      <c r="C3509" t="inlineStr">
        <is>
          <t>61041990</t>
        </is>
      </c>
      <c r="D3509" t="inlineStr">
        <is>
          <t>SUITS OF WOOL/FINE ANML HAIR</t>
        </is>
      </c>
      <c r="E3509" s="3" t="n">
        <v>0.07000000000000001</v>
      </c>
      <c r="F3509" s="3" t="n">
        <v>0.58</v>
      </c>
      <c r="G3509" s="3">
        <f>F3509-E3509</f>
        <v/>
      </c>
      <c r="H3509" s="4">
        <f>IF(E3509=0,"",F3509/E3509-1)</f>
        <v/>
      </c>
      <c r="I3509" t="inlineStr"/>
    </row>
    <row r="3510">
      <c r="A3510" t="inlineStr">
        <is>
          <t>Textiles &amp; apparel</t>
        </is>
      </c>
      <c r="B3510" t="inlineStr">
        <is>
          <t>61</t>
        </is>
      </c>
      <c r="C3510" t="inlineStr">
        <is>
          <t>61071990</t>
        </is>
      </c>
      <c r="D3510" t="inlineStr">
        <is>
          <t>UNDERPANTS AND BRIEFS OF OTHER FIBRES</t>
        </is>
      </c>
      <c r="E3510" s="3" t="n">
        <v>0.16</v>
      </c>
      <c r="F3510" s="3" t="n">
        <v>0.58</v>
      </c>
      <c r="G3510" s="3">
        <f>F3510-E3510</f>
        <v/>
      </c>
      <c r="H3510" s="4">
        <f>IF(E3510=0,"",F3510/E3510-1)</f>
        <v/>
      </c>
      <c r="I3510" t="inlineStr"/>
    </row>
    <row r="3511">
      <c r="A3511" t="inlineStr">
        <is>
          <t>Textiles &amp; apparel</t>
        </is>
      </c>
      <c r="B3511" t="inlineStr">
        <is>
          <t>58</t>
        </is>
      </c>
      <c r="C3511" t="inlineStr">
        <is>
          <t>58063200</t>
        </is>
      </c>
      <c r="D3511" t="inlineStr">
        <is>
          <t>OTHER NARROW WOVEN FBRCS OF MAN-MADE FIBRE</t>
        </is>
      </c>
      <c r="E3511" s="3" t="n">
        <v>0.88</v>
      </c>
      <c r="F3511" s="3" t="n">
        <v>0.57</v>
      </c>
      <c r="G3511" s="3">
        <f>F3511-E3511</f>
        <v/>
      </c>
      <c r="H3511" s="4">
        <f>IF(E3511=0,"",F3511/E3511-1)</f>
        <v/>
      </c>
      <c r="I3511" t="inlineStr"/>
    </row>
    <row r="3512">
      <c r="A3512" t="inlineStr">
        <is>
          <t>Textiles &amp; apparel</t>
        </is>
      </c>
      <c r="B3512" t="inlineStr">
        <is>
          <t>59</t>
        </is>
      </c>
      <c r="C3512" t="inlineStr">
        <is>
          <t>59113290</t>
        </is>
      </c>
      <c r="D3512" t="inlineStr">
        <is>
          <t>OTHERS-OF-TXTL FBRCS AND FLTS,ENDLESS/FITTED WTH LNKNGDEVICES USD IN PAPER MAKING/SMLR MACHINES WEITHING 650 G/M2 OR MORE</t>
        </is>
      </c>
      <c r="E3512" s="3" t="n">
        <v>0.53</v>
      </c>
      <c r="F3512" s="3" t="n">
        <v>0.55</v>
      </c>
      <c r="G3512" s="3">
        <f>F3512-E3512</f>
        <v/>
      </c>
      <c r="H3512" s="4">
        <f>IF(E3512=0,"",F3512/E3512-1)</f>
        <v/>
      </c>
      <c r="I3512" t="inlineStr"/>
    </row>
    <row r="3513">
      <c r="A3513" t="inlineStr">
        <is>
          <t>Textiles &amp; apparel</t>
        </is>
      </c>
      <c r="B3513" t="inlineStr">
        <is>
          <t>61</t>
        </is>
      </c>
      <c r="C3513" t="inlineStr">
        <is>
          <t>61072990</t>
        </is>
      </c>
      <c r="D3513" t="inlineStr">
        <is>
          <t>NIGHTSHIRTS AND PYJAMAS OF OTHR FBRS</t>
        </is>
      </c>
      <c r="E3513" s="3" t="n">
        <v>0.46</v>
      </c>
      <c r="F3513" s="3" t="n">
        <v>0.55</v>
      </c>
      <c r="G3513" s="3">
        <f>F3513-E3513</f>
        <v/>
      </c>
      <c r="H3513" s="4">
        <f>IF(E3513=0,"",F3513/E3513-1)</f>
        <v/>
      </c>
      <c r="I3513" t="inlineStr"/>
    </row>
    <row r="3514">
      <c r="A3514" t="inlineStr">
        <is>
          <t>Textiles &amp; apparel</t>
        </is>
      </c>
      <c r="B3514" t="inlineStr">
        <is>
          <t>55</t>
        </is>
      </c>
      <c r="C3514" t="inlineStr">
        <is>
          <t>55151140</t>
        </is>
      </c>
      <c r="D3514" t="inlineStr">
        <is>
          <t>FBRC OF POLSTR,MXD WTH VISCOS RYON,PRINTD</t>
        </is>
      </c>
      <c r="E3514" s="3" t="n">
        <v>3.53</v>
      </c>
      <c r="F3514" s="3" t="n">
        <v>0.54</v>
      </c>
      <c r="G3514" s="3">
        <f>F3514-E3514</f>
        <v/>
      </c>
      <c r="H3514" s="4">
        <f>IF(E3514=0,"",F3514/E3514-1)</f>
        <v/>
      </c>
      <c r="I3514" t="inlineStr"/>
    </row>
    <row r="3515">
      <c r="A3515" t="inlineStr">
        <is>
          <t>Textiles &amp; apparel</t>
        </is>
      </c>
      <c r="B3515" t="inlineStr">
        <is>
          <t>55</t>
        </is>
      </c>
      <c r="C3515" t="inlineStr">
        <is>
          <t>55161200</t>
        </is>
      </c>
      <c r="D3515" t="inlineStr">
        <is>
          <t>WVN FBRCS,DYD,CNTNG 85% OR MORE BY WT OF ARTIFICIAL STAPLE FBRES</t>
        </is>
      </c>
      <c r="E3515" s="3" t="n">
        <v>0</v>
      </c>
      <c r="F3515" s="3" t="n">
        <v>0.54</v>
      </c>
      <c r="G3515" s="3">
        <f>F3515-E3515</f>
        <v/>
      </c>
      <c r="H3515" s="4">
        <f>IF(E3515=0,"",F3515/E3515-1)</f>
        <v/>
      </c>
      <c r="I3515" t="inlineStr"/>
    </row>
    <row r="3516">
      <c r="A3516" t="inlineStr">
        <is>
          <t>Textiles &amp; apparel</t>
        </is>
      </c>
      <c r="B3516" t="inlineStr">
        <is>
          <t>54</t>
        </is>
      </c>
      <c r="C3516" t="inlineStr">
        <is>
          <t>54075129</t>
        </is>
      </c>
      <c r="D3516" t="inlineStr">
        <is>
          <t>BLECHD OTHR THAN POLYESTER SHIRTG</t>
        </is>
      </c>
      <c r="E3516" s="3" t="n">
        <v>3.09</v>
      </c>
      <c r="F3516" s="3" t="n">
        <v>0.51</v>
      </c>
      <c r="G3516" s="3">
        <f>F3516-E3516</f>
        <v/>
      </c>
      <c r="H3516" s="4">
        <f>IF(E3516=0,"",F3516/E3516-1)</f>
        <v/>
      </c>
      <c r="I3516" t="inlineStr"/>
    </row>
    <row r="3517">
      <c r="A3517" t="inlineStr">
        <is>
          <t>Textiles &amp; apparel</t>
        </is>
      </c>
      <c r="B3517" t="inlineStr">
        <is>
          <t>62</t>
        </is>
      </c>
      <c r="C3517" t="inlineStr">
        <is>
          <t>62033200</t>
        </is>
      </c>
      <c r="D3517" t="inlineStr">
        <is>
          <t>JACKETS AND BLAZERS OF COTTON</t>
        </is>
      </c>
      <c r="E3517" s="3" t="n">
        <v>0.24</v>
      </c>
      <c r="F3517" s="3" t="n">
        <v>0.51</v>
      </c>
      <c r="G3517" s="3">
        <f>F3517-E3517</f>
        <v/>
      </c>
      <c r="H3517" s="4">
        <f>IF(E3517=0,"",F3517/E3517-1)</f>
        <v/>
      </c>
      <c r="I3517" t="inlineStr"/>
    </row>
    <row r="3518">
      <c r="A3518" t="inlineStr">
        <is>
          <t>Textiles &amp; apparel</t>
        </is>
      </c>
      <c r="B3518" t="inlineStr">
        <is>
          <t>63</t>
        </is>
      </c>
      <c r="C3518" t="inlineStr">
        <is>
          <t>63061990</t>
        </is>
      </c>
      <c r="D3518" t="inlineStr">
        <is>
          <t>OTHERS-OF-TARPAULINS ETC OF OTHER TXTL MATRLS</t>
        </is>
      </c>
      <c r="E3518" s="3" t="n">
        <v>0.98</v>
      </c>
      <c r="F3518" s="3" t="n">
        <v>0.51</v>
      </c>
      <c r="G3518" s="3">
        <f>F3518-E3518</f>
        <v/>
      </c>
      <c r="H3518" s="4">
        <f>IF(E3518=0,"",F3518/E3518-1)</f>
        <v/>
      </c>
      <c r="I3518" t="inlineStr"/>
    </row>
    <row r="3519">
      <c r="A3519" t="inlineStr">
        <is>
          <t>Textiles &amp; apparel</t>
        </is>
      </c>
      <c r="B3519" t="inlineStr">
        <is>
          <t>53</t>
        </is>
      </c>
      <c r="C3519" t="inlineStr">
        <is>
          <t>53081090</t>
        </is>
      </c>
      <c r="D3519" t="inlineStr">
        <is>
          <t>COIR YARN,NON BALED, NON SPOOLED</t>
        </is>
      </c>
      <c r="E3519" s="3" t="n">
        <v>0.49</v>
      </c>
      <c r="F3519" s="3" t="n">
        <v>0.5</v>
      </c>
      <c r="G3519" s="3">
        <f>F3519-E3519</f>
        <v/>
      </c>
      <c r="H3519" s="4">
        <f>IF(E3519=0,"",F3519/E3519-1)</f>
        <v/>
      </c>
      <c r="I3519" t="inlineStr"/>
    </row>
    <row r="3520">
      <c r="A3520" t="inlineStr">
        <is>
          <t>Textiles &amp; apparel</t>
        </is>
      </c>
      <c r="B3520" t="inlineStr">
        <is>
          <t>62</t>
        </is>
      </c>
      <c r="C3520" t="inlineStr">
        <is>
          <t>62129090</t>
        </is>
      </c>
      <c r="D3520" t="inlineStr">
        <is>
          <t>OTHR THN SUSPNDR BLTS,BRCS,SUSPNDR GOUTERS</t>
        </is>
      </c>
      <c r="E3520" s="3" t="n">
        <v>0.41</v>
      </c>
      <c r="F3520" s="3" t="n">
        <v>0.5</v>
      </c>
      <c r="G3520" s="3">
        <f>F3520-E3520</f>
        <v/>
      </c>
      <c r="H3520" s="4">
        <f>IF(E3520=0,"",F3520/E3520-1)</f>
        <v/>
      </c>
      <c r="I3520" t="inlineStr"/>
    </row>
    <row r="3521">
      <c r="A3521" t="inlineStr">
        <is>
          <t>Textiles &amp; apparel</t>
        </is>
      </c>
      <c r="B3521" t="inlineStr">
        <is>
          <t>62</t>
        </is>
      </c>
      <c r="C3521" t="inlineStr">
        <is>
          <t>62063090</t>
        </is>
      </c>
      <c r="D3521" t="inlineStr">
        <is>
          <t>OTHERS-OF-BLOUSES,SHIRTS AND SHIRTS-BLOUSES OF COTTON</t>
        </is>
      </c>
      <c r="E3521" s="3" t="n">
        <v>0.67</v>
      </c>
      <c r="F3521" s="3" t="n">
        <v>0.47</v>
      </c>
      <c r="G3521" s="3">
        <f>F3521-E3521</f>
        <v/>
      </c>
      <c r="H3521" s="4">
        <f>IF(E3521=0,"",F3521/E3521-1)</f>
        <v/>
      </c>
      <c r="I3521" t="inlineStr"/>
    </row>
    <row r="3522">
      <c r="A3522" t="inlineStr">
        <is>
          <t>Textiles &amp; apparel</t>
        </is>
      </c>
      <c r="B3522" t="inlineStr">
        <is>
          <t>62</t>
        </is>
      </c>
      <c r="C3522" t="inlineStr">
        <is>
          <t>62046300</t>
        </is>
      </c>
      <c r="D3522" t="inlineStr">
        <is>
          <t>TROUSERS,BIB AND BRACE OVERALLS, BREECHES AND SHORTS OF SYNTHETIC FIBRES</t>
        </is>
      </c>
      <c r="E3522" s="3" t="n">
        <v>0.64</v>
      </c>
      <c r="F3522" s="3" t="n">
        <v>0.46</v>
      </c>
      <c r="G3522" s="3">
        <f>F3522-E3522</f>
        <v/>
      </c>
      <c r="H3522" s="4">
        <f>IF(E3522=0,"",F3522/E3522-1)</f>
        <v/>
      </c>
      <c r="I3522" t="inlineStr"/>
    </row>
    <row r="3523">
      <c r="A3523" t="inlineStr">
        <is>
          <t>Textiles &amp; apparel</t>
        </is>
      </c>
      <c r="B3523" t="inlineStr">
        <is>
          <t>62</t>
        </is>
      </c>
      <c r="C3523" t="inlineStr">
        <is>
          <t>62089990</t>
        </is>
      </c>
      <c r="D3523" t="inlineStr">
        <is>
          <t>SIMILAR GARMENTS OF OTHER FIBRES</t>
        </is>
      </c>
      <c r="E3523" s="3" t="n">
        <v>0.3</v>
      </c>
      <c r="F3523" s="3" t="n">
        <v>0.46</v>
      </c>
      <c r="G3523" s="3">
        <f>F3523-E3523</f>
        <v/>
      </c>
      <c r="H3523" s="4">
        <f>IF(E3523=0,"",F3523/E3523-1)</f>
        <v/>
      </c>
      <c r="I3523" t="inlineStr"/>
    </row>
    <row r="3524">
      <c r="A3524" t="inlineStr">
        <is>
          <t>Textiles &amp; apparel</t>
        </is>
      </c>
      <c r="B3524" t="inlineStr">
        <is>
          <t>55</t>
        </is>
      </c>
      <c r="C3524" t="inlineStr">
        <is>
          <t>55151930</t>
        </is>
      </c>
      <c r="D3524" t="inlineStr">
        <is>
          <t>FBRC OF POLSTR MXD WTH OTHR FIBRS, DYED</t>
        </is>
      </c>
      <c r="E3524" s="3" t="n">
        <v>0.51</v>
      </c>
      <c r="F3524" s="3" t="n">
        <v>0.45</v>
      </c>
      <c r="G3524" s="3">
        <f>F3524-E3524</f>
        <v/>
      </c>
      <c r="H3524" s="4">
        <f>IF(E3524=0,"",F3524/E3524-1)</f>
        <v/>
      </c>
      <c r="I3524" t="inlineStr"/>
    </row>
    <row r="3525">
      <c r="A3525" t="inlineStr">
        <is>
          <t>Textiles &amp; apparel</t>
        </is>
      </c>
      <c r="B3525" t="inlineStr">
        <is>
          <t>56</t>
        </is>
      </c>
      <c r="C3525" t="inlineStr">
        <is>
          <t>56039390</t>
        </is>
      </c>
      <c r="D3525" t="inlineStr">
        <is>
          <t>OTHER FILMNT WGHNG BETWN 70G/SQM AND 150G/SQM - OTHERS</t>
        </is>
      </c>
      <c r="E3525" s="3" t="n">
        <v>0.41</v>
      </c>
      <c r="F3525" s="3" t="n">
        <v>0.45</v>
      </c>
      <c r="G3525" s="3">
        <f>F3525-E3525</f>
        <v/>
      </c>
      <c r="H3525" s="4">
        <f>IF(E3525=0,"",F3525/E3525-1)</f>
        <v/>
      </c>
      <c r="I3525" t="inlineStr"/>
    </row>
    <row r="3526">
      <c r="A3526" t="inlineStr">
        <is>
          <t>Textiles &amp; apparel</t>
        </is>
      </c>
      <c r="B3526" t="inlineStr">
        <is>
          <t>62</t>
        </is>
      </c>
      <c r="C3526" t="inlineStr">
        <is>
          <t>62082990</t>
        </is>
      </c>
      <c r="D3526" t="inlineStr">
        <is>
          <t>NIGHTDRESSES AND PYJAMAS OF OTHER FIBRES</t>
        </is>
      </c>
      <c r="E3526" s="3" t="n">
        <v>0.22</v>
      </c>
      <c r="F3526" s="3" t="n">
        <v>0.45</v>
      </c>
      <c r="G3526" s="3">
        <f>F3526-E3526</f>
        <v/>
      </c>
      <c r="H3526" s="4">
        <f>IF(E3526=0,"",F3526/E3526-1)</f>
        <v/>
      </c>
      <c r="I3526" t="inlineStr"/>
    </row>
    <row r="3527">
      <c r="A3527" t="inlineStr">
        <is>
          <t>Textiles &amp; apparel</t>
        </is>
      </c>
      <c r="B3527" t="inlineStr">
        <is>
          <t>56</t>
        </is>
      </c>
      <c r="C3527" t="inlineStr">
        <is>
          <t>56075010</t>
        </is>
      </c>
      <c r="D3527" t="inlineStr">
        <is>
          <t>NYLON FISH NET TWINE</t>
        </is>
      </c>
      <c r="E3527" s="3" t="n">
        <v>0.12</v>
      </c>
      <c r="F3527" s="3" t="n">
        <v>0.44</v>
      </c>
      <c r="G3527" s="3">
        <f>F3527-E3527</f>
        <v/>
      </c>
      <c r="H3527" s="4">
        <f>IF(E3527=0,"",F3527/E3527-1)</f>
        <v/>
      </c>
      <c r="I3527" t="inlineStr"/>
    </row>
    <row r="3528">
      <c r="A3528" t="inlineStr">
        <is>
          <t>Textiles &amp; apparel</t>
        </is>
      </c>
      <c r="B3528" t="inlineStr">
        <is>
          <t>61</t>
        </is>
      </c>
      <c r="C3528" t="inlineStr">
        <is>
          <t>61032200</t>
        </is>
      </c>
      <c r="D3528" t="inlineStr">
        <is>
          <t>ENSEMBLES OF COTTON</t>
        </is>
      </c>
      <c r="E3528" s="3" t="n">
        <v>0.7</v>
      </c>
      <c r="F3528" s="3" t="n">
        <v>0.41</v>
      </c>
      <c r="G3528" s="3">
        <f>F3528-E3528</f>
        <v/>
      </c>
      <c r="H3528" s="4">
        <f>IF(E3528=0,"",F3528/E3528-1)</f>
        <v/>
      </c>
      <c r="I3528" t="inlineStr"/>
    </row>
    <row r="3529">
      <c r="A3529" t="inlineStr">
        <is>
          <t>Textiles &amp; apparel</t>
        </is>
      </c>
      <c r="B3529" t="inlineStr">
        <is>
          <t>57</t>
        </is>
      </c>
      <c r="C3529" t="inlineStr">
        <is>
          <t>57019031</t>
        </is>
      </c>
      <c r="D3529" t="inlineStr">
        <is>
          <t>HAND-MADE</t>
        </is>
      </c>
      <c r="E3529" s="3" t="n">
        <v>1.03</v>
      </c>
      <c r="F3529" s="3" t="n">
        <v>0.4</v>
      </c>
      <c r="G3529" s="3">
        <f>F3529-E3529</f>
        <v/>
      </c>
      <c r="H3529" s="4">
        <f>IF(E3529=0,"",F3529/E3529-1)</f>
        <v/>
      </c>
      <c r="I3529" t="inlineStr"/>
    </row>
    <row r="3530">
      <c r="A3530" t="inlineStr">
        <is>
          <t>Textiles &amp; apparel</t>
        </is>
      </c>
      <c r="B3530" t="inlineStr">
        <is>
          <t>61</t>
        </is>
      </c>
      <c r="C3530" t="inlineStr">
        <is>
          <t>61041920</t>
        </is>
      </c>
      <c r="D3530" t="inlineStr">
        <is>
          <t>SUITS OF ARTIFICIAL FIBRES</t>
        </is>
      </c>
      <c r="E3530" s="3" t="n">
        <v>0</v>
      </c>
      <c r="F3530" s="3" t="n">
        <v>0.39</v>
      </c>
      <c r="G3530" s="3">
        <f>F3530-E3530</f>
        <v/>
      </c>
      <c r="H3530" s="4">
        <f>IF(E3530=0,"",F3530/E3530-1)</f>
        <v/>
      </c>
      <c r="I3530" t="inlineStr"/>
    </row>
    <row r="3531">
      <c r="A3531" t="inlineStr">
        <is>
          <t>Textiles &amp; apparel</t>
        </is>
      </c>
      <c r="B3531" t="inlineStr">
        <is>
          <t>63</t>
        </is>
      </c>
      <c r="C3531" t="inlineStr">
        <is>
          <t>63041990</t>
        </is>
      </c>
      <c r="D3531" t="inlineStr">
        <is>
          <t>OTHR BEDSHEETS AND BED COVERS N.E.S.</t>
        </is>
      </c>
      <c r="E3531" s="3" t="n">
        <v>0.13</v>
      </c>
      <c r="F3531" s="3" t="n">
        <v>0.39</v>
      </c>
      <c r="G3531" s="3">
        <f>F3531-E3531</f>
        <v/>
      </c>
      <c r="H3531" s="4">
        <f>IF(E3531=0,"",F3531/E3531-1)</f>
        <v/>
      </c>
      <c r="I3531" t="inlineStr"/>
    </row>
    <row r="3532">
      <c r="A3532" t="inlineStr">
        <is>
          <t>Textiles &amp; apparel</t>
        </is>
      </c>
      <c r="B3532" t="inlineStr">
        <is>
          <t>54</t>
        </is>
      </c>
      <c r="C3532" t="inlineStr">
        <is>
          <t>54079110</t>
        </is>
      </c>
      <c r="D3532" t="inlineStr">
        <is>
          <t>OTHR SYNTHTIC WOVN FBRCS, UNBLECHD</t>
        </is>
      </c>
      <c r="E3532" s="3" t="n">
        <v>0</v>
      </c>
      <c r="F3532" s="3" t="n">
        <v>0.38</v>
      </c>
      <c r="G3532" s="3">
        <f>F3532-E3532</f>
        <v/>
      </c>
      <c r="H3532" s="4">
        <f>IF(E3532=0,"",F3532/E3532-1)</f>
        <v/>
      </c>
      <c r="I3532" t="inlineStr"/>
    </row>
    <row r="3533">
      <c r="A3533" t="inlineStr">
        <is>
          <t>Textiles &amp; apparel</t>
        </is>
      </c>
      <c r="B3533" t="inlineStr">
        <is>
          <t>62</t>
        </is>
      </c>
      <c r="C3533" t="inlineStr">
        <is>
          <t>62019090</t>
        </is>
      </c>
      <c r="D3533" t="inlineStr">
        <is>
          <t>OTHERS-OF-OF OTHER TXTL MTRLS</t>
        </is>
      </c>
      <c r="E3533" s="3" t="n">
        <v>0.07000000000000001</v>
      </c>
      <c r="F3533" s="3" t="n">
        <v>0.38</v>
      </c>
      <c r="G3533" s="3">
        <f>F3533-E3533</f>
        <v/>
      </c>
      <c r="H3533" s="4">
        <f>IF(E3533=0,"",F3533/E3533-1)</f>
        <v/>
      </c>
      <c r="I3533" t="inlineStr"/>
    </row>
    <row r="3534">
      <c r="A3534" t="inlineStr">
        <is>
          <t>Textiles &amp; apparel</t>
        </is>
      </c>
      <c r="B3534" t="inlineStr">
        <is>
          <t>62</t>
        </is>
      </c>
      <c r="C3534" t="inlineStr">
        <is>
          <t>62031200</t>
        </is>
      </c>
      <c r="D3534" t="inlineStr">
        <is>
          <t>SUITS OF SYNTHETIC FIBRES</t>
        </is>
      </c>
      <c r="E3534" s="3" t="n">
        <v>0.09</v>
      </c>
      <c r="F3534" s="3" t="n">
        <v>0.38</v>
      </c>
      <c r="G3534" s="3">
        <f>F3534-E3534</f>
        <v/>
      </c>
      <c r="H3534" s="4">
        <f>IF(E3534=0,"",F3534/E3534-1)</f>
        <v/>
      </c>
      <c r="I3534" t="inlineStr"/>
    </row>
    <row r="3535">
      <c r="A3535" t="inlineStr">
        <is>
          <t>Textiles &amp; apparel</t>
        </is>
      </c>
      <c r="B3535" t="inlineStr">
        <is>
          <t>54</t>
        </is>
      </c>
      <c r="C3535" t="inlineStr">
        <is>
          <t>54024800</t>
        </is>
      </c>
      <c r="D3535" t="inlineStr">
        <is>
          <t>OTHER, OF POLYPROPYLENE</t>
        </is>
      </c>
      <c r="E3535" s="3" t="n">
        <v>0.46</v>
      </c>
      <c r="F3535" s="3" t="n">
        <v>0.36</v>
      </c>
      <c r="G3535" s="3">
        <f>F3535-E3535</f>
        <v/>
      </c>
      <c r="H3535" s="4">
        <f>IF(E3535=0,"",F3535/E3535-1)</f>
        <v/>
      </c>
      <c r="I3535" t="inlineStr"/>
    </row>
    <row r="3536">
      <c r="A3536" t="inlineStr">
        <is>
          <t>Textiles &amp; apparel</t>
        </is>
      </c>
      <c r="B3536" t="inlineStr">
        <is>
          <t>62</t>
        </is>
      </c>
      <c r="C3536" t="inlineStr">
        <is>
          <t>62042390</t>
        </is>
      </c>
      <c r="D3536" t="inlineStr">
        <is>
          <t>ENSEMBLES OF SYNTHETIC FIBRES-OTHERS</t>
        </is>
      </c>
      <c r="E3536" s="3" t="n">
        <v>0.02</v>
      </c>
      <c r="F3536" s="3" t="n">
        <v>0.36</v>
      </c>
      <c r="G3536" s="3">
        <f>F3536-E3536</f>
        <v/>
      </c>
      <c r="H3536" s="4">
        <f>IF(E3536=0,"",F3536/E3536-1)</f>
        <v/>
      </c>
      <c r="I3536" t="inlineStr"/>
    </row>
    <row r="3537">
      <c r="A3537" t="inlineStr">
        <is>
          <t>Textiles &amp; apparel</t>
        </is>
      </c>
      <c r="B3537" t="inlineStr">
        <is>
          <t>62</t>
        </is>
      </c>
      <c r="C3537" t="inlineStr">
        <is>
          <t>62043999</t>
        </is>
      </c>
      <c r="D3537" t="inlineStr">
        <is>
          <t>JACKETS OF ALL OTHR FIBRES-OTHER</t>
        </is>
      </c>
      <c r="E3537" s="3" t="n">
        <v>0.04</v>
      </c>
      <c r="F3537" s="3" t="n">
        <v>0.36</v>
      </c>
      <c r="G3537" s="3">
        <f>F3537-E3537</f>
        <v/>
      </c>
      <c r="H3537" s="4">
        <f>IF(E3537=0,"",F3537/E3537-1)</f>
        <v/>
      </c>
      <c r="I3537" t="inlineStr"/>
    </row>
    <row r="3538">
      <c r="A3538" t="inlineStr">
        <is>
          <t>Textiles &amp; apparel</t>
        </is>
      </c>
      <c r="B3538" t="inlineStr">
        <is>
          <t>55</t>
        </is>
      </c>
      <c r="C3538" t="inlineStr">
        <is>
          <t>55151110</t>
        </is>
      </c>
      <c r="D3538" t="inlineStr">
        <is>
          <t>FBRC OF POLSTR,MXD WTH VISCOS RYON,UNBLCHD</t>
        </is>
      </c>
      <c r="E3538" s="3" t="n">
        <v>0.19</v>
      </c>
      <c r="F3538" s="3" t="n">
        <v>0.35</v>
      </c>
      <c r="G3538" s="3">
        <f>F3538-E3538</f>
        <v/>
      </c>
      <c r="H3538" s="4">
        <f>IF(E3538=0,"",F3538/E3538-1)</f>
        <v/>
      </c>
      <c r="I3538" t="inlineStr"/>
    </row>
    <row r="3539">
      <c r="A3539" t="inlineStr">
        <is>
          <t>Textiles &amp; apparel</t>
        </is>
      </c>
      <c r="B3539" t="inlineStr">
        <is>
          <t>62</t>
        </is>
      </c>
      <c r="C3539" t="inlineStr">
        <is>
          <t>62072900</t>
        </is>
      </c>
      <c r="D3539" t="inlineStr">
        <is>
          <t>NIGHTSHRTS AND PYJMS OF OTHR TXTL MATRLS</t>
        </is>
      </c>
      <c r="E3539" s="3" t="n">
        <v>0.16</v>
      </c>
      <c r="F3539" s="3" t="n">
        <v>0.34</v>
      </c>
      <c r="G3539" s="3">
        <f>F3539-E3539</f>
        <v/>
      </c>
      <c r="H3539" s="4">
        <f>IF(E3539=0,"",F3539/E3539-1)</f>
        <v/>
      </c>
      <c r="I3539" t="inlineStr"/>
    </row>
    <row r="3540">
      <c r="A3540" t="inlineStr">
        <is>
          <t>Textiles &amp; apparel</t>
        </is>
      </c>
      <c r="B3540" t="inlineStr">
        <is>
          <t>60</t>
        </is>
      </c>
      <c r="C3540" t="inlineStr">
        <is>
          <t>60063100</t>
        </is>
      </c>
      <c r="D3540" t="inlineStr">
        <is>
          <t>OTHR KNITD OR CROCHETD FBRCS OF SYN FIBRES, UNBLCHD OR BLCHD</t>
        </is>
      </c>
      <c r="E3540" s="3" t="n">
        <v>0</v>
      </c>
      <c r="F3540" s="3" t="n">
        <v>0.33</v>
      </c>
      <c r="G3540" s="3">
        <f>F3540-E3540</f>
        <v/>
      </c>
      <c r="H3540" s="4">
        <f>IF(E3540=0,"",F3540/E3540-1)</f>
        <v/>
      </c>
      <c r="I3540" t="inlineStr"/>
    </row>
    <row r="3541">
      <c r="A3541" t="inlineStr">
        <is>
          <t>Textiles &amp; apparel</t>
        </is>
      </c>
      <c r="B3541" t="inlineStr">
        <is>
          <t>61</t>
        </is>
      </c>
      <c r="C3541" t="inlineStr">
        <is>
          <t>61101120</t>
        </is>
      </c>
      <c r="D3541" t="inlineStr">
        <is>
          <t>SWEATERS AND CARDIGANS OF WOOL</t>
        </is>
      </c>
      <c r="E3541" s="3" t="n">
        <v>0.3</v>
      </c>
      <c r="F3541" s="3" t="n">
        <v>0.33</v>
      </c>
      <c r="G3541" s="3">
        <f>F3541-E3541</f>
        <v/>
      </c>
      <c r="H3541" s="4">
        <f>IF(E3541=0,"",F3541/E3541-1)</f>
        <v/>
      </c>
      <c r="I3541" t="inlineStr"/>
    </row>
    <row r="3542">
      <c r="A3542" t="inlineStr">
        <is>
          <t>Textiles &amp; apparel</t>
        </is>
      </c>
      <c r="B3542" t="inlineStr">
        <is>
          <t>61</t>
        </is>
      </c>
      <c r="C3542" t="inlineStr">
        <is>
          <t>61051020</t>
        </is>
      </c>
      <c r="D3542" t="inlineStr">
        <is>
          <t>KNIT SHIRTS (EXCEPT T-SHIRTS) AND SWEAT SHIRTS,OTHER THAN HAND CROCHETED OF CTN</t>
        </is>
      </c>
      <c r="E3542" s="3" t="n">
        <v>0.16</v>
      </c>
      <c r="F3542" s="3" t="n">
        <v>0.32</v>
      </c>
      <c r="G3542" s="3">
        <f>F3542-E3542</f>
        <v/>
      </c>
      <c r="H3542" s="4">
        <f>IF(E3542=0,"",F3542/E3542-1)</f>
        <v/>
      </c>
      <c r="I3542" t="inlineStr"/>
    </row>
    <row r="3543">
      <c r="A3543" t="inlineStr">
        <is>
          <t>Textiles &amp; apparel</t>
        </is>
      </c>
      <c r="B3543" t="inlineStr">
        <is>
          <t>52</t>
        </is>
      </c>
      <c r="C3543" t="inlineStr">
        <is>
          <t>52121500</t>
        </is>
      </c>
      <c r="D3543" t="inlineStr">
        <is>
          <t>OTHR PRNTD WOVEN FBRCS WGHNG &lt;=200 G/M2</t>
        </is>
      </c>
      <c r="E3543" s="3" t="n">
        <v>0.31</v>
      </c>
      <c r="F3543" s="3" t="n">
        <v>0.31</v>
      </c>
      <c r="G3543" s="3">
        <f>F3543-E3543</f>
        <v/>
      </c>
      <c r="H3543" s="4">
        <f>IF(E3543=0,"",F3543/E3543-1)</f>
        <v/>
      </c>
      <c r="I3543" t="inlineStr"/>
    </row>
    <row r="3544">
      <c r="A3544" t="inlineStr">
        <is>
          <t>Textiles &amp; apparel</t>
        </is>
      </c>
      <c r="B3544" t="inlineStr">
        <is>
          <t>55</t>
        </is>
      </c>
      <c r="C3544" t="inlineStr">
        <is>
          <t>55129910</t>
        </is>
      </c>
      <c r="D3544" t="inlineStr">
        <is>
          <t>WOVN SYN STPL FBRCS,DYED CNTNG OTHR SYN FBRCS&gt;=85%</t>
        </is>
      </c>
      <c r="E3544" s="3" t="n">
        <v>0</v>
      </c>
      <c r="F3544" s="3" t="n">
        <v>0.31</v>
      </c>
      <c r="G3544" s="3">
        <f>F3544-E3544</f>
        <v/>
      </c>
      <c r="H3544" s="4">
        <f>IF(E3544=0,"",F3544/E3544-1)</f>
        <v/>
      </c>
      <c r="I3544" t="inlineStr"/>
    </row>
    <row r="3545">
      <c r="A3545" t="inlineStr">
        <is>
          <t>Textiles &amp; apparel</t>
        </is>
      </c>
      <c r="B3545" t="inlineStr">
        <is>
          <t>60</t>
        </is>
      </c>
      <c r="C3545" t="inlineStr">
        <is>
          <t>60062200</t>
        </is>
      </c>
      <c r="D3545" t="inlineStr">
        <is>
          <t>OTHR KNITED OR CROCHETD FBRCS OF COTTON , DYED</t>
        </is>
      </c>
      <c r="E3545" s="3" t="n">
        <v>0</v>
      </c>
      <c r="F3545" s="3" t="n">
        <v>0.31</v>
      </c>
      <c r="G3545" s="3">
        <f>F3545-E3545</f>
        <v/>
      </c>
      <c r="H3545" s="4">
        <f>IF(E3545=0,"",F3545/E3545-1)</f>
        <v/>
      </c>
      <c r="I3545" t="inlineStr"/>
    </row>
    <row r="3546">
      <c r="A3546" t="inlineStr">
        <is>
          <t>Textiles &amp; apparel</t>
        </is>
      </c>
      <c r="B3546" t="inlineStr">
        <is>
          <t>61</t>
        </is>
      </c>
      <c r="C3546" t="inlineStr">
        <is>
          <t>61103010</t>
        </is>
      </c>
      <c r="D3546" t="inlineStr">
        <is>
          <t>JERSEYS ETC OF SYN FIBRES</t>
        </is>
      </c>
      <c r="E3546" s="3" t="n">
        <v>0.42</v>
      </c>
      <c r="F3546" s="3" t="n">
        <v>0.31</v>
      </c>
      <c r="G3546" s="3">
        <f>F3546-E3546</f>
        <v/>
      </c>
      <c r="H3546" s="4">
        <f>IF(E3546=0,"",F3546/E3546-1)</f>
        <v/>
      </c>
      <c r="I3546" t="inlineStr"/>
    </row>
    <row r="3547">
      <c r="A3547" t="inlineStr">
        <is>
          <t>Textiles &amp; apparel</t>
        </is>
      </c>
      <c r="B3547" t="inlineStr">
        <is>
          <t>62</t>
        </is>
      </c>
      <c r="C3547" t="inlineStr">
        <is>
          <t>62045390</t>
        </is>
      </c>
      <c r="D3547" t="inlineStr">
        <is>
          <t>SKIRTS AND DIVIDED SKIRTS OF SYNTHETIC FIBRS - OTHER</t>
        </is>
      </c>
      <c r="E3547" s="3" t="n">
        <v>3.48</v>
      </c>
      <c r="F3547" s="3" t="n">
        <v>0.31</v>
      </c>
      <c r="G3547" s="3">
        <f>F3547-E3547</f>
        <v/>
      </c>
      <c r="H3547" s="4">
        <f>IF(E3547=0,"",F3547/E3547-1)</f>
        <v/>
      </c>
      <c r="I3547" t="inlineStr"/>
    </row>
    <row r="3548">
      <c r="A3548" t="inlineStr">
        <is>
          <t>Textiles &amp; apparel</t>
        </is>
      </c>
      <c r="B3548" t="inlineStr">
        <is>
          <t>63</t>
        </is>
      </c>
      <c r="C3548" t="inlineStr">
        <is>
          <t>63051030</t>
        </is>
      </c>
      <c r="D3548" t="inlineStr">
        <is>
          <t>JUTE HESSIAN BAGS</t>
        </is>
      </c>
      <c r="E3548" s="3" t="n">
        <v>0.16</v>
      </c>
      <c r="F3548" s="3" t="n">
        <v>0.31</v>
      </c>
      <c r="G3548" s="3">
        <f>F3548-E3548</f>
        <v/>
      </c>
      <c r="H3548" s="4">
        <f>IF(E3548=0,"",F3548/E3548-1)</f>
        <v/>
      </c>
      <c r="I3548" t="inlineStr"/>
    </row>
    <row r="3549">
      <c r="A3549" t="inlineStr">
        <is>
          <t>Textiles &amp; apparel</t>
        </is>
      </c>
      <c r="B3549" t="inlineStr">
        <is>
          <t>54</t>
        </is>
      </c>
      <c r="C3549" t="inlineStr">
        <is>
          <t>54075430</t>
        </is>
      </c>
      <c r="D3549" t="inlineStr">
        <is>
          <t>POLYESTER SAREES</t>
        </is>
      </c>
      <c r="E3549" s="3" t="n">
        <v>0.59</v>
      </c>
      <c r="F3549" s="3" t="n">
        <v>0.3</v>
      </c>
      <c r="G3549" s="3">
        <f>F3549-E3549</f>
        <v/>
      </c>
      <c r="H3549" s="4">
        <f>IF(E3549=0,"",F3549/E3549-1)</f>
        <v/>
      </c>
      <c r="I3549" t="inlineStr"/>
    </row>
    <row r="3550">
      <c r="A3550" t="inlineStr">
        <is>
          <t>Textiles &amp; apparel</t>
        </is>
      </c>
      <c r="B3550" t="inlineStr">
        <is>
          <t>59</t>
        </is>
      </c>
      <c r="C3550" t="inlineStr">
        <is>
          <t>59112000</t>
        </is>
      </c>
      <c r="D3550" t="inlineStr">
        <is>
          <t>BOLTING CLOTH,W/N MADE UP</t>
        </is>
      </c>
      <c r="E3550" s="3" t="n">
        <v>0.45</v>
      </c>
      <c r="F3550" s="3" t="n">
        <v>0.3</v>
      </c>
      <c r="G3550" s="3">
        <f>F3550-E3550</f>
        <v/>
      </c>
      <c r="H3550" s="4">
        <f>IF(E3550=0,"",F3550/E3550-1)</f>
        <v/>
      </c>
      <c r="I3550" t="inlineStr"/>
    </row>
    <row r="3551">
      <c r="A3551" t="inlineStr">
        <is>
          <t>Textiles &amp; apparel</t>
        </is>
      </c>
      <c r="B3551" t="inlineStr">
        <is>
          <t>52</t>
        </is>
      </c>
      <c r="C3551" t="inlineStr">
        <is>
          <t>52084320</t>
        </is>
      </c>
      <c r="D3551" t="inlineStr">
        <is>
          <t>SHIRTING FABRICS</t>
        </is>
      </c>
      <c r="E3551" s="3" t="n">
        <v>0.32</v>
      </c>
      <c r="F3551" s="3" t="n">
        <v>0.29</v>
      </c>
      <c r="G3551" s="3">
        <f>F3551-E3551</f>
        <v/>
      </c>
      <c r="H3551" s="4">
        <f>IF(E3551=0,"",F3551/E3551-1)</f>
        <v/>
      </c>
      <c r="I3551" t="inlineStr"/>
    </row>
    <row r="3552">
      <c r="A3552" t="inlineStr">
        <is>
          <t>Textiles &amp; apparel</t>
        </is>
      </c>
      <c r="B3552" t="inlineStr">
        <is>
          <t>52</t>
        </is>
      </c>
      <c r="C3552" t="inlineStr">
        <is>
          <t>52095990</t>
        </is>
      </c>
      <c r="D3552" t="inlineStr">
        <is>
          <t>OTHERS-OF-OTHER FABRICS :</t>
        </is>
      </c>
      <c r="E3552" s="3" t="n">
        <v>0.86</v>
      </c>
      <c r="F3552" s="3" t="n">
        <v>0.29</v>
      </c>
      <c r="G3552" s="3">
        <f>F3552-E3552</f>
        <v/>
      </c>
      <c r="H3552" s="4">
        <f>IF(E3552=0,"",F3552/E3552-1)</f>
        <v/>
      </c>
      <c r="I3552" t="inlineStr"/>
    </row>
    <row r="3553">
      <c r="A3553" t="inlineStr">
        <is>
          <t>Textiles &amp; apparel</t>
        </is>
      </c>
      <c r="B3553" t="inlineStr">
        <is>
          <t>54</t>
        </is>
      </c>
      <c r="C3553" t="inlineStr">
        <is>
          <t>54073090</t>
        </is>
      </c>
      <c r="D3553" t="inlineStr">
        <is>
          <t>OTHER FBRC CNSTG LYER OF PAREL TXTL YRN</t>
        </is>
      </c>
      <c r="E3553" s="3" t="n">
        <v>0.52</v>
      </c>
      <c r="F3553" s="3" t="n">
        <v>0.29</v>
      </c>
      <c r="G3553" s="3">
        <f>F3553-E3553</f>
        <v/>
      </c>
      <c r="H3553" s="4">
        <f>IF(E3553=0,"",F3553/E3553-1)</f>
        <v/>
      </c>
      <c r="I3553" t="inlineStr"/>
    </row>
    <row r="3554">
      <c r="A3554" t="inlineStr">
        <is>
          <t>Textiles &amp; apparel</t>
        </is>
      </c>
      <c r="B3554" t="inlineStr">
        <is>
          <t>54</t>
        </is>
      </c>
      <c r="C3554" t="inlineStr">
        <is>
          <t>54076900</t>
        </is>
      </c>
      <c r="D3554" t="inlineStr">
        <is>
          <t>WOVN FBRCS CONTNNG 85% OR MORE BY WT OF OTHR THN NN-TXTRD POLYSTR FLMNTS</t>
        </is>
      </c>
      <c r="E3554" s="3" t="n">
        <v>0</v>
      </c>
      <c r="F3554" s="3" t="n">
        <v>0.29</v>
      </c>
      <c r="G3554" s="3">
        <f>F3554-E3554</f>
        <v/>
      </c>
      <c r="H3554" s="4">
        <f>IF(E3554=0,"",F3554/E3554-1)</f>
        <v/>
      </c>
      <c r="I3554" t="inlineStr"/>
    </row>
    <row r="3555">
      <c r="A3555" t="inlineStr">
        <is>
          <t>Textiles &amp; apparel</t>
        </is>
      </c>
      <c r="B3555" t="inlineStr">
        <is>
          <t>52</t>
        </is>
      </c>
      <c r="C3555" t="inlineStr">
        <is>
          <t>52092990</t>
        </is>
      </c>
      <c r="D3555" t="inlineStr">
        <is>
          <t>OTHERS-OF-OTHER FABRICS :</t>
        </is>
      </c>
      <c r="E3555" s="3" t="n">
        <v>0</v>
      </c>
      <c r="F3555" s="3" t="n">
        <v>0.28</v>
      </c>
      <c r="G3555" s="3">
        <f>F3555-E3555</f>
        <v/>
      </c>
      <c r="H3555" s="4">
        <f>IF(E3555=0,"",F3555/E3555-1)</f>
        <v/>
      </c>
      <c r="I3555" t="inlineStr"/>
    </row>
    <row r="3556">
      <c r="A3556" t="inlineStr">
        <is>
          <t>Textiles &amp; apparel</t>
        </is>
      </c>
      <c r="B3556" t="inlineStr">
        <is>
          <t>52</t>
        </is>
      </c>
      <c r="C3556" t="inlineStr">
        <is>
          <t>52121200</t>
        </is>
      </c>
      <c r="D3556" t="inlineStr">
        <is>
          <t>OTHR BLCHD WOVEN FBRCS WGHNG &lt;=200 G/M2</t>
        </is>
      </c>
      <c r="E3556" s="3" t="n">
        <v>0</v>
      </c>
      <c r="F3556" s="3" t="n">
        <v>0.28</v>
      </c>
      <c r="G3556" s="3">
        <f>F3556-E3556</f>
        <v/>
      </c>
      <c r="H3556" s="4">
        <f>IF(E3556=0,"",F3556/E3556-1)</f>
        <v/>
      </c>
      <c r="I3556" t="inlineStr"/>
    </row>
    <row r="3557">
      <c r="A3557" t="inlineStr">
        <is>
          <t>Textiles &amp; apparel</t>
        </is>
      </c>
      <c r="B3557" t="inlineStr">
        <is>
          <t>62</t>
        </is>
      </c>
      <c r="C3557" t="inlineStr">
        <is>
          <t>62032990</t>
        </is>
      </c>
      <c r="D3557" t="inlineStr">
        <is>
          <t>OTHERS-OF-ENSEMBLES OF OTHER TEXTILE MATERIALS</t>
        </is>
      </c>
      <c r="E3557" s="3" t="n">
        <v>0.72</v>
      </c>
      <c r="F3557" s="3" t="n">
        <v>0.28</v>
      </c>
      <c r="G3557" s="3">
        <f>F3557-E3557</f>
        <v/>
      </c>
      <c r="H3557" s="4">
        <f>IF(E3557=0,"",F3557/E3557-1)</f>
        <v/>
      </c>
      <c r="I3557" t="inlineStr"/>
    </row>
    <row r="3558">
      <c r="A3558" t="inlineStr">
        <is>
          <t>Textiles &amp; apparel</t>
        </is>
      </c>
      <c r="B3558" t="inlineStr">
        <is>
          <t>52</t>
        </is>
      </c>
      <c r="C3558" t="inlineStr">
        <is>
          <t>52082190</t>
        </is>
      </c>
      <c r="D3558" t="inlineStr">
        <is>
          <t>OTHERS-OF-BLECHD PLAIN WEAVE WEIGNG &lt;=100 G/M2</t>
        </is>
      </c>
      <c r="E3558" s="3" t="n">
        <v>0.07000000000000001</v>
      </c>
      <c r="F3558" s="3" t="n">
        <v>0.27</v>
      </c>
      <c r="G3558" s="3">
        <f>F3558-E3558</f>
        <v/>
      </c>
      <c r="H3558" s="4">
        <f>IF(E3558=0,"",F3558/E3558-1)</f>
        <v/>
      </c>
      <c r="I3558" t="inlineStr"/>
    </row>
    <row r="3559">
      <c r="A3559" t="inlineStr">
        <is>
          <t>Textiles &amp; apparel</t>
        </is>
      </c>
      <c r="B3559" t="inlineStr">
        <is>
          <t>52</t>
        </is>
      </c>
      <c r="C3559" t="inlineStr">
        <is>
          <t>52083990</t>
        </is>
      </c>
      <c r="D3559" t="inlineStr">
        <is>
          <t>OTHERS-OF-OTHER FABRICS :</t>
        </is>
      </c>
      <c r="E3559" s="3" t="n">
        <v>0.29</v>
      </c>
      <c r="F3559" s="3" t="n">
        <v>0.27</v>
      </c>
      <c r="G3559" s="3">
        <f>F3559-E3559</f>
        <v/>
      </c>
      <c r="H3559" s="4">
        <f>IF(E3559=0,"",F3559/E3559-1)</f>
        <v/>
      </c>
      <c r="I3559" t="inlineStr"/>
    </row>
    <row r="3560">
      <c r="A3560" t="inlineStr">
        <is>
          <t>Textiles &amp; apparel</t>
        </is>
      </c>
      <c r="B3560" t="inlineStr">
        <is>
          <t>59</t>
        </is>
      </c>
      <c r="C3560" t="inlineStr">
        <is>
          <t>59090090</t>
        </is>
      </c>
      <c r="D3560" t="inlineStr">
        <is>
          <t>HOS PIPNG AND SMLR TUBNG OF OTHR TXTL MATRLS</t>
        </is>
      </c>
      <c r="E3560" s="3" t="n">
        <v>0.28</v>
      </c>
      <c r="F3560" s="3" t="n">
        <v>0.27</v>
      </c>
      <c r="G3560" s="3">
        <f>F3560-E3560</f>
        <v/>
      </c>
      <c r="H3560" s="4">
        <f>IF(E3560=0,"",F3560/E3560-1)</f>
        <v/>
      </c>
      <c r="I3560" t="inlineStr"/>
    </row>
    <row r="3561">
      <c r="A3561" t="inlineStr">
        <is>
          <t>Textiles &amp; apparel</t>
        </is>
      </c>
      <c r="B3561" t="inlineStr">
        <is>
          <t>62</t>
        </is>
      </c>
      <c r="C3561" t="inlineStr">
        <is>
          <t>62045999</t>
        </is>
      </c>
      <c r="D3561" t="inlineStr">
        <is>
          <t>SKRTS AND DVDED SKRTS OF OTHR TXTL MATERIALS OTHR THAN SILK - OTHER</t>
        </is>
      </c>
      <c r="E3561" s="3" t="n">
        <v>0.19</v>
      </c>
      <c r="F3561" s="3" t="n">
        <v>0.27</v>
      </c>
      <c r="G3561" s="3">
        <f>F3561-E3561</f>
        <v/>
      </c>
      <c r="H3561" s="4">
        <f>IF(E3561=0,"",F3561/E3561-1)</f>
        <v/>
      </c>
      <c r="I3561" t="inlineStr"/>
    </row>
    <row r="3562">
      <c r="A3562" t="inlineStr">
        <is>
          <t>Textiles &amp; apparel</t>
        </is>
      </c>
      <c r="B3562" t="inlineStr">
        <is>
          <t>63</t>
        </is>
      </c>
      <c r="C3562" t="inlineStr">
        <is>
          <t>63039990</t>
        </is>
      </c>
      <c r="D3562" t="inlineStr">
        <is>
          <t>OTHR CURTAINS ETC OTHER THAN HANDLOOM OF OTHER TEXTILES MATERIALS</t>
        </is>
      </c>
      <c r="E3562" s="3" t="n">
        <v>0</v>
      </c>
      <c r="F3562" s="3" t="n">
        <v>0.27</v>
      </c>
      <c r="G3562" s="3">
        <f>F3562-E3562</f>
        <v/>
      </c>
      <c r="H3562" s="4">
        <f>IF(E3562=0,"",F3562/E3562-1)</f>
        <v/>
      </c>
      <c r="I3562" t="inlineStr"/>
    </row>
    <row r="3563">
      <c r="A3563" t="inlineStr">
        <is>
          <t>Textiles &amp; apparel</t>
        </is>
      </c>
      <c r="B3563" t="inlineStr">
        <is>
          <t>52</t>
        </is>
      </c>
      <c r="C3563" t="inlineStr">
        <is>
          <t>52081290</t>
        </is>
      </c>
      <c r="D3563" t="inlineStr">
        <is>
          <t>OTHERS-OF-COTN FABRCS CONTNG &gt;=85% BY WT OF COTNUNBLEACHD PLAINWEAVE WEIGING &gt; 100 G/M2</t>
        </is>
      </c>
      <c r="E3563" s="3" t="n">
        <v>0.01</v>
      </c>
      <c r="F3563" s="3" t="n">
        <v>0.26</v>
      </c>
      <c r="G3563" s="3">
        <f>F3563-E3563</f>
        <v/>
      </c>
      <c r="H3563" s="4">
        <f>IF(E3563=0,"",F3563/E3563-1)</f>
        <v/>
      </c>
      <c r="I3563" t="inlineStr"/>
    </row>
    <row r="3564">
      <c r="A3564" t="inlineStr">
        <is>
          <t>Textiles &amp; apparel</t>
        </is>
      </c>
      <c r="B3564" t="inlineStr">
        <is>
          <t>52</t>
        </is>
      </c>
      <c r="C3564" t="inlineStr">
        <is>
          <t>52093110</t>
        </is>
      </c>
      <c r="D3564" t="inlineStr">
        <is>
          <t>LUNGI</t>
        </is>
      </c>
      <c r="E3564" s="3" t="n">
        <v>0</v>
      </c>
      <c r="F3564" s="3" t="n">
        <v>0.26</v>
      </c>
      <c r="G3564" s="3">
        <f>F3564-E3564</f>
        <v/>
      </c>
      <c r="H3564" s="4">
        <f>IF(E3564=0,"",F3564/E3564-1)</f>
        <v/>
      </c>
      <c r="I3564" t="inlineStr"/>
    </row>
    <row r="3565">
      <c r="A3565" t="inlineStr">
        <is>
          <t>Textiles &amp; apparel</t>
        </is>
      </c>
      <c r="B3565" t="inlineStr">
        <is>
          <t>62</t>
        </is>
      </c>
      <c r="C3565" t="inlineStr">
        <is>
          <t>62033300</t>
        </is>
      </c>
      <c r="D3565" t="inlineStr">
        <is>
          <t>JACKTS AND BLAZERS OF SYNTHETIC FIBRES</t>
        </is>
      </c>
      <c r="E3565" s="3" t="n">
        <v>0.13</v>
      </c>
      <c r="F3565" s="3" t="n">
        <v>0.26</v>
      </c>
      <c r="G3565" s="3">
        <f>F3565-E3565</f>
        <v/>
      </c>
      <c r="H3565" s="4">
        <f>IF(E3565=0,"",F3565/E3565-1)</f>
        <v/>
      </c>
      <c r="I3565" t="inlineStr"/>
    </row>
    <row r="3566">
      <c r="A3566" t="inlineStr">
        <is>
          <t>Textiles &amp; apparel</t>
        </is>
      </c>
      <c r="B3566" t="inlineStr">
        <is>
          <t>62</t>
        </is>
      </c>
      <c r="C3566" t="inlineStr">
        <is>
          <t>62045290</t>
        </is>
      </c>
      <c r="D3566" t="inlineStr">
        <is>
          <t>SKIRTS AND DIVIDED SKIRTS OF COTTON - OTHER</t>
        </is>
      </c>
      <c r="E3566" s="3" t="n">
        <v>0.51</v>
      </c>
      <c r="F3566" s="3" t="n">
        <v>0.26</v>
      </c>
      <c r="G3566" s="3">
        <f>F3566-E3566</f>
        <v/>
      </c>
      <c r="H3566" s="4">
        <f>IF(E3566=0,"",F3566/E3566-1)</f>
        <v/>
      </c>
      <c r="I3566" t="inlineStr"/>
    </row>
    <row r="3567">
      <c r="A3567" t="inlineStr">
        <is>
          <t>Textiles &amp; apparel</t>
        </is>
      </c>
      <c r="B3567" t="inlineStr">
        <is>
          <t>63</t>
        </is>
      </c>
      <c r="C3567" t="inlineStr">
        <is>
          <t>63039200</t>
        </is>
      </c>
      <c r="D3567" t="inlineStr">
        <is>
          <t>OTHER CURTAINS ETC OF SYNTHETIC FIBRES</t>
        </is>
      </c>
      <c r="E3567" s="3" t="n">
        <v>0.01</v>
      </c>
      <c r="F3567" s="3" t="n">
        <v>0.26</v>
      </c>
      <c r="G3567" s="3">
        <f>F3567-E3567</f>
        <v/>
      </c>
      <c r="H3567" s="4">
        <f>IF(E3567=0,"",F3567/E3567-1)</f>
        <v/>
      </c>
      <c r="I3567" t="inlineStr"/>
    </row>
    <row r="3568">
      <c r="A3568" t="inlineStr">
        <is>
          <t>Textiles &amp; apparel</t>
        </is>
      </c>
      <c r="B3568" t="inlineStr">
        <is>
          <t>52</t>
        </is>
      </c>
      <c r="C3568" t="inlineStr">
        <is>
          <t>52082110</t>
        </is>
      </c>
      <c r="D3568" t="inlineStr">
        <is>
          <t>DHOTI</t>
        </is>
      </c>
      <c r="E3568" s="3" t="n">
        <v>0.31</v>
      </c>
      <c r="F3568" s="3" t="n">
        <v>0.25</v>
      </c>
      <c r="G3568" s="3">
        <f>F3568-E3568</f>
        <v/>
      </c>
      <c r="H3568" s="4">
        <f>IF(E3568=0,"",F3568/E3568-1)</f>
        <v/>
      </c>
      <c r="I3568" t="inlineStr"/>
    </row>
    <row r="3569">
      <c r="A3569" t="inlineStr">
        <is>
          <t>Textiles &amp; apparel</t>
        </is>
      </c>
      <c r="B3569" t="inlineStr">
        <is>
          <t>53</t>
        </is>
      </c>
      <c r="C3569" t="inlineStr">
        <is>
          <t>53091910</t>
        </is>
      </c>
      <c r="D3569" t="inlineStr">
        <is>
          <t>DYED FLAX WOVN FABRCS CONTNG FLAX &gt;= 85%</t>
        </is>
      </c>
      <c r="E3569" s="3" t="n">
        <v>0.12</v>
      </c>
      <c r="F3569" s="3" t="n">
        <v>0.25</v>
      </c>
      <c r="G3569" s="3">
        <f>F3569-E3569</f>
        <v/>
      </c>
      <c r="H3569" s="4">
        <f>IF(E3569=0,"",F3569/E3569-1)</f>
        <v/>
      </c>
      <c r="I3569" t="inlineStr"/>
    </row>
    <row r="3570">
      <c r="A3570" t="inlineStr">
        <is>
          <t>Textiles &amp; apparel</t>
        </is>
      </c>
      <c r="B3570" t="inlineStr">
        <is>
          <t>54</t>
        </is>
      </c>
      <c r="C3570" t="inlineStr">
        <is>
          <t>54026200</t>
        </is>
      </c>
      <c r="D3570" t="inlineStr">
        <is>
          <t>OTHR YARN OF POLYSTRS,MULTPL OR CABLD</t>
        </is>
      </c>
      <c r="E3570" s="3" t="n">
        <v>0.28</v>
      </c>
      <c r="F3570" s="3" t="n">
        <v>0.25</v>
      </c>
      <c r="G3570" s="3">
        <f>F3570-E3570</f>
        <v/>
      </c>
      <c r="H3570" s="4">
        <f>IF(E3570=0,"",F3570/E3570-1)</f>
        <v/>
      </c>
      <c r="I3570" t="inlineStr"/>
    </row>
    <row r="3571">
      <c r="A3571" t="inlineStr">
        <is>
          <t>Textiles &amp; apparel</t>
        </is>
      </c>
      <c r="B3571" t="inlineStr">
        <is>
          <t>57</t>
        </is>
      </c>
      <c r="C3571" t="inlineStr">
        <is>
          <t>57011010</t>
        </is>
      </c>
      <c r="D3571" t="inlineStr">
        <is>
          <t>HAND-MADE</t>
        </is>
      </c>
      <c r="E3571" s="3" t="n">
        <v>0.04</v>
      </c>
      <c r="F3571" s="3" t="n">
        <v>0.25</v>
      </c>
      <c r="G3571" s="3">
        <f>F3571-E3571</f>
        <v/>
      </c>
      <c r="H3571" s="4">
        <f>IF(E3571=0,"",F3571/E3571-1)</f>
        <v/>
      </c>
      <c r="I3571" t="inlineStr"/>
    </row>
    <row r="3572">
      <c r="A3572" t="inlineStr">
        <is>
          <t>Textiles &amp; apparel</t>
        </is>
      </c>
      <c r="B3572" t="inlineStr">
        <is>
          <t>61</t>
        </is>
      </c>
      <c r="C3572" t="inlineStr">
        <is>
          <t>61161000</t>
        </is>
      </c>
      <c r="D3572" t="inlineStr">
        <is>
          <t>IMPREGNATED, COATED,COVERED OR LAMINATED WITH PLASTICS OR RUBBER</t>
        </is>
      </c>
      <c r="E3572" s="3" t="n">
        <v>0.12</v>
      </c>
      <c r="F3572" s="3" t="n">
        <v>0.25</v>
      </c>
      <c r="G3572" s="3">
        <f>F3572-E3572</f>
        <v/>
      </c>
      <c r="H3572" s="4">
        <f>IF(E3572=0,"",F3572/E3572-1)</f>
        <v/>
      </c>
      <c r="I3572" t="inlineStr"/>
    </row>
    <row r="3573">
      <c r="A3573" t="inlineStr">
        <is>
          <t>Textiles &amp; apparel</t>
        </is>
      </c>
      <c r="B3573" t="inlineStr">
        <is>
          <t>63</t>
        </is>
      </c>
      <c r="C3573" t="inlineStr">
        <is>
          <t>63023200</t>
        </is>
      </c>
      <c r="D3573" t="inlineStr">
        <is>
          <t>OTHR BED LINEN OF MAN-MADE FIBRES</t>
        </is>
      </c>
      <c r="E3573" s="3" t="n">
        <v>0.1</v>
      </c>
      <c r="F3573" s="3" t="n">
        <v>0.25</v>
      </c>
      <c r="G3573" s="3">
        <f>F3573-E3573</f>
        <v/>
      </c>
      <c r="H3573" s="4">
        <f>IF(E3573=0,"",F3573/E3573-1)</f>
        <v/>
      </c>
      <c r="I3573" t="inlineStr"/>
    </row>
    <row r="3574">
      <c r="A3574" t="inlineStr">
        <is>
          <t>Textiles &amp; apparel</t>
        </is>
      </c>
      <c r="B3574" t="inlineStr">
        <is>
          <t>59</t>
        </is>
      </c>
      <c r="C3574" t="inlineStr">
        <is>
          <t>59061000</t>
        </is>
      </c>
      <c r="D3574" t="inlineStr">
        <is>
          <t>ADHESIVE TAPE OF A WIDTH NOT EXCDG 20 CM.</t>
        </is>
      </c>
      <c r="E3574" s="3" t="n">
        <v>0.29</v>
      </c>
      <c r="F3574" s="3" t="n">
        <v>0.24</v>
      </c>
      <c r="G3574" s="3">
        <f>F3574-E3574</f>
        <v/>
      </c>
      <c r="H3574" s="4">
        <f>IF(E3574=0,"",F3574/E3574-1)</f>
        <v/>
      </c>
      <c r="I3574" t="inlineStr"/>
    </row>
    <row r="3575">
      <c r="A3575" t="inlineStr">
        <is>
          <t>Textiles &amp; apparel</t>
        </is>
      </c>
      <c r="B3575" t="inlineStr">
        <is>
          <t>62</t>
        </is>
      </c>
      <c r="C3575" t="inlineStr">
        <is>
          <t>62014010</t>
        </is>
      </c>
      <c r="D3575" t="inlineStr">
        <is>
          <t>OVERCOATS,RAINCOATS,CARCOATS,CAPES,CLOAKS AND SIMILAR ARTICLES</t>
        </is>
      </c>
      <c r="E3575" s="3" t="n">
        <v>0</v>
      </c>
      <c r="F3575" s="3" t="n">
        <v>0.24</v>
      </c>
      <c r="G3575" s="3">
        <f>F3575-E3575</f>
        <v/>
      </c>
      <c r="H3575" s="4">
        <f>IF(E3575=0,"",F3575/E3575-1)</f>
        <v/>
      </c>
      <c r="I3575" t="inlineStr"/>
    </row>
    <row r="3576">
      <c r="A3576" t="inlineStr">
        <is>
          <t>Textiles &amp; apparel</t>
        </is>
      </c>
      <c r="B3576" t="inlineStr">
        <is>
          <t>63</t>
        </is>
      </c>
      <c r="C3576" t="inlineStr">
        <is>
          <t>63071010</t>
        </is>
      </c>
      <c r="D3576" t="inlineStr">
        <is>
          <t>FL00R-CL0TH, PIECE CL0THS, DUSTERS AND SIMILAR CLEANING CL0THS 0F C0TT0N</t>
        </is>
      </c>
      <c r="E3576" s="3" t="n">
        <v>0.52</v>
      </c>
      <c r="F3576" s="3" t="n">
        <v>0.24</v>
      </c>
      <c r="G3576" s="3">
        <f>F3576-E3576</f>
        <v/>
      </c>
      <c r="H3576" s="4">
        <f>IF(E3576=0,"",F3576/E3576-1)</f>
        <v/>
      </c>
      <c r="I3576" t="inlineStr"/>
    </row>
    <row r="3577">
      <c r="A3577" t="inlineStr">
        <is>
          <t>Textiles &amp; apparel</t>
        </is>
      </c>
      <c r="B3577" t="inlineStr">
        <is>
          <t>63</t>
        </is>
      </c>
      <c r="C3577" t="inlineStr">
        <is>
          <t>63079091</t>
        </is>
      </c>
      <c r="D3577" t="inlineStr">
        <is>
          <t>OTHR MADE UP ARTCLS - TEXTILE FACE MASKS INCLDNG SURGICAL MASKS AND DISPOSABLE FACE MASKS</t>
        </is>
      </c>
      <c r="E3577" s="3" t="n">
        <v>0.07000000000000001</v>
      </c>
      <c r="F3577" s="3" t="n">
        <v>0.24</v>
      </c>
      <c r="G3577" s="3">
        <f>F3577-E3577</f>
        <v/>
      </c>
      <c r="H3577" s="4">
        <f>IF(E3577=0,"",F3577/E3577-1)</f>
        <v/>
      </c>
      <c r="I3577" t="inlineStr"/>
    </row>
    <row r="3578">
      <c r="A3578" t="inlineStr">
        <is>
          <t>Textiles &amp; apparel</t>
        </is>
      </c>
      <c r="B3578" t="inlineStr">
        <is>
          <t>57</t>
        </is>
      </c>
      <c r="C3578" t="inlineStr">
        <is>
          <t>57023110</t>
        </is>
      </c>
      <c r="D3578" t="inlineStr">
        <is>
          <t>CARPETS</t>
        </is>
      </c>
      <c r="E3578" s="3" t="n">
        <v>0.03</v>
      </c>
      <c r="F3578" s="3" t="n">
        <v>0.23</v>
      </c>
      <c r="G3578" s="3">
        <f>F3578-E3578</f>
        <v/>
      </c>
      <c r="H3578" s="4">
        <f>IF(E3578=0,"",F3578/E3578-1)</f>
        <v/>
      </c>
      <c r="I3578" t="inlineStr"/>
    </row>
    <row r="3579">
      <c r="A3579" t="inlineStr">
        <is>
          <t>Textiles &amp; apparel</t>
        </is>
      </c>
      <c r="B3579" t="inlineStr">
        <is>
          <t>61</t>
        </is>
      </c>
      <c r="C3579" t="inlineStr">
        <is>
          <t>61099020</t>
        </is>
      </c>
      <c r="D3579" t="inlineStr">
        <is>
          <t>T-SHIRT ETC OF ARTIFICIAL FIBRES</t>
        </is>
      </c>
      <c r="E3579" s="3" t="n">
        <v>0.06</v>
      </c>
      <c r="F3579" s="3" t="n">
        <v>0.23</v>
      </c>
      <c r="G3579" s="3">
        <f>F3579-E3579</f>
        <v/>
      </c>
      <c r="H3579" s="4">
        <f>IF(E3579=0,"",F3579/E3579-1)</f>
        <v/>
      </c>
      <c r="I3579" t="inlineStr"/>
    </row>
    <row r="3580">
      <c r="A3580" t="inlineStr">
        <is>
          <t>Textiles &amp; apparel</t>
        </is>
      </c>
      <c r="B3580" t="inlineStr">
        <is>
          <t>62</t>
        </is>
      </c>
      <c r="C3580" t="inlineStr">
        <is>
          <t>62043390</t>
        </is>
      </c>
      <c r="D3580" t="inlineStr">
        <is>
          <t>JACKETS OF SYNTHETIC FIBRES-OTHERS</t>
        </is>
      </c>
      <c r="E3580" s="3" t="n">
        <v>15.9</v>
      </c>
      <c r="F3580" s="3" t="n">
        <v>0.23</v>
      </c>
      <c r="G3580" s="3">
        <f>F3580-E3580</f>
        <v/>
      </c>
      <c r="H3580" s="4">
        <f>IF(E3580=0,"",F3580/E3580-1)</f>
        <v/>
      </c>
      <c r="I3580" t="inlineStr"/>
    </row>
    <row r="3581">
      <c r="A3581" t="inlineStr">
        <is>
          <t>Textiles &amp; apparel</t>
        </is>
      </c>
      <c r="B3581" t="inlineStr">
        <is>
          <t>62</t>
        </is>
      </c>
      <c r="C3581" t="inlineStr">
        <is>
          <t>62179090</t>
        </is>
      </c>
      <c r="D3581" t="inlineStr">
        <is>
          <t>OTHERS AND TRIMMINGS OF OTHER TEXTILE FIBRES</t>
        </is>
      </c>
      <c r="E3581" s="3" t="n">
        <v>0.09</v>
      </c>
      <c r="F3581" s="3" t="n">
        <v>0.23</v>
      </c>
      <c r="G3581" s="3">
        <f>F3581-E3581</f>
        <v/>
      </c>
      <c r="H3581" s="4">
        <f>IF(E3581=0,"",F3581/E3581-1)</f>
        <v/>
      </c>
      <c r="I3581" t="inlineStr"/>
    </row>
    <row r="3582">
      <c r="A3582" t="inlineStr">
        <is>
          <t>Textiles &amp; apparel</t>
        </is>
      </c>
      <c r="B3582" t="inlineStr">
        <is>
          <t>52</t>
        </is>
      </c>
      <c r="C3582" t="inlineStr">
        <is>
          <t>52029900</t>
        </is>
      </c>
      <c r="D3582" t="inlineStr">
        <is>
          <t>OTHER COTTON WASTE</t>
        </is>
      </c>
      <c r="E3582" s="3" t="n">
        <v>0</v>
      </c>
      <c r="F3582" s="3" t="n">
        <v>0.22</v>
      </c>
      <c r="G3582" s="3">
        <f>F3582-E3582</f>
        <v/>
      </c>
      <c r="H3582" s="4">
        <f>IF(E3582=0,"",F3582/E3582-1)</f>
        <v/>
      </c>
      <c r="I3582" t="inlineStr"/>
    </row>
    <row r="3583">
      <c r="A3583" t="inlineStr">
        <is>
          <t>Textiles &amp; apparel</t>
        </is>
      </c>
      <c r="B3583" t="inlineStr">
        <is>
          <t>56</t>
        </is>
      </c>
      <c r="C3583" t="inlineStr">
        <is>
          <t>56079020</t>
        </is>
      </c>
      <c r="D3583" t="inlineStr">
        <is>
          <t>CORDAGE,CABLE ROPES AND TWINE OF COTTON</t>
        </is>
      </c>
      <c r="E3583" s="3" t="n">
        <v>0.04</v>
      </c>
      <c r="F3583" s="3" t="n">
        <v>0.22</v>
      </c>
      <c r="G3583" s="3">
        <f>F3583-E3583</f>
        <v/>
      </c>
      <c r="H3583" s="4">
        <f>IF(E3583=0,"",F3583/E3583-1)</f>
        <v/>
      </c>
      <c r="I3583" t="inlineStr"/>
    </row>
    <row r="3584">
      <c r="A3584" t="inlineStr">
        <is>
          <t>Textiles &amp; apparel</t>
        </is>
      </c>
      <c r="B3584" t="inlineStr">
        <is>
          <t>61</t>
        </is>
      </c>
      <c r="C3584" t="inlineStr">
        <is>
          <t>61052010</t>
        </is>
      </c>
      <c r="D3584" t="inlineStr">
        <is>
          <t>MENS/BOYS SHIRTS SYN FIBRES</t>
        </is>
      </c>
      <c r="E3584" s="3" t="n">
        <v>0.02</v>
      </c>
      <c r="F3584" s="3" t="n">
        <v>0.22</v>
      </c>
      <c r="G3584" s="3">
        <f>F3584-E3584</f>
        <v/>
      </c>
      <c r="H3584" s="4">
        <f>IF(E3584=0,"",F3584/E3584-1)</f>
        <v/>
      </c>
      <c r="I3584" t="inlineStr"/>
    </row>
    <row r="3585">
      <c r="A3585" t="inlineStr">
        <is>
          <t>Textiles &amp; apparel</t>
        </is>
      </c>
      <c r="B3585" t="inlineStr">
        <is>
          <t>62</t>
        </is>
      </c>
      <c r="C3585" t="inlineStr">
        <is>
          <t>62041210</t>
        </is>
      </c>
      <c r="D3585" t="inlineStr">
        <is>
          <t>SUITS OF COTTON-Embroidered with Lucknow Chikan Craft</t>
        </is>
      </c>
      <c r="E3585" s="3" t="n">
        <v>0</v>
      </c>
      <c r="F3585" s="3" t="n">
        <v>0.21</v>
      </c>
      <c r="G3585" s="3">
        <f>F3585-E3585</f>
        <v/>
      </c>
      <c r="H3585" s="4">
        <f>IF(E3585=0,"",F3585/E3585-1)</f>
        <v/>
      </c>
      <c r="I3585" t="inlineStr"/>
    </row>
    <row r="3586">
      <c r="A3586" t="inlineStr">
        <is>
          <t>Textiles &amp; apparel</t>
        </is>
      </c>
      <c r="B3586" t="inlineStr">
        <is>
          <t>62</t>
        </is>
      </c>
      <c r="C3586" t="inlineStr">
        <is>
          <t>62041310</t>
        </is>
      </c>
      <c r="D3586" t="inlineStr">
        <is>
          <t>SUITS OF SYNTHETIC FIBRES-Embroidered with Lucknow Chikan Craft</t>
        </is>
      </c>
      <c r="E3586" s="3" t="n">
        <v>0.14</v>
      </c>
      <c r="F3586" s="3" t="n">
        <v>0.21</v>
      </c>
      <c r="G3586" s="3">
        <f>F3586-E3586</f>
        <v/>
      </c>
      <c r="H3586" s="4">
        <f>IF(E3586=0,"",F3586/E3586-1)</f>
        <v/>
      </c>
      <c r="I3586" t="inlineStr"/>
    </row>
    <row r="3587">
      <c r="A3587" t="inlineStr">
        <is>
          <t>Textiles &amp; apparel</t>
        </is>
      </c>
      <c r="B3587" t="inlineStr">
        <is>
          <t>62</t>
        </is>
      </c>
      <c r="C3587" t="inlineStr">
        <is>
          <t>62042999</t>
        </is>
      </c>
      <c r="D3587" t="inlineStr">
        <is>
          <t>OTHR ENSEMBLES OF OTHR TXTL MATRALS OTHR THAN SILK-OTHER</t>
        </is>
      </c>
      <c r="E3587" s="3" t="n">
        <v>0.29</v>
      </c>
      <c r="F3587" s="3" t="n">
        <v>0.21</v>
      </c>
      <c r="G3587" s="3">
        <f>F3587-E3587</f>
        <v/>
      </c>
      <c r="H3587" s="4">
        <f>IF(E3587=0,"",F3587/E3587-1)</f>
        <v/>
      </c>
      <c r="I3587" t="inlineStr"/>
    </row>
    <row r="3588">
      <c r="A3588" t="inlineStr">
        <is>
          <t>Textiles &amp; apparel</t>
        </is>
      </c>
      <c r="B3588" t="inlineStr">
        <is>
          <t>62</t>
        </is>
      </c>
      <c r="C3588" t="inlineStr">
        <is>
          <t>62082200</t>
        </is>
      </c>
      <c r="D3588" t="inlineStr">
        <is>
          <t>NIGHTDRESSES AND PYJAMAS OF MAN-MADE FIBRES</t>
        </is>
      </c>
      <c r="E3588" s="3" t="n">
        <v>0.49</v>
      </c>
      <c r="F3588" s="3" t="n">
        <v>0.21</v>
      </c>
      <c r="G3588" s="3">
        <f>F3588-E3588</f>
        <v/>
      </c>
      <c r="H3588" s="4">
        <f>IF(E3588=0,"",F3588/E3588-1)</f>
        <v/>
      </c>
      <c r="I3588" t="inlineStr"/>
    </row>
    <row r="3589">
      <c r="A3589" t="inlineStr">
        <is>
          <t>Textiles &amp; apparel</t>
        </is>
      </c>
      <c r="B3589" t="inlineStr">
        <is>
          <t>62</t>
        </is>
      </c>
      <c r="C3589" t="inlineStr">
        <is>
          <t>62104090</t>
        </is>
      </c>
      <c r="D3589" t="inlineStr">
        <is>
          <t>OTHR PERSONAL PROTECTIVE GRMNTS</t>
        </is>
      </c>
      <c r="E3589" s="3" t="n">
        <v>0.05</v>
      </c>
      <c r="F3589" s="3" t="n">
        <v>0.21</v>
      </c>
      <c r="G3589" s="3">
        <f>F3589-E3589</f>
        <v/>
      </c>
      <c r="H3589" s="4">
        <f>IF(E3589=0,"",F3589/E3589-1)</f>
        <v/>
      </c>
      <c r="I3589" t="inlineStr"/>
    </row>
    <row r="3590">
      <c r="A3590" t="inlineStr">
        <is>
          <t>Textiles &amp; apparel</t>
        </is>
      </c>
      <c r="B3590" t="inlineStr">
        <is>
          <t>62</t>
        </is>
      </c>
      <c r="C3590" t="inlineStr">
        <is>
          <t>62149059</t>
        </is>
      </c>
      <c r="D3590" t="inlineStr">
        <is>
          <t>SHAWLS,MUFFLERS AND THE LIKE OF COTTON-OTHER</t>
        </is>
      </c>
      <c r="E3590" s="3" t="n">
        <v>0.71</v>
      </c>
      <c r="F3590" s="3" t="n">
        <v>0.21</v>
      </c>
      <c r="G3590" s="3">
        <f>F3590-E3590</f>
        <v/>
      </c>
      <c r="H3590" s="4">
        <f>IF(E3590=0,"",F3590/E3590-1)</f>
        <v/>
      </c>
      <c r="I3590" t="inlineStr"/>
    </row>
    <row r="3591">
      <c r="A3591" t="inlineStr">
        <is>
          <t>Textiles &amp; apparel</t>
        </is>
      </c>
      <c r="B3591" t="inlineStr">
        <is>
          <t>61</t>
        </is>
      </c>
      <c r="C3591" t="inlineStr">
        <is>
          <t>61032920</t>
        </is>
      </c>
      <c r="D3591" t="inlineStr">
        <is>
          <t>ENSEMBLES OF ARTIFICIAL FIBRES</t>
        </is>
      </c>
      <c r="E3591" s="3" t="n">
        <v>0</v>
      </c>
      <c r="F3591" s="3" t="n">
        <v>0.2</v>
      </c>
      <c r="G3591" s="3">
        <f>F3591-E3591</f>
        <v/>
      </c>
      <c r="H3591" s="4">
        <f>IF(E3591=0,"",F3591/E3591-1)</f>
        <v/>
      </c>
      <c r="I3591" t="inlineStr"/>
    </row>
    <row r="3592">
      <c r="A3592" t="inlineStr">
        <is>
          <t>Textiles &amp; apparel</t>
        </is>
      </c>
      <c r="B3592" t="inlineStr">
        <is>
          <t>62</t>
        </is>
      </c>
      <c r="C3592" t="inlineStr">
        <is>
          <t>62032300</t>
        </is>
      </c>
      <c r="D3592" t="inlineStr">
        <is>
          <t>ENSEMBLES OF SYNTHETIC FIBRES</t>
        </is>
      </c>
      <c r="E3592" s="3" t="n">
        <v>0</v>
      </c>
      <c r="F3592" s="3" t="n">
        <v>0.2</v>
      </c>
      <c r="G3592" s="3">
        <f>F3592-E3592</f>
        <v/>
      </c>
      <c r="H3592" s="4">
        <f>IF(E3592=0,"",F3592/E3592-1)</f>
        <v/>
      </c>
      <c r="I3592" t="inlineStr"/>
    </row>
    <row r="3593">
      <c r="A3593" t="inlineStr">
        <is>
          <t>Textiles &amp; apparel</t>
        </is>
      </c>
      <c r="B3593" t="inlineStr">
        <is>
          <t>50</t>
        </is>
      </c>
      <c r="C3593" t="inlineStr">
        <is>
          <t>50072010</t>
        </is>
      </c>
      <c r="D3593" t="inlineStr">
        <is>
          <t>SAREES CONTNG &gt;=85% BY WT OF SLK/SLK WST, OTHER THAN NOIL SLK.</t>
        </is>
      </c>
      <c r="E3593" s="3" t="n">
        <v>0.38</v>
      </c>
      <c r="F3593" s="3" t="n">
        <v>0.19</v>
      </c>
      <c r="G3593" s="3">
        <f>F3593-E3593</f>
        <v/>
      </c>
      <c r="H3593" s="4">
        <f>IF(E3593=0,"",F3593/E3593-1)</f>
        <v/>
      </c>
      <c r="I3593" t="inlineStr"/>
    </row>
    <row r="3594">
      <c r="A3594" t="inlineStr">
        <is>
          <t>Textiles &amp; apparel</t>
        </is>
      </c>
      <c r="B3594" t="inlineStr">
        <is>
          <t>61</t>
        </is>
      </c>
      <c r="C3594" t="inlineStr">
        <is>
          <t>61051010</t>
        </is>
      </c>
      <c r="D3594" t="inlineStr">
        <is>
          <t>COTTON SHIRTS,HAND CROCHETED</t>
        </is>
      </c>
      <c r="E3594" s="3" t="n">
        <v>0.17</v>
      </c>
      <c r="F3594" s="3" t="n">
        <v>0.19</v>
      </c>
      <c r="G3594" s="3">
        <f>F3594-E3594</f>
        <v/>
      </c>
      <c r="H3594" s="4">
        <f>IF(E3594=0,"",F3594/E3594-1)</f>
        <v/>
      </c>
      <c r="I3594" t="inlineStr"/>
    </row>
    <row r="3595">
      <c r="A3595" t="inlineStr">
        <is>
          <t>Textiles &amp; apparel</t>
        </is>
      </c>
      <c r="B3595" t="inlineStr">
        <is>
          <t>61</t>
        </is>
      </c>
      <c r="C3595" t="inlineStr">
        <is>
          <t>61071210</t>
        </is>
      </c>
      <c r="D3595" t="inlineStr">
        <is>
          <t>UNDERPANTS AND BRIEFS OF SYN FIBRES</t>
        </is>
      </c>
      <c r="E3595" s="3" t="n">
        <v>0.07000000000000001</v>
      </c>
      <c r="F3595" s="3" t="n">
        <v>0.19</v>
      </c>
      <c r="G3595" s="3">
        <f>F3595-E3595</f>
        <v/>
      </c>
      <c r="H3595" s="4">
        <f>IF(E3595=0,"",F3595/E3595-1)</f>
        <v/>
      </c>
      <c r="I3595" t="inlineStr"/>
    </row>
    <row r="3596">
      <c r="A3596" t="inlineStr">
        <is>
          <t>Textiles &amp; apparel</t>
        </is>
      </c>
      <c r="B3596" t="inlineStr">
        <is>
          <t>61</t>
        </is>
      </c>
      <c r="C3596" t="inlineStr">
        <is>
          <t>61082990</t>
        </is>
      </c>
      <c r="D3596" t="inlineStr">
        <is>
          <t>BRIEFS AND PANITIES OF OTHER FIBRES</t>
        </is>
      </c>
      <c r="E3596" s="3" t="n">
        <v>0.13</v>
      </c>
      <c r="F3596" s="3" t="n">
        <v>0.19</v>
      </c>
      <c r="G3596" s="3">
        <f>F3596-E3596</f>
        <v/>
      </c>
      <c r="H3596" s="4">
        <f>IF(E3596=0,"",F3596/E3596-1)</f>
        <v/>
      </c>
      <c r="I3596" t="inlineStr"/>
    </row>
    <row r="3597">
      <c r="A3597" t="inlineStr">
        <is>
          <t>Textiles &amp; apparel</t>
        </is>
      </c>
      <c r="B3597" t="inlineStr">
        <is>
          <t>56</t>
        </is>
      </c>
      <c r="C3597" t="inlineStr">
        <is>
          <t>56039100</t>
        </is>
      </c>
      <c r="D3597" t="inlineStr">
        <is>
          <t>OTHER FILMNT WGHNG &lt;25G/SQM</t>
        </is>
      </c>
      <c r="E3597" s="3" t="n">
        <v>0.17</v>
      </c>
      <c r="F3597" s="3" t="n">
        <v>0.18</v>
      </c>
      <c r="G3597" s="3">
        <f>F3597-E3597</f>
        <v/>
      </c>
      <c r="H3597" s="4">
        <f>IF(E3597=0,"",F3597/E3597-1)</f>
        <v/>
      </c>
      <c r="I3597" t="inlineStr"/>
    </row>
    <row r="3598">
      <c r="A3598" t="inlineStr">
        <is>
          <t>Textiles &amp; apparel</t>
        </is>
      </c>
      <c r="B3598" t="inlineStr">
        <is>
          <t>59</t>
        </is>
      </c>
      <c r="C3598" t="inlineStr">
        <is>
          <t>59090020</t>
        </is>
      </c>
      <c r="D3598" t="inlineStr">
        <is>
          <t>HOSE PIPING AND SMLR TUBING OF MAN MADE FIBR</t>
        </is>
      </c>
      <c r="E3598" s="3" t="n">
        <v>0.23</v>
      </c>
      <c r="F3598" s="3" t="n">
        <v>0.18</v>
      </c>
      <c r="G3598" s="3">
        <f>F3598-E3598</f>
        <v/>
      </c>
      <c r="H3598" s="4">
        <f>IF(E3598=0,"",F3598/E3598-1)</f>
        <v/>
      </c>
      <c r="I3598" t="inlineStr"/>
    </row>
    <row r="3599">
      <c r="A3599" t="inlineStr">
        <is>
          <t>Textiles &amp; apparel</t>
        </is>
      </c>
      <c r="B3599" t="inlineStr">
        <is>
          <t>62</t>
        </is>
      </c>
      <c r="C3599" t="inlineStr">
        <is>
          <t>62052010</t>
        </is>
      </c>
      <c r="D3599" t="inlineStr">
        <is>
          <t>OF COTTON: HANDLOOM</t>
        </is>
      </c>
      <c r="E3599" s="3" t="n">
        <v>0</v>
      </c>
      <c r="F3599" s="3" t="n">
        <v>0.18</v>
      </c>
      <c r="G3599" s="3">
        <f>F3599-E3599</f>
        <v/>
      </c>
      <c r="H3599" s="4">
        <f>IF(E3599=0,"",F3599/E3599-1)</f>
        <v/>
      </c>
      <c r="I3599" t="inlineStr"/>
    </row>
    <row r="3600">
      <c r="A3600" t="inlineStr">
        <is>
          <t>Textiles &amp; apparel</t>
        </is>
      </c>
      <c r="B3600" t="inlineStr">
        <is>
          <t>63</t>
        </is>
      </c>
      <c r="C3600" t="inlineStr">
        <is>
          <t>63041940</t>
        </is>
      </c>
      <c r="D3600" t="inlineStr">
        <is>
          <t>BED SHEETS AND BED COVERS OF COTTON, HANDLOOM</t>
        </is>
      </c>
      <c r="E3600" s="3" t="n">
        <v>0</v>
      </c>
      <c r="F3600" s="3" t="n">
        <v>0.18</v>
      </c>
      <c r="G3600" s="3">
        <f>F3600-E3600</f>
        <v/>
      </c>
      <c r="H3600" s="4">
        <f>IF(E3600=0,"",F3600/E3600-1)</f>
        <v/>
      </c>
      <c r="I3600" t="inlineStr"/>
    </row>
    <row r="3601">
      <c r="A3601" t="inlineStr">
        <is>
          <t>Textiles &amp; apparel</t>
        </is>
      </c>
      <c r="B3601" t="inlineStr">
        <is>
          <t>52</t>
        </is>
      </c>
      <c r="C3601" t="inlineStr">
        <is>
          <t>52082310</t>
        </is>
      </c>
      <c r="D3601" t="inlineStr">
        <is>
          <t>SHIRTINGS FBRCS</t>
        </is>
      </c>
      <c r="E3601" s="3" t="n">
        <v>0.14</v>
      </c>
      <c r="F3601" s="3" t="n">
        <v>0.17</v>
      </c>
      <c r="G3601" s="3">
        <f>F3601-E3601</f>
        <v/>
      </c>
      <c r="H3601" s="4">
        <f>IF(E3601=0,"",F3601/E3601-1)</f>
        <v/>
      </c>
      <c r="I3601" t="inlineStr"/>
    </row>
    <row r="3602">
      <c r="A3602" t="inlineStr">
        <is>
          <t>Textiles &amp; apparel</t>
        </is>
      </c>
      <c r="B3602" t="inlineStr">
        <is>
          <t>58</t>
        </is>
      </c>
      <c r="C3602" t="inlineStr">
        <is>
          <t>58013720</t>
        </is>
      </c>
      <c r="D3602" t="inlineStr">
        <is>
          <t>WARP PILE FABRICS, CUT</t>
        </is>
      </c>
      <c r="E3602" s="3" t="n">
        <v>0</v>
      </c>
      <c r="F3602" s="3" t="n">
        <v>0.17</v>
      </c>
      <c r="G3602" s="3">
        <f>F3602-E3602</f>
        <v/>
      </c>
      <c r="H3602" s="4">
        <f>IF(E3602=0,"",F3602/E3602-1)</f>
        <v/>
      </c>
      <c r="I3602" t="inlineStr"/>
    </row>
    <row r="3603">
      <c r="A3603" t="inlineStr">
        <is>
          <t>Textiles &amp; apparel</t>
        </is>
      </c>
      <c r="B3603" t="inlineStr">
        <is>
          <t>61</t>
        </is>
      </c>
      <c r="C3603" t="inlineStr">
        <is>
          <t>61033200</t>
        </is>
      </c>
      <c r="D3603" t="inlineStr">
        <is>
          <t>JACKETS AND BLAZERS OF COTTON</t>
        </is>
      </c>
      <c r="E3603" s="3" t="n">
        <v>0.08</v>
      </c>
      <c r="F3603" s="3" t="n">
        <v>0.17</v>
      </c>
      <c r="G3603" s="3">
        <f>F3603-E3603</f>
        <v/>
      </c>
      <c r="H3603" s="4">
        <f>IF(E3603=0,"",F3603/E3603-1)</f>
        <v/>
      </c>
      <c r="I3603" t="inlineStr"/>
    </row>
    <row r="3604">
      <c r="A3604" t="inlineStr">
        <is>
          <t>Textiles &amp; apparel</t>
        </is>
      </c>
      <c r="B3604" t="inlineStr">
        <is>
          <t>62</t>
        </is>
      </c>
      <c r="C3604" t="inlineStr">
        <is>
          <t>62042919</t>
        </is>
      </c>
      <c r="D3604" t="inlineStr">
        <is>
          <t>OTHR ENSEMBLES OF OTHR TXTL MATRALS OF SLK</t>
        </is>
      </c>
      <c r="E3604" s="3" t="n">
        <v>0</v>
      </c>
      <c r="F3604" s="3" t="n">
        <v>0.17</v>
      </c>
      <c r="G3604" s="3">
        <f>F3604-E3604</f>
        <v/>
      </c>
      <c r="H3604" s="4">
        <f>IF(E3604=0,"",F3604/E3604-1)</f>
        <v/>
      </c>
      <c r="I3604" t="inlineStr"/>
    </row>
    <row r="3605">
      <c r="A3605" t="inlineStr">
        <is>
          <t>Textiles &amp; apparel</t>
        </is>
      </c>
      <c r="B3605" t="inlineStr">
        <is>
          <t>62</t>
        </is>
      </c>
      <c r="C3605" t="inlineStr">
        <is>
          <t>62093000</t>
        </is>
      </c>
      <c r="D3605" t="inlineStr">
        <is>
          <t>BABIES GRMNTS AND CLOTHNG ACCESS OF SYN FIBR</t>
        </is>
      </c>
      <c r="E3605" s="3" t="n">
        <v>0.26</v>
      </c>
      <c r="F3605" s="3" t="n">
        <v>0.17</v>
      </c>
      <c r="G3605" s="3">
        <f>F3605-E3605</f>
        <v/>
      </c>
      <c r="H3605" s="4">
        <f>IF(E3605=0,"",F3605/E3605-1)</f>
        <v/>
      </c>
      <c r="I3605" t="inlineStr"/>
    </row>
    <row r="3606">
      <c r="A3606" t="inlineStr">
        <is>
          <t>Textiles &amp; apparel</t>
        </is>
      </c>
      <c r="B3606" t="inlineStr">
        <is>
          <t>51</t>
        </is>
      </c>
      <c r="C3606" t="inlineStr">
        <is>
          <t>51111130</t>
        </is>
      </c>
      <c r="D3606" t="inlineStr">
        <is>
          <t>DYED WOVN FBRCS</t>
        </is>
      </c>
      <c r="E3606" s="3" t="n">
        <v>0</v>
      </c>
      <c r="F3606" s="3" t="n">
        <v>0.16</v>
      </c>
      <c r="G3606" s="3">
        <f>F3606-E3606</f>
        <v/>
      </c>
      <c r="H3606" s="4">
        <f>IF(E3606=0,"",F3606/E3606-1)</f>
        <v/>
      </c>
      <c r="I3606" t="inlineStr"/>
    </row>
    <row r="3607">
      <c r="A3607" t="inlineStr">
        <is>
          <t>Textiles &amp; apparel</t>
        </is>
      </c>
      <c r="B3607" t="inlineStr">
        <is>
          <t>52</t>
        </is>
      </c>
      <c r="C3607" t="inlineStr">
        <is>
          <t>52081220</t>
        </is>
      </c>
      <c r="D3607" t="inlineStr">
        <is>
          <t>SAREE</t>
        </is>
      </c>
      <c r="E3607" s="3" t="n">
        <v>0.24</v>
      </c>
      <c r="F3607" s="3" t="n">
        <v>0.16</v>
      </c>
      <c r="G3607" s="3">
        <f>F3607-E3607</f>
        <v/>
      </c>
      <c r="H3607" s="4">
        <f>IF(E3607=0,"",F3607/E3607-1)</f>
        <v/>
      </c>
      <c r="I3607" t="inlineStr"/>
    </row>
    <row r="3608">
      <c r="A3608" t="inlineStr">
        <is>
          <t>Textiles &amp; apparel</t>
        </is>
      </c>
      <c r="B3608" t="inlineStr">
        <is>
          <t>56</t>
        </is>
      </c>
      <c r="C3608" t="inlineStr">
        <is>
          <t>56050090</t>
        </is>
      </c>
      <c r="D3608" t="inlineStr">
        <is>
          <t>OTHERS-OF-MTLSD YRN,W/N GMPD BEING TXTL YRN/STRP/THELIKE OF HD 5404/5405 COMBND WTH METL IN THE FORM OF THRED,STRP/PWDR/COVRD</t>
        </is>
      </c>
      <c r="E3608" s="3" t="n">
        <v>0</v>
      </c>
      <c r="F3608" s="3" t="n">
        <v>0.16</v>
      </c>
      <c r="G3608" s="3">
        <f>F3608-E3608</f>
        <v/>
      </c>
      <c r="H3608" s="4">
        <f>IF(E3608=0,"",F3608/E3608-1)</f>
        <v/>
      </c>
      <c r="I3608" t="inlineStr"/>
    </row>
    <row r="3609">
      <c r="A3609" t="inlineStr">
        <is>
          <t>Textiles &amp; apparel</t>
        </is>
      </c>
      <c r="B3609" t="inlineStr">
        <is>
          <t>61</t>
        </is>
      </c>
      <c r="C3609" t="inlineStr">
        <is>
          <t>61044200</t>
        </is>
      </c>
      <c r="D3609" t="inlineStr">
        <is>
          <t>DRESSES OF COTTON</t>
        </is>
      </c>
      <c r="E3609" s="3" t="n">
        <v>0.09</v>
      </c>
      <c r="F3609" s="3" t="n">
        <v>0.16</v>
      </c>
      <c r="G3609" s="3">
        <f>F3609-E3609</f>
        <v/>
      </c>
      <c r="H3609" s="4">
        <f>IF(E3609=0,"",F3609/E3609-1)</f>
        <v/>
      </c>
      <c r="I3609" t="inlineStr"/>
    </row>
    <row r="3610">
      <c r="A3610" t="inlineStr">
        <is>
          <t>Textiles &amp; apparel</t>
        </is>
      </c>
      <c r="B3610" t="inlineStr">
        <is>
          <t>61</t>
        </is>
      </c>
      <c r="C3610" t="inlineStr">
        <is>
          <t>61081990</t>
        </is>
      </c>
      <c r="D3610" t="inlineStr">
        <is>
          <t>SLIPS AND PETTICOATS OF OTHER FIBRES</t>
        </is>
      </c>
      <c r="E3610" s="3" t="n">
        <v>0.01</v>
      </c>
      <c r="F3610" s="3" t="n">
        <v>0.16</v>
      </c>
      <c r="G3610" s="3">
        <f>F3610-E3610</f>
        <v/>
      </c>
      <c r="H3610" s="4">
        <f>IF(E3610=0,"",F3610/E3610-1)</f>
        <v/>
      </c>
      <c r="I3610" t="inlineStr"/>
    </row>
    <row r="3611">
      <c r="A3611" t="inlineStr">
        <is>
          <t>Textiles &amp; apparel</t>
        </is>
      </c>
      <c r="B3611" t="inlineStr">
        <is>
          <t>62</t>
        </is>
      </c>
      <c r="C3611" t="inlineStr">
        <is>
          <t>62031100</t>
        </is>
      </c>
      <c r="D3611" t="inlineStr">
        <is>
          <t>SUITS OF WOOL OR FINE ANIMAL HAIR</t>
        </is>
      </c>
      <c r="E3611" s="3" t="n">
        <v>0</v>
      </c>
      <c r="F3611" s="3" t="n">
        <v>0.16</v>
      </c>
      <c r="G3611" s="3">
        <f>F3611-E3611</f>
        <v/>
      </c>
      <c r="H3611" s="4">
        <f>IF(E3611=0,"",F3611/E3611-1)</f>
        <v/>
      </c>
      <c r="I3611" t="inlineStr"/>
    </row>
    <row r="3612">
      <c r="A3612" t="inlineStr">
        <is>
          <t>Textiles &amp; apparel</t>
        </is>
      </c>
      <c r="B3612" t="inlineStr">
        <is>
          <t>54</t>
        </is>
      </c>
      <c r="C3612" t="inlineStr">
        <is>
          <t>54025900</t>
        </is>
      </c>
      <c r="D3612" t="inlineStr">
        <is>
          <t>OTHERS-OF-OTHER YARN,SNGLE,WITH A TWIST EXCEEDING 50 TURNS PER METRE</t>
        </is>
      </c>
      <c r="E3612" s="3" t="n">
        <v>0.5600000000000001</v>
      </c>
      <c r="F3612" s="3" t="n">
        <v>0.15</v>
      </c>
      <c r="G3612" s="3">
        <f>F3612-E3612</f>
        <v/>
      </c>
      <c r="H3612" s="4">
        <f>IF(E3612=0,"",F3612/E3612-1)</f>
        <v/>
      </c>
      <c r="I3612" t="inlineStr"/>
    </row>
    <row r="3613">
      <c r="A3613" t="inlineStr">
        <is>
          <t>Textiles &amp; apparel</t>
        </is>
      </c>
      <c r="B3613" t="inlineStr">
        <is>
          <t>54</t>
        </is>
      </c>
      <c r="C3613" t="inlineStr">
        <is>
          <t>54078260</t>
        </is>
      </c>
      <c r="D3613" t="inlineStr">
        <is>
          <t>LUNGIES</t>
        </is>
      </c>
      <c r="E3613" s="3" t="n">
        <v>0.99</v>
      </c>
      <c r="F3613" s="3" t="n">
        <v>0.15</v>
      </c>
      <c r="G3613" s="3">
        <f>F3613-E3613</f>
        <v/>
      </c>
      <c r="H3613" s="4">
        <f>IF(E3613=0,"",F3613/E3613-1)</f>
        <v/>
      </c>
      <c r="I3613" t="inlineStr"/>
    </row>
    <row r="3614">
      <c r="A3614" t="inlineStr">
        <is>
          <t>Textiles &amp; apparel</t>
        </is>
      </c>
      <c r="B3614" t="inlineStr">
        <is>
          <t>61</t>
        </is>
      </c>
      <c r="C3614" t="inlineStr">
        <is>
          <t>61033300</t>
        </is>
      </c>
      <c r="D3614" t="inlineStr">
        <is>
          <t>JACKETS AND BLAZERS OF SYNTHETIC FIBRES</t>
        </is>
      </c>
      <c r="E3614" s="3" t="n">
        <v>0.02</v>
      </c>
      <c r="F3614" s="3" t="n">
        <v>0.15</v>
      </c>
      <c r="G3614" s="3">
        <f>F3614-E3614</f>
        <v/>
      </c>
      <c r="H3614" s="4">
        <f>IF(E3614=0,"",F3614/E3614-1)</f>
        <v/>
      </c>
      <c r="I3614" t="inlineStr"/>
    </row>
    <row r="3615">
      <c r="A3615" t="inlineStr">
        <is>
          <t>Textiles &amp; apparel</t>
        </is>
      </c>
      <c r="B3615" t="inlineStr">
        <is>
          <t>61</t>
        </is>
      </c>
      <c r="C3615" t="inlineStr">
        <is>
          <t>61102000</t>
        </is>
      </c>
      <c r="D3615" t="inlineStr">
        <is>
          <t>JERSEYS ETC OF COTTON</t>
        </is>
      </c>
      <c r="E3615" s="3" t="n">
        <v>0</v>
      </c>
      <c r="F3615" s="3" t="n">
        <v>0.15</v>
      </c>
      <c r="G3615" s="3">
        <f>F3615-E3615</f>
        <v/>
      </c>
      <c r="H3615" s="4">
        <f>IF(E3615=0,"",F3615/E3615-1)</f>
        <v/>
      </c>
      <c r="I3615" t="inlineStr"/>
    </row>
    <row r="3616">
      <c r="A3616" t="inlineStr">
        <is>
          <t>Textiles &amp; apparel</t>
        </is>
      </c>
      <c r="B3616" t="inlineStr">
        <is>
          <t>61</t>
        </is>
      </c>
      <c r="C3616" t="inlineStr">
        <is>
          <t>61121990</t>
        </is>
      </c>
      <c r="D3616" t="inlineStr">
        <is>
          <t>TRACK SUITS OF OTHER FIBRES</t>
        </is>
      </c>
      <c r="E3616" s="3" t="n">
        <v>0.02</v>
      </c>
      <c r="F3616" s="3" t="n">
        <v>0.15</v>
      </c>
      <c r="G3616" s="3">
        <f>F3616-E3616</f>
        <v/>
      </c>
      <c r="H3616" s="4">
        <f>IF(E3616=0,"",F3616/E3616-1)</f>
        <v/>
      </c>
      <c r="I3616" t="inlineStr"/>
    </row>
    <row r="3617">
      <c r="A3617" t="inlineStr">
        <is>
          <t>Textiles &amp; apparel</t>
        </is>
      </c>
      <c r="B3617" t="inlineStr">
        <is>
          <t>55</t>
        </is>
      </c>
      <c r="C3617" t="inlineStr">
        <is>
          <t>55032000</t>
        </is>
      </c>
      <c r="D3617" t="inlineStr">
        <is>
          <t>STAPLE FIBRES OF POLYESTER NT CRD/CMBD</t>
        </is>
      </c>
      <c r="E3617" s="3" t="n">
        <v>0.19</v>
      </c>
      <c r="F3617" s="3" t="n">
        <v>0.14</v>
      </c>
      <c r="G3617" s="3">
        <f>F3617-E3617</f>
        <v/>
      </c>
      <c r="H3617" s="4">
        <f>IF(E3617=0,"",F3617/E3617-1)</f>
        <v/>
      </c>
      <c r="I3617" t="inlineStr"/>
    </row>
    <row r="3618">
      <c r="A3618" t="inlineStr">
        <is>
          <t>Textiles &amp; apparel</t>
        </is>
      </c>
      <c r="B3618" t="inlineStr">
        <is>
          <t>56</t>
        </is>
      </c>
      <c r="C3618" t="inlineStr">
        <is>
          <t>56072900</t>
        </is>
      </c>
      <c r="D3618" t="inlineStr">
        <is>
          <t>OTHR TWINE,ROPE ETC OF SISAL OR OTHER TEXTILE FIBRES OF THE GENUS AGAVE</t>
        </is>
      </c>
      <c r="E3618" s="3" t="n">
        <v>0</v>
      </c>
      <c r="F3618" s="3" t="n">
        <v>0.14</v>
      </c>
      <c r="G3618" s="3">
        <f>F3618-E3618</f>
        <v/>
      </c>
      <c r="H3618" s="4">
        <f>IF(E3618=0,"",F3618/E3618-1)</f>
        <v/>
      </c>
      <c r="I3618" t="inlineStr"/>
    </row>
    <row r="3619">
      <c r="A3619" t="inlineStr">
        <is>
          <t>Textiles &amp; apparel</t>
        </is>
      </c>
      <c r="B3619" t="inlineStr">
        <is>
          <t>57</t>
        </is>
      </c>
      <c r="C3619" t="inlineStr">
        <is>
          <t>57039090</t>
        </is>
      </c>
      <c r="D3619" t="inlineStr">
        <is>
          <t>OTHERS-OF-OF OTHER TEXTILE MATERIALS:</t>
        </is>
      </c>
      <c r="E3619" s="3" t="n">
        <v>0.11</v>
      </c>
      <c r="F3619" s="3" t="n">
        <v>0.14</v>
      </c>
      <c r="G3619" s="3">
        <f>F3619-E3619</f>
        <v/>
      </c>
      <c r="H3619" s="4">
        <f>IF(E3619=0,"",F3619/E3619-1)</f>
        <v/>
      </c>
      <c r="I3619" t="inlineStr"/>
    </row>
    <row r="3620">
      <c r="A3620" t="inlineStr">
        <is>
          <t>Textiles &amp; apparel</t>
        </is>
      </c>
      <c r="B3620" t="inlineStr">
        <is>
          <t>61</t>
        </is>
      </c>
      <c r="C3620" t="inlineStr">
        <is>
          <t>61059090</t>
        </is>
      </c>
      <c r="D3620" t="inlineStr">
        <is>
          <t>SHIRTS OF OTHER FIBRES</t>
        </is>
      </c>
      <c r="E3620" s="3" t="n">
        <v>0.43</v>
      </c>
      <c r="F3620" s="3" t="n">
        <v>0.14</v>
      </c>
      <c r="G3620" s="3">
        <f>F3620-E3620</f>
        <v/>
      </c>
      <c r="H3620" s="4">
        <f>IF(E3620=0,"",F3620/E3620-1)</f>
        <v/>
      </c>
      <c r="I3620" t="inlineStr"/>
    </row>
    <row r="3621">
      <c r="A3621" t="inlineStr">
        <is>
          <t>Textiles &amp; apparel</t>
        </is>
      </c>
      <c r="B3621" t="inlineStr">
        <is>
          <t>61</t>
        </is>
      </c>
      <c r="C3621" t="inlineStr">
        <is>
          <t>61151000</t>
        </is>
      </c>
      <c r="D3621" t="inlineStr">
        <is>
          <t>GRADUATED COMPRESSION HOSIERY FOR EXAMPLE, (STOCKINGS FOR VARICOSE VEINS)</t>
        </is>
      </c>
      <c r="E3621" s="3" t="n">
        <v>0.16</v>
      </c>
      <c r="F3621" s="3" t="n">
        <v>0.14</v>
      </c>
      <c r="G3621" s="3">
        <f>F3621-E3621</f>
        <v/>
      </c>
      <c r="H3621" s="4">
        <f>IF(E3621=0,"",F3621/E3621-1)</f>
        <v/>
      </c>
      <c r="I3621" t="inlineStr"/>
    </row>
    <row r="3622">
      <c r="A3622" t="inlineStr">
        <is>
          <t>Textiles &amp; apparel</t>
        </is>
      </c>
      <c r="B3622" t="inlineStr">
        <is>
          <t>63</t>
        </is>
      </c>
      <c r="C3622" t="inlineStr">
        <is>
          <t>63062990</t>
        </is>
      </c>
      <c r="D3622" t="inlineStr">
        <is>
          <t>OTHER TENTS</t>
        </is>
      </c>
      <c r="E3622" s="3" t="n">
        <v>0.01</v>
      </c>
      <c r="F3622" s="3" t="n">
        <v>0.14</v>
      </c>
      <c r="G3622" s="3">
        <f>F3622-E3622</f>
        <v/>
      </c>
      <c r="H3622" s="4">
        <f>IF(E3622=0,"",F3622/E3622-1)</f>
        <v/>
      </c>
      <c r="I3622" t="inlineStr"/>
    </row>
    <row r="3623">
      <c r="A3623" t="inlineStr">
        <is>
          <t>Textiles &amp; apparel</t>
        </is>
      </c>
      <c r="B3623" t="inlineStr">
        <is>
          <t>57</t>
        </is>
      </c>
      <c r="C3623" t="inlineStr">
        <is>
          <t>57032910</t>
        </is>
      </c>
      <c r="D3623" t="inlineStr">
        <is>
          <t>CARPETS, CARPETING AND RUGS</t>
        </is>
      </c>
      <c r="E3623" s="3" t="n">
        <v>0</v>
      </c>
      <c r="F3623" s="3" t="n">
        <v>0.13</v>
      </c>
      <c r="G3623" s="3">
        <f>F3623-E3623</f>
        <v/>
      </c>
      <c r="H3623" s="4">
        <f>IF(E3623=0,"",F3623/E3623-1)</f>
        <v/>
      </c>
      <c r="I3623" t="inlineStr"/>
    </row>
    <row r="3624">
      <c r="A3624" t="inlineStr">
        <is>
          <t>Textiles &amp; apparel</t>
        </is>
      </c>
      <c r="B3624" t="inlineStr">
        <is>
          <t>61</t>
        </is>
      </c>
      <c r="C3624" t="inlineStr">
        <is>
          <t>61043990</t>
        </is>
      </c>
      <c r="D3624" t="inlineStr">
        <is>
          <t>JACKETS OF OTHER FIBRES</t>
        </is>
      </c>
      <c r="E3624" s="3" t="n">
        <v>0.11</v>
      </c>
      <c r="F3624" s="3" t="n">
        <v>0.13</v>
      </c>
      <c r="G3624" s="3">
        <f>F3624-E3624</f>
        <v/>
      </c>
      <c r="H3624" s="4">
        <f>IF(E3624=0,"",F3624/E3624-1)</f>
        <v/>
      </c>
      <c r="I3624" t="inlineStr"/>
    </row>
    <row r="3625">
      <c r="A3625" t="inlineStr">
        <is>
          <t>Textiles &amp; apparel</t>
        </is>
      </c>
      <c r="B3625" t="inlineStr">
        <is>
          <t>62</t>
        </is>
      </c>
      <c r="C3625" t="inlineStr">
        <is>
          <t>62041290</t>
        </is>
      </c>
      <c r="D3625" t="inlineStr">
        <is>
          <t>SUITS OF COTTON-OTHERS</t>
        </is>
      </c>
      <c r="E3625" s="3" t="n">
        <v>0.13</v>
      </c>
      <c r="F3625" s="3" t="n">
        <v>0.13</v>
      </c>
      <c r="G3625" s="3">
        <f>F3625-E3625</f>
        <v/>
      </c>
      <c r="H3625" s="4">
        <f>IF(E3625=0,"",F3625/E3625-1)</f>
        <v/>
      </c>
      <c r="I3625" t="inlineStr"/>
    </row>
    <row r="3626">
      <c r="A3626" t="inlineStr">
        <is>
          <t>Textiles &amp; apparel</t>
        </is>
      </c>
      <c r="B3626" t="inlineStr">
        <is>
          <t>62</t>
        </is>
      </c>
      <c r="C3626" t="inlineStr">
        <is>
          <t>62104080</t>
        </is>
      </c>
      <c r="D3626" t="inlineStr">
        <is>
          <t>CLOTHING FOR SPECIAL USE SUCH AS FR, CHEMICAL, ELECTRICAL AND INDUSTRIAL PROTECTION</t>
        </is>
      </c>
      <c r="E3626" s="3" t="n">
        <v>0.05</v>
      </c>
      <c r="F3626" s="3" t="n">
        <v>0.13</v>
      </c>
      <c r="G3626" s="3">
        <f>F3626-E3626</f>
        <v/>
      </c>
      <c r="H3626" s="4">
        <f>IF(E3626=0,"",F3626/E3626-1)</f>
        <v/>
      </c>
      <c r="I3626" t="inlineStr"/>
    </row>
    <row r="3627">
      <c r="A3627" t="inlineStr">
        <is>
          <t>Textiles &amp; apparel</t>
        </is>
      </c>
      <c r="B3627" t="inlineStr">
        <is>
          <t>52</t>
        </is>
      </c>
      <c r="C3627" t="inlineStr">
        <is>
          <t>52082910</t>
        </is>
      </c>
      <c r="D3627" t="inlineStr">
        <is>
          <t>DHOTI AND SAREE ZARI BORDERED</t>
        </is>
      </c>
      <c r="E3627" s="3" t="n">
        <v>0.19</v>
      </c>
      <c r="F3627" s="3" t="n">
        <v>0.12</v>
      </c>
      <c r="G3627" s="3">
        <f>F3627-E3627</f>
        <v/>
      </c>
      <c r="H3627" s="4">
        <f>IF(E3627=0,"",F3627/E3627-1)</f>
        <v/>
      </c>
      <c r="I3627" t="inlineStr"/>
    </row>
    <row r="3628">
      <c r="A3628" t="inlineStr">
        <is>
          <t>Textiles &amp; apparel</t>
        </is>
      </c>
      <c r="B3628" t="inlineStr">
        <is>
          <t>54</t>
        </is>
      </c>
      <c r="C3628" t="inlineStr">
        <is>
          <t>54077400</t>
        </is>
      </c>
      <c r="D3628" t="inlineStr">
        <is>
          <t>WOVEN FABRICS CNTNG 85% OR MORE BY WT OF OTHR SYNTHETIC FILAMENTS, PRINTED</t>
        </is>
      </c>
      <c r="E3628" s="3" t="n">
        <v>0.87</v>
      </c>
      <c r="F3628" s="3" t="n">
        <v>0.12</v>
      </c>
      <c r="G3628" s="3">
        <f>F3628-E3628</f>
        <v/>
      </c>
      <c r="H3628" s="4">
        <f>IF(E3628=0,"",F3628/E3628-1)</f>
        <v/>
      </c>
      <c r="I3628" t="inlineStr"/>
    </row>
    <row r="3629">
      <c r="A3629" t="inlineStr">
        <is>
          <t>Textiles &amp; apparel</t>
        </is>
      </c>
      <c r="B3629" t="inlineStr">
        <is>
          <t>57</t>
        </is>
      </c>
      <c r="C3629" t="inlineStr">
        <is>
          <t>57033920</t>
        </is>
      </c>
      <c r="D3629" t="inlineStr">
        <is>
          <t>100% POLYPROPYLENE CARPET MATS WITH JUTE, RUBBER,LATEX OR PU FOAM BACKING</t>
        </is>
      </c>
      <c r="E3629" s="3" t="n">
        <v>0.2</v>
      </c>
      <c r="F3629" s="3" t="n">
        <v>0.12</v>
      </c>
      <c r="G3629" s="3">
        <f>F3629-E3629</f>
        <v/>
      </c>
      <c r="H3629" s="4">
        <f>IF(E3629=0,"",F3629/E3629-1)</f>
        <v/>
      </c>
      <c r="I3629" t="inlineStr"/>
    </row>
    <row r="3630">
      <c r="A3630" t="inlineStr">
        <is>
          <t>Textiles &amp; apparel</t>
        </is>
      </c>
      <c r="B3630" t="inlineStr">
        <is>
          <t>60</t>
        </is>
      </c>
      <c r="C3630" t="inlineStr">
        <is>
          <t>60053790</t>
        </is>
      </c>
      <c r="D3630" t="inlineStr">
        <is>
          <t>OTHER, DYED - Others</t>
        </is>
      </c>
      <c r="E3630" s="3" t="n">
        <v>0.05</v>
      </c>
      <c r="F3630" s="3" t="n">
        <v>0.12</v>
      </c>
      <c r="G3630" s="3">
        <f>F3630-E3630</f>
        <v/>
      </c>
      <c r="H3630" s="4">
        <f>IF(E3630=0,"",F3630/E3630-1)</f>
        <v/>
      </c>
      <c r="I3630" t="inlineStr"/>
    </row>
    <row r="3631">
      <c r="A3631" t="inlineStr">
        <is>
          <t>Textiles &amp; apparel</t>
        </is>
      </c>
      <c r="B3631" t="inlineStr">
        <is>
          <t>61</t>
        </is>
      </c>
      <c r="C3631" t="inlineStr">
        <is>
          <t>61081110</t>
        </is>
      </c>
      <c r="D3631" t="inlineStr">
        <is>
          <t>SLIPS AND PETTICOATS OF SYN FIBRES</t>
        </is>
      </c>
      <c r="E3631" s="3" t="n">
        <v>0.03</v>
      </c>
      <c r="F3631" s="3" t="n">
        <v>0.12</v>
      </c>
      <c r="G3631" s="3">
        <f>F3631-E3631</f>
        <v/>
      </c>
      <c r="H3631" s="4">
        <f>IF(E3631=0,"",F3631/E3631-1)</f>
        <v/>
      </c>
      <c r="I3631" t="inlineStr"/>
    </row>
    <row r="3632">
      <c r="A3632" t="inlineStr">
        <is>
          <t>Textiles &amp; apparel</t>
        </is>
      </c>
      <c r="B3632" t="inlineStr">
        <is>
          <t>61</t>
        </is>
      </c>
      <c r="C3632" t="inlineStr">
        <is>
          <t>61159500</t>
        </is>
      </c>
      <c r="D3632" t="inlineStr">
        <is>
          <t>OTHER HOSIERY GOODS OF COTTON</t>
        </is>
      </c>
      <c r="E3632" s="3" t="n">
        <v>0.77</v>
      </c>
      <c r="F3632" s="3" t="n">
        <v>0.12</v>
      </c>
      <c r="G3632" s="3">
        <f>F3632-E3632</f>
        <v/>
      </c>
      <c r="H3632" s="4">
        <f>IF(E3632=0,"",F3632/E3632-1)</f>
        <v/>
      </c>
      <c r="I3632" t="inlineStr"/>
    </row>
    <row r="3633">
      <c r="A3633" t="inlineStr">
        <is>
          <t>Textiles &amp; apparel</t>
        </is>
      </c>
      <c r="B3633" t="inlineStr">
        <is>
          <t>62</t>
        </is>
      </c>
      <c r="C3633" t="inlineStr">
        <is>
          <t>62043290</t>
        </is>
      </c>
      <c r="D3633" t="inlineStr">
        <is>
          <t>JACKETS OF COTTON-OTHER</t>
        </is>
      </c>
      <c r="E3633" s="3" t="n">
        <v>0.25</v>
      </c>
      <c r="F3633" s="3" t="n">
        <v>0.12</v>
      </c>
      <c r="G3633" s="3">
        <f>F3633-E3633</f>
        <v/>
      </c>
      <c r="H3633" s="4">
        <f>IF(E3633=0,"",F3633/E3633-1)</f>
        <v/>
      </c>
      <c r="I3633" t="inlineStr"/>
    </row>
    <row r="3634">
      <c r="A3634" t="inlineStr">
        <is>
          <t>Textiles &amp; apparel</t>
        </is>
      </c>
      <c r="B3634" t="inlineStr">
        <is>
          <t>62</t>
        </is>
      </c>
      <c r="C3634" t="inlineStr">
        <is>
          <t>62071910</t>
        </is>
      </c>
      <c r="D3634" t="inlineStr">
        <is>
          <t>UNDRPMT AND BRIEFS OF SYNTH FIBRES</t>
        </is>
      </c>
      <c r="E3634" s="3" t="n">
        <v>0.43</v>
      </c>
      <c r="F3634" s="3" t="n">
        <v>0.12</v>
      </c>
      <c r="G3634" s="3">
        <f>F3634-E3634</f>
        <v/>
      </c>
      <c r="H3634" s="4">
        <f>IF(E3634=0,"",F3634/E3634-1)</f>
        <v/>
      </c>
      <c r="I3634" t="inlineStr"/>
    </row>
    <row r="3635">
      <c r="A3635" t="inlineStr">
        <is>
          <t>Textiles &amp; apparel</t>
        </is>
      </c>
      <c r="B3635" t="inlineStr">
        <is>
          <t>51</t>
        </is>
      </c>
      <c r="C3635" t="inlineStr">
        <is>
          <t>51121130</t>
        </is>
      </c>
      <c r="D3635" t="inlineStr">
        <is>
          <t>DYED WOVN FBRCS CONTNG&gt;85% BY WT OF WOOL/FINE ANML HAIR OF A WT NT EXCDNG 200 G/M2</t>
        </is>
      </c>
      <c r="E3635" s="3" t="n">
        <v>0.05</v>
      </c>
      <c r="F3635" s="3" t="n">
        <v>0.11</v>
      </c>
      <c r="G3635" s="3">
        <f>F3635-E3635</f>
        <v/>
      </c>
      <c r="H3635" s="4">
        <f>IF(E3635=0,"",F3635/E3635-1)</f>
        <v/>
      </c>
      <c r="I3635" t="inlineStr"/>
    </row>
    <row r="3636">
      <c r="A3636" t="inlineStr">
        <is>
          <t>Textiles &amp; apparel</t>
        </is>
      </c>
      <c r="B3636" t="inlineStr">
        <is>
          <t>52</t>
        </is>
      </c>
      <c r="C3636" t="inlineStr">
        <is>
          <t>52081120</t>
        </is>
      </c>
      <c r="D3636" t="inlineStr">
        <is>
          <t>SAREE</t>
        </is>
      </c>
      <c r="E3636" s="3" t="n">
        <v>0.13</v>
      </c>
      <c r="F3636" s="3" t="n">
        <v>0.11</v>
      </c>
      <c r="G3636" s="3">
        <f>F3636-E3636</f>
        <v/>
      </c>
      <c r="H3636" s="4">
        <f>IF(E3636=0,"",F3636/E3636-1)</f>
        <v/>
      </c>
      <c r="I3636" t="inlineStr"/>
    </row>
    <row r="3637">
      <c r="A3637" t="inlineStr">
        <is>
          <t>Textiles &amp; apparel</t>
        </is>
      </c>
      <c r="B3637" t="inlineStr">
        <is>
          <t>52</t>
        </is>
      </c>
      <c r="C3637" t="inlineStr">
        <is>
          <t>52082180</t>
        </is>
      </c>
      <c r="D3637" t="inlineStr">
        <is>
          <t>VOILS ( EXCLD LENO FABRICS )</t>
        </is>
      </c>
      <c r="E3637" s="3" t="n">
        <v>0</v>
      </c>
      <c r="F3637" s="3" t="n">
        <v>0.11</v>
      </c>
      <c r="G3637" s="3">
        <f>F3637-E3637</f>
        <v/>
      </c>
      <c r="H3637" s="4">
        <f>IF(E3637=0,"",F3637/E3637-1)</f>
        <v/>
      </c>
      <c r="I3637" t="inlineStr"/>
    </row>
    <row r="3638">
      <c r="A3638" t="inlineStr">
        <is>
          <t>Textiles &amp; apparel</t>
        </is>
      </c>
      <c r="B3638" t="inlineStr">
        <is>
          <t>54</t>
        </is>
      </c>
      <c r="C3638" t="inlineStr">
        <is>
          <t>54071039</t>
        </is>
      </c>
      <c r="D3638" t="inlineStr">
        <is>
          <t>OTHR DYED POLYESTER FABRCS</t>
        </is>
      </c>
      <c r="E3638" s="3" t="n">
        <v>0.26</v>
      </c>
      <c r="F3638" s="3" t="n">
        <v>0.11</v>
      </c>
      <c r="G3638" s="3">
        <f>F3638-E3638</f>
        <v/>
      </c>
      <c r="H3638" s="4">
        <f>IF(E3638=0,"",F3638/E3638-1)</f>
        <v/>
      </c>
      <c r="I3638" t="inlineStr"/>
    </row>
    <row r="3639">
      <c r="A3639" t="inlineStr">
        <is>
          <t>Textiles &amp; apparel</t>
        </is>
      </c>
      <c r="B3639" t="inlineStr">
        <is>
          <t>54</t>
        </is>
      </c>
      <c r="C3639" t="inlineStr">
        <is>
          <t>54076190</t>
        </is>
      </c>
      <c r="D3639" t="inlineStr">
        <is>
          <t>OTHERS-OF-WOVEN FABRICS,CONTAINING 85% OR MORE BY WT OF NON-TEXTURED POLYESTER FILAMENTS</t>
        </is>
      </c>
      <c r="E3639" s="3" t="n">
        <v>5.24</v>
      </c>
      <c r="F3639" s="3" t="n">
        <v>0.11</v>
      </c>
      <c r="G3639" s="3">
        <f>F3639-E3639</f>
        <v/>
      </c>
      <c r="H3639" s="4">
        <f>IF(E3639=0,"",F3639/E3639-1)</f>
        <v/>
      </c>
      <c r="I3639" t="inlineStr"/>
    </row>
    <row r="3640">
      <c r="A3640" t="inlineStr">
        <is>
          <t>Textiles &amp; apparel</t>
        </is>
      </c>
      <c r="B3640" t="inlineStr">
        <is>
          <t>54</t>
        </is>
      </c>
      <c r="C3640" t="inlineStr">
        <is>
          <t>54077200</t>
        </is>
      </c>
      <c r="D3640" t="inlineStr">
        <is>
          <t>WOVEN FABRICS,CNTNG 85% OR MORE BY WT OF OTHR SYNTHETIC FILAMENTS, DYED</t>
        </is>
      </c>
      <c r="E3640" s="3" t="n">
        <v>0.44</v>
      </c>
      <c r="F3640" s="3" t="n">
        <v>0.11</v>
      </c>
      <c r="G3640" s="3">
        <f>F3640-E3640</f>
        <v/>
      </c>
      <c r="H3640" s="4">
        <f>IF(E3640=0,"",F3640/E3640-1)</f>
        <v/>
      </c>
      <c r="I3640" t="inlineStr"/>
    </row>
    <row r="3641">
      <c r="A3641" t="inlineStr">
        <is>
          <t>Textiles &amp; apparel</t>
        </is>
      </c>
      <c r="B3641" t="inlineStr">
        <is>
          <t>59</t>
        </is>
      </c>
      <c r="C3641" t="inlineStr">
        <is>
          <t>59090010</t>
        </is>
      </c>
      <c r="D3641" t="inlineStr">
        <is>
          <t>HOSE PIPING AND SMLR TUBING OF COTTON</t>
        </is>
      </c>
      <c r="E3641" s="3" t="n">
        <v>0.01</v>
      </c>
      <c r="F3641" s="3" t="n">
        <v>0.11</v>
      </c>
      <c r="G3641" s="3">
        <f>F3641-E3641</f>
        <v/>
      </c>
      <c r="H3641" s="4">
        <f>IF(E3641=0,"",F3641/E3641-1)</f>
        <v/>
      </c>
      <c r="I3641" t="inlineStr"/>
    </row>
    <row r="3642">
      <c r="A3642" t="inlineStr">
        <is>
          <t>Textiles &amp; apparel</t>
        </is>
      </c>
      <c r="B3642" t="inlineStr">
        <is>
          <t>60</t>
        </is>
      </c>
      <c r="C3642" t="inlineStr">
        <is>
          <t>60032000</t>
        </is>
      </c>
      <c r="D3642" t="inlineStr">
        <is>
          <t>FBRCS OF COTTON</t>
        </is>
      </c>
      <c r="E3642" s="3" t="n">
        <v>0.03</v>
      </c>
      <c r="F3642" s="3" t="n">
        <v>0.11</v>
      </c>
      <c r="G3642" s="3">
        <f>F3642-E3642</f>
        <v/>
      </c>
      <c r="H3642" s="4">
        <f>IF(E3642=0,"",F3642/E3642-1)</f>
        <v/>
      </c>
      <c r="I3642" t="inlineStr"/>
    </row>
    <row r="3643">
      <c r="A3643" t="inlineStr">
        <is>
          <t>Textiles &amp; apparel</t>
        </is>
      </c>
      <c r="B3643" t="inlineStr">
        <is>
          <t>61</t>
        </is>
      </c>
      <c r="C3643" t="inlineStr">
        <is>
          <t>61123100</t>
        </is>
      </c>
      <c r="D3643" t="inlineStr">
        <is>
          <t>MENS/BOYS SWIMWEAR OF SYNTHTC FBRS</t>
        </is>
      </c>
      <c r="E3643" s="3" t="n">
        <v>0.15</v>
      </c>
      <c r="F3643" s="3" t="n">
        <v>0.11</v>
      </c>
      <c r="G3643" s="3">
        <f>F3643-E3643</f>
        <v/>
      </c>
      <c r="H3643" s="4">
        <f>IF(E3643=0,"",F3643/E3643-1)</f>
        <v/>
      </c>
      <c r="I3643" t="inlineStr"/>
    </row>
    <row r="3644">
      <c r="A3644" t="inlineStr">
        <is>
          <t>Textiles &amp; apparel</t>
        </is>
      </c>
      <c r="B3644" t="inlineStr">
        <is>
          <t>62</t>
        </is>
      </c>
      <c r="C3644" t="inlineStr">
        <is>
          <t>62102020</t>
        </is>
      </c>
      <c r="D3644" t="inlineStr">
        <is>
          <t>OUTR GRMNTS,MENS AND BOYS OF THE FBRCS IMPRGNTD,COATD,COVRD/LAMNTD WTH PRPRTN OF CELULOS DERVTVS AND OTHR ARTFCL PL</t>
        </is>
      </c>
      <c r="E3644" s="3" t="n">
        <v>0.09</v>
      </c>
      <c r="F3644" s="3" t="n">
        <v>0.11</v>
      </c>
      <c r="G3644" s="3">
        <f>F3644-E3644</f>
        <v/>
      </c>
      <c r="H3644" s="4">
        <f>IF(E3644=0,"",F3644/E3644-1)</f>
        <v/>
      </c>
      <c r="I3644" t="inlineStr"/>
    </row>
    <row r="3645">
      <c r="A3645" t="inlineStr">
        <is>
          <t>Textiles &amp; apparel</t>
        </is>
      </c>
      <c r="B3645" t="inlineStr">
        <is>
          <t>63</t>
        </is>
      </c>
      <c r="C3645" t="inlineStr">
        <is>
          <t>63079013</t>
        </is>
      </c>
      <c r="D3645" t="inlineStr">
        <is>
          <t>DRSS MATERIALS OF MAN-MADE FIBRS,HND PRNTD</t>
        </is>
      </c>
      <c r="E3645" s="3" t="n">
        <v>0.4</v>
      </c>
      <c r="F3645" s="3" t="n">
        <v>0.11</v>
      </c>
      <c r="G3645" s="3">
        <f>F3645-E3645</f>
        <v/>
      </c>
      <c r="H3645" s="4">
        <f>IF(E3645=0,"",F3645/E3645-1)</f>
        <v/>
      </c>
      <c r="I3645" t="inlineStr"/>
    </row>
    <row r="3646">
      <c r="A3646" t="inlineStr">
        <is>
          <t>Textiles &amp; apparel</t>
        </is>
      </c>
      <c r="B3646" t="inlineStr">
        <is>
          <t>51</t>
        </is>
      </c>
      <c r="C3646" t="inlineStr">
        <is>
          <t>51121930</t>
        </is>
      </c>
      <c r="D3646" t="inlineStr">
        <is>
          <t>DYED WOVN FBRCS CONTNG&gt;=85% BY WT OF COMB WOOL/FINE ANML OF WT EXCDNG 200 G/M2</t>
        </is>
      </c>
      <c r="E3646" s="3" t="n">
        <v>0</v>
      </c>
      <c r="F3646" s="3" t="n">
        <v>0.1</v>
      </c>
      <c r="G3646" s="3">
        <f>F3646-E3646</f>
        <v/>
      </c>
      <c r="H3646" s="4">
        <f>IF(E3646=0,"",F3646/E3646-1)</f>
        <v/>
      </c>
      <c r="I3646" t="inlineStr"/>
    </row>
    <row r="3647">
      <c r="A3647" t="inlineStr">
        <is>
          <t>Textiles &amp; apparel</t>
        </is>
      </c>
      <c r="B3647" t="inlineStr">
        <is>
          <t>52</t>
        </is>
      </c>
      <c r="C3647" t="inlineStr">
        <is>
          <t>52091290</t>
        </is>
      </c>
      <c r="D3647" t="inlineStr">
        <is>
          <t>OTHERS-OF-UNBLCHD 3/4 THRED TWILL INCL CROSS TWILLCOTTON FABRICS WEIGING MORE THAN200 GM PER SQM</t>
        </is>
      </c>
      <c r="E3647" s="3" t="n">
        <v>0.04</v>
      </c>
      <c r="F3647" s="3" t="n">
        <v>0.1</v>
      </c>
      <c r="G3647" s="3">
        <f>F3647-E3647</f>
        <v/>
      </c>
      <c r="H3647" s="4">
        <f>IF(E3647=0,"",F3647/E3647-1)</f>
        <v/>
      </c>
      <c r="I3647" t="inlineStr"/>
    </row>
    <row r="3648">
      <c r="A3648" t="inlineStr">
        <is>
          <t>Textiles &amp; apparel</t>
        </is>
      </c>
      <c r="B3648" t="inlineStr">
        <is>
          <t>54</t>
        </is>
      </c>
      <c r="C3648" t="inlineStr">
        <is>
          <t>54023910</t>
        </is>
      </c>
      <c r="D3648" t="inlineStr">
        <is>
          <t>POLY PROPYLENE FILAMENT YARN</t>
        </is>
      </c>
      <c r="E3648" s="3" t="n">
        <v>0</v>
      </c>
      <c r="F3648" s="3" t="n">
        <v>0.1</v>
      </c>
      <c r="G3648" s="3">
        <f>F3648-E3648</f>
        <v/>
      </c>
      <c r="H3648" s="4">
        <f>IF(E3648=0,"",F3648/E3648-1)</f>
        <v/>
      </c>
      <c r="I3648" t="inlineStr"/>
    </row>
    <row r="3649">
      <c r="A3649" t="inlineStr">
        <is>
          <t>Textiles &amp; apparel</t>
        </is>
      </c>
      <c r="B3649" t="inlineStr">
        <is>
          <t>55</t>
        </is>
      </c>
      <c r="C3649" t="inlineStr">
        <is>
          <t>55131910</t>
        </is>
      </c>
      <c r="D3649" t="inlineStr">
        <is>
          <t>UNBLEACHED</t>
        </is>
      </c>
      <c r="E3649" s="3" t="n">
        <v>0</v>
      </c>
      <c r="F3649" s="3" t="n">
        <v>0.1</v>
      </c>
      <c r="G3649" s="3">
        <f>F3649-E3649</f>
        <v/>
      </c>
      <c r="H3649" s="4">
        <f>IF(E3649=0,"",F3649/E3649-1)</f>
        <v/>
      </c>
      <c r="I3649" t="inlineStr"/>
    </row>
    <row r="3650">
      <c r="A3650" t="inlineStr">
        <is>
          <t>Textiles &amp; apparel</t>
        </is>
      </c>
      <c r="B3650" t="inlineStr">
        <is>
          <t>57</t>
        </is>
      </c>
      <c r="C3650" t="inlineStr">
        <is>
          <t>57050090</t>
        </is>
      </c>
      <c r="D3650" t="inlineStr">
        <is>
          <t>OTHR TXTL FLR CVRNGS, W/N MADE UP</t>
        </is>
      </c>
      <c r="E3650" s="3" t="n">
        <v>0.06</v>
      </c>
      <c r="F3650" s="3" t="n">
        <v>0.1</v>
      </c>
      <c r="G3650" s="3">
        <f>F3650-E3650</f>
        <v/>
      </c>
      <c r="H3650" s="4">
        <f>IF(E3650=0,"",F3650/E3650-1)</f>
        <v/>
      </c>
      <c r="I3650" t="inlineStr"/>
    </row>
    <row r="3651">
      <c r="A3651" t="inlineStr">
        <is>
          <t>Textiles &amp; apparel</t>
        </is>
      </c>
      <c r="B3651" t="inlineStr">
        <is>
          <t>58</t>
        </is>
      </c>
      <c r="C3651" t="inlineStr">
        <is>
          <t>58063190</t>
        </is>
      </c>
      <c r="D3651" t="inlineStr">
        <is>
          <t>NARROW FABRICS ETC,OTHER</t>
        </is>
      </c>
      <c r="E3651" s="3" t="n">
        <v>0.09</v>
      </c>
      <c r="F3651" s="3" t="n">
        <v>0.1</v>
      </c>
      <c r="G3651" s="3">
        <f>F3651-E3651</f>
        <v/>
      </c>
      <c r="H3651" s="4">
        <f>IF(E3651=0,"",F3651/E3651-1)</f>
        <v/>
      </c>
      <c r="I3651" t="inlineStr"/>
    </row>
    <row r="3652">
      <c r="A3652" t="inlineStr">
        <is>
          <t>Textiles &amp; apparel</t>
        </is>
      </c>
      <c r="B3652" t="inlineStr">
        <is>
          <t>60</t>
        </is>
      </c>
      <c r="C3652" t="inlineStr">
        <is>
          <t>60069000</t>
        </is>
      </c>
      <c r="D3652" t="inlineStr">
        <is>
          <t>OTHR KNITD OR CROCHETD FBRCS OF OTHER FIBRES</t>
        </is>
      </c>
      <c r="E3652" s="3" t="n">
        <v>0.44</v>
      </c>
      <c r="F3652" s="3" t="n">
        <v>0.1</v>
      </c>
      <c r="G3652" s="3">
        <f>F3652-E3652</f>
        <v/>
      </c>
      <c r="H3652" s="4">
        <f>IF(E3652=0,"",F3652/E3652-1)</f>
        <v/>
      </c>
      <c r="I3652" t="inlineStr"/>
    </row>
    <row r="3653">
      <c r="A3653" t="inlineStr">
        <is>
          <t>Textiles &amp; apparel</t>
        </is>
      </c>
      <c r="B3653" t="inlineStr">
        <is>
          <t>61</t>
        </is>
      </c>
      <c r="C3653" t="inlineStr">
        <is>
          <t>61046300</t>
        </is>
      </c>
      <c r="D3653" t="inlineStr">
        <is>
          <t>TROUSERS,BIB AND BRACE OVERALLS,BREECHES AND SHORTS OF SYNTHETIC FIBRES</t>
        </is>
      </c>
      <c r="E3653" s="3" t="n">
        <v>0.14</v>
      </c>
      <c r="F3653" s="3" t="n">
        <v>0.1</v>
      </c>
      <c r="G3653" s="3">
        <f>F3653-E3653</f>
        <v/>
      </c>
      <c r="H3653" s="4">
        <f>IF(E3653=0,"",F3653/E3653-1)</f>
        <v/>
      </c>
      <c r="I3653" t="inlineStr"/>
    </row>
    <row r="3654">
      <c r="A3654" t="inlineStr">
        <is>
          <t>Textiles &amp; apparel</t>
        </is>
      </c>
      <c r="B3654" t="inlineStr">
        <is>
          <t>61</t>
        </is>
      </c>
      <c r="C3654" t="inlineStr">
        <is>
          <t>61101190</t>
        </is>
      </c>
      <c r="D3654" t="inlineStr">
        <is>
          <t>OTHR KNTTD/CRCHTD ARTICLS OF WOOL</t>
        </is>
      </c>
      <c r="E3654" s="3" t="n">
        <v>0.12</v>
      </c>
      <c r="F3654" s="3" t="n">
        <v>0.1</v>
      </c>
      <c r="G3654" s="3">
        <f>F3654-E3654</f>
        <v/>
      </c>
      <c r="H3654" s="4">
        <f>IF(E3654=0,"",F3654/E3654-1)</f>
        <v/>
      </c>
      <c r="I3654" t="inlineStr"/>
    </row>
    <row r="3655">
      <c r="A3655" t="inlineStr">
        <is>
          <t>Textiles &amp; apparel</t>
        </is>
      </c>
      <c r="B3655" t="inlineStr">
        <is>
          <t>61</t>
        </is>
      </c>
      <c r="C3655" t="inlineStr">
        <is>
          <t>61153000</t>
        </is>
      </c>
      <c r="D3655" t="inlineStr">
        <is>
          <t>HOSIERY OF COTTON MESRNG&lt;67 DECTIX</t>
        </is>
      </c>
      <c r="E3655" s="3" t="n">
        <v>0.19</v>
      </c>
      <c r="F3655" s="3" t="n">
        <v>0.1</v>
      </c>
      <c r="G3655" s="3">
        <f>F3655-E3655</f>
        <v/>
      </c>
      <c r="H3655" s="4">
        <f>IF(E3655=0,"",F3655/E3655-1)</f>
        <v/>
      </c>
      <c r="I3655" t="inlineStr"/>
    </row>
    <row r="3656">
      <c r="A3656" t="inlineStr">
        <is>
          <t>Textiles &amp; apparel</t>
        </is>
      </c>
      <c r="B3656" t="inlineStr">
        <is>
          <t>62</t>
        </is>
      </c>
      <c r="C3656" t="inlineStr">
        <is>
          <t>62043190</t>
        </is>
      </c>
      <c r="D3656" t="inlineStr">
        <is>
          <t>OTHERS-OF-JACKETS OF WOOL OR FINE ANIMAL HAIR</t>
        </is>
      </c>
      <c r="E3656" s="3" t="n">
        <v>0.02</v>
      </c>
      <c r="F3656" s="3" t="n">
        <v>0.1</v>
      </c>
      <c r="G3656" s="3">
        <f>F3656-E3656</f>
        <v/>
      </c>
      <c r="H3656" s="4">
        <f>IF(E3656=0,"",F3656/E3656-1)</f>
        <v/>
      </c>
      <c r="I3656" t="inlineStr"/>
    </row>
    <row r="3657">
      <c r="A3657" t="inlineStr">
        <is>
          <t>Textiles &amp; apparel</t>
        </is>
      </c>
      <c r="B3657" t="inlineStr">
        <is>
          <t>63</t>
        </is>
      </c>
      <c r="C3657" t="inlineStr">
        <is>
          <t>63012000</t>
        </is>
      </c>
      <c r="D3657" t="inlineStr">
        <is>
          <t>BLANKETS(OTHER THAN ELECTRIC BLANKETS)AND TRVLNG RUGS,OF WOOL OR OF FINE ANIMAL HAIR</t>
        </is>
      </c>
      <c r="E3657" s="3" t="n">
        <v>0</v>
      </c>
      <c r="F3657" s="3" t="n">
        <v>0.1</v>
      </c>
      <c r="G3657" s="3">
        <f>F3657-E3657</f>
        <v/>
      </c>
      <c r="H3657" s="4">
        <f>IF(E3657=0,"",F3657/E3657-1)</f>
        <v/>
      </c>
      <c r="I3657" t="inlineStr"/>
    </row>
    <row r="3658">
      <c r="A3658" t="inlineStr">
        <is>
          <t>Textiles &amp; apparel</t>
        </is>
      </c>
      <c r="B3658" t="inlineStr">
        <is>
          <t>63</t>
        </is>
      </c>
      <c r="C3658" t="inlineStr">
        <is>
          <t>63049229</t>
        </is>
      </c>
      <c r="D3658" t="inlineStr">
        <is>
          <t>OTHER NAPKINS</t>
        </is>
      </c>
      <c r="E3658" s="3" t="n">
        <v>0.04</v>
      </c>
      <c r="F3658" s="3" t="n">
        <v>0.1</v>
      </c>
      <c r="G3658" s="3">
        <f>F3658-E3658</f>
        <v/>
      </c>
      <c r="H3658" s="4">
        <f>IF(E3658=0,"",F3658/E3658-1)</f>
        <v/>
      </c>
      <c r="I3658" t="inlineStr"/>
    </row>
    <row r="3659">
      <c r="A3659" t="inlineStr">
        <is>
          <t>Textiles &amp; apparel</t>
        </is>
      </c>
      <c r="B3659" t="inlineStr">
        <is>
          <t>63</t>
        </is>
      </c>
      <c r="C3659" t="inlineStr">
        <is>
          <t>63049289</t>
        </is>
      </c>
      <c r="D3659" t="inlineStr">
        <is>
          <t>OTHER CUSHION COVERS</t>
        </is>
      </c>
      <c r="E3659" s="3" t="n">
        <v>0.08</v>
      </c>
      <c r="F3659" s="3" t="n">
        <v>0.1</v>
      </c>
      <c r="G3659" s="3">
        <f>F3659-E3659</f>
        <v/>
      </c>
      <c r="H3659" s="4">
        <f>IF(E3659=0,"",F3659/E3659-1)</f>
        <v/>
      </c>
      <c r="I3659" t="inlineStr"/>
    </row>
    <row r="3660">
      <c r="A3660" t="inlineStr">
        <is>
          <t>Textiles &amp; apparel</t>
        </is>
      </c>
      <c r="B3660" t="inlineStr">
        <is>
          <t>52</t>
        </is>
      </c>
      <c r="C3660" t="inlineStr">
        <is>
          <t>52084230</t>
        </is>
      </c>
      <c r="D3660" t="inlineStr">
        <is>
          <t>SHIRTING FABRICS</t>
        </is>
      </c>
      <c r="E3660" s="3" t="n">
        <v>0.05</v>
      </c>
      <c r="F3660" s="3" t="n">
        <v>0.09</v>
      </c>
      <c r="G3660" s="3">
        <f>F3660-E3660</f>
        <v/>
      </c>
      <c r="H3660" s="4">
        <f>IF(E3660=0,"",F3660/E3660-1)</f>
        <v/>
      </c>
      <c r="I3660" t="inlineStr"/>
    </row>
    <row r="3661">
      <c r="A3661" t="inlineStr">
        <is>
          <t>Textiles &amp; apparel</t>
        </is>
      </c>
      <c r="B3661" t="inlineStr">
        <is>
          <t>54</t>
        </is>
      </c>
      <c r="C3661" t="inlineStr">
        <is>
          <t>54075300</t>
        </is>
      </c>
      <c r="D3661" t="inlineStr">
        <is>
          <t>WOVN FABRICS OF YARNS OF DIFFERENT COLOURSCNTNG BY WT&gt;=85% TEXTURED POLESTR FLMNTS</t>
        </is>
      </c>
      <c r="E3661" s="3" t="n">
        <v>0.08</v>
      </c>
      <c r="F3661" s="3" t="n">
        <v>0.09</v>
      </c>
      <c r="G3661" s="3">
        <f>F3661-E3661</f>
        <v/>
      </c>
      <c r="H3661" s="4">
        <f>IF(E3661=0,"",F3661/E3661-1)</f>
        <v/>
      </c>
      <c r="I3661" t="inlineStr"/>
    </row>
    <row r="3662">
      <c r="A3662" t="inlineStr">
        <is>
          <t>Textiles &amp; apparel</t>
        </is>
      </c>
      <c r="B3662" t="inlineStr">
        <is>
          <t>55</t>
        </is>
      </c>
      <c r="C3662" t="inlineStr">
        <is>
          <t>55152930</t>
        </is>
      </c>
      <c r="D3662" t="inlineStr">
        <is>
          <t>FBRC OF ACRYLC/MODACRYLCMXD WTH OTHR FIBRES, DYED</t>
        </is>
      </c>
      <c r="E3662" s="3" t="n">
        <v>0.16</v>
      </c>
      <c r="F3662" s="3" t="n">
        <v>0.09</v>
      </c>
      <c r="G3662" s="3">
        <f>F3662-E3662</f>
        <v/>
      </c>
      <c r="H3662" s="4">
        <f>IF(E3662=0,"",F3662/E3662-1)</f>
        <v/>
      </c>
      <c r="I3662" t="inlineStr"/>
    </row>
    <row r="3663">
      <c r="A3663" t="inlineStr">
        <is>
          <t>Textiles &amp; apparel</t>
        </is>
      </c>
      <c r="B3663" t="inlineStr">
        <is>
          <t>56</t>
        </is>
      </c>
      <c r="C3663" t="inlineStr">
        <is>
          <t>56075040</t>
        </is>
      </c>
      <c r="D3663" t="inlineStr">
        <is>
          <t>NYLON ROPE</t>
        </is>
      </c>
      <c r="E3663" s="3" t="n">
        <v>0.02</v>
      </c>
      <c r="F3663" s="3" t="n">
        <v>0.09</v>
      </c>
      <c r="G3663" s="3">
        <f>F3663-E3663</f>
        <v/>
      </c>
      <c r="H3663" s="4">
        <f>IF(E3663=0,"",F3663/E3663-1)</f>
        <v/>
      </c>
      <c r="I3663" t="inlineStr"/>
    </row>
    <row r="3664">
      <c r="A3664" t="inlineStr">
        <is>
          <t>Textiles &amp; apparel</t>
        </is>
      </c>
      <c r="B3664" t="inlineStr">
        <is>
          <t>57</t>
        </is>
      </c>
      <c r="C3664" t="inlineStr">
        <is>
          <t>57022090</t>
        </is>
      </c>
      <c r="D3664" t="inlineStr">
        <is>
          <t>OTHR FLR CVRNGS OF COIR</t>
        </is>
      </c>
      <c r="E3664" s="3" t="n">
        <v>0.01</v>
      </c>
      <c r="F3664" s="3" t="n">
        <v>0.09</v>
      </c>
      <c r="G3664" s="3">
        <f>F3664-E3664</f>
        <v/>
      </c>
      <c r="H3664" s="4">
        <f>IF(E3664=0,"",F3664/E3664-1)</f>
        <v/>
      </c>
      <c r="I3664" t="inlineStr"/>
    </row>
    <row r="3665">
      <c r="A3665" t="inlineStr">
        <is>
          <t>Textiles &amp; apparel</t>
        </is>
      </c>
      <c r="B3665" t="inlineStr">
        <is>
          <t>57</t>
        </is>
      </c>
      <c r="C3665" t="inlineStr">
        <is>
          <t>57033910</t>
        </is>
      </c>
      <c r="D3665" t="inlineStr">
        <is>
          <t>CARPETS, CARPETING AND RUGS</t>
        </is>
      </c>
      <c r="E3665" s="3" t="n">
        <v>0.15</v>
      </c>
      <c r="F3665" s="3" t="n">
        <v>0.09</v>
      </c>
      <c r="G3665" s="3">
        <f>F3665-E3665</f>
        <v/>
      </c>
      <c r="H3665" s="4">
        <f>IF(E3665=0,"",F3665/E3665-1)</f>
        <v/>
      </c>
      <c r="I3665" t="inlineStr"/>
    </row>
    <row r="3666">
      <c r="A3666" t="inlineStr">
        <is>
          <t>Textiles &amp; apparel</t>
        </is>
      </c>
      <c r="B3666" t="inlineStr">
        <is>
          <t>57</t>
        </is>
      </c>
      <c r="C3666" t="inlineStr">
        <is>
          <t>57033990</t>
        </is>
      </c>
      <c r="D3666" t="inlineStr">
        <is>
          <t>OTHERS-OF-OTHERS-OF-CARPETS AND OTHER TEXTILE FLOOR COVERINGS(INCLUDING TURF), TUFTED, WHETHER OR NOT MADE UP</t>
        </is>
      </c>
      <c r="E3666" s="3" t="n">
        <v>0.03</v>
      </c>
      <c r="F3666" s="3" t="n">
        <v>0.09</v>
      </c>
      <c r="G3666" s="3">
        <f>F3666-E3666</f>
        <v/>
      </c>
      <c r="H3666" s="4">
        <f>IF(E3666=0,"",F3666/E3666-1)</f>
        <v/>
      </c>
      <c r="I3666" t="inlineStr"/>
    </row>
    <row r="3667">
      <c r="A3667" t="inlineStr">
        <is>
          <t>Textiles &amp; apparel</t>
        </is>
      </c>
      <c r="B3667" t="inlineStr">
        <is>
          <t>61</t>
        </is>
      </c>
      <c r="C3667" t="inlineStr">
        <is>
          <t>61072210</t>
        </is>
      </c>
      <c r="D3667" t="inlineStr">
        <is>
          <t>NIGHTSHIRTS AND PYJAMAS OF SYN FIBRES</t>
        </is>
      </c>
      <c r="E3667" s="3" t="n">
        <v>0.04</v>
      </c>
      <c r="F3667" s="3" t="n">
        <v>0.09</v>
      </c>
      <c r="G3667" s="3">
        <f>F3667-E3667</f>
        <v/>
      </c>
      <c r="H3667" s="4">
        <f>IF(E3667=0,"",F3667/E3667-1)</f>
        <v/>
      </c>
      <c r="I3667" t="inlineStr"/>
    </row>
    <row r="3668">
      <c r="A3668" t="inlineStr">
        <is>
          <t>Textiles &amp; apparel</t>
        </is>
      </c>
      <c r="B3668" t="inlineStr">
        <is>
          <t>61</t>
        </is>
      </c>
      <c r="C3668" t="inlineStr">
        <is>
          <t>61121100</t>
        </is>
      </c>
      <c r="D3668" t="inlineStr">
        <is>
          <t>TRACK SUITS OF COTTON</t>
        </is>
      </c>
      <c r="E3668" s="3" t="n">
        <v>0.11</v>
      </c>
      <c r="F3668" s="3" t="n">
        <v>0.09</v>
      </c>
      <c r="G3668" s="3">
        <f>F3668-E3668</f>
        <v/>
      </c>
      <c r="H3668" s="4">
        <f>IF(E3668=0,"",F3668/E3668-1)</f>
        <v/>
      </c>
      <c r="I3668" t="inlineStr"/>
    </row>
    <row r="3669">
      <c r="A3669" t="inlineStr">
        <is>
          <t>Textiles &amp; apparel</t>
        </is>
      </c>
      <c r="B3669" t="inlineStr">
        <is>
          <t>62</t>
        </is>
      </c>
      <c r="C3669" t="inlineStr">
        <is>
          <t>62072190</t>
        </is>
      </c>
      <c r="D3669" t="inlineStr">
        <is>
          <t>NIGHT SHRTS AND PYJAMAS OF OTHR THAN COTTON</t>
        </is>
      </c>
      <c r="E3669" s="3" t="n">
        <v>0.01</v>
      </c>
      <c r="F3669" s="3" t="n">
        <v>0.09</v>
      </c>
      <c r="G3669" s="3">
        <f>F3669-E3669</f>
        <v/>
      </c>
      <c r="H3669" s="4">
        <f>IF(E3669=0,"",F3669/E3669-1)</f>
        <v/>
      </c>
      <c r="I3669" t="inlineStr"/>
    </row>
    <row r="3670">
      <c r="A3670" t="inlineStr">
        <is>
          <t>Textiles &amp; apparel</t>
        </is>
      </c>
      <c r="B3670" t="inlineStr">
        <is>
          <t>63</t>
        </is>
      </c>
      <c r="C3670" t="inlineStr">
        <is>
          <t>63041910</t>
        </is>
      </c>
      <c r="D3670" t="inlineStr">
        <is>
          <t>BEDSHEETS AND BED COVERS OF COTTON</t>
        </is>
      </c>
      <c r="E3670" s="3" t="n">
        <v>0.29</v>
      </c>
      <c r="F3670" s="3" t="n">
        <v>0.09</v>
      </c>
      <c r="G3670" s="3">
        <f>F3670-E3670</f>
        <v/>
      </c>
      <c r="H3670" s="4">
        <f>IF(E3670=0,"",F3670/E3670-1)</f>
        <v/>
      </c>
      <c r="I3670" t="inlineStr"/>
    </row>
    <row r="3671">
      <c r="A3671" t="inlineStr">
        <is>
          <t>Textiles &amp; apparel</t>
        </is>
      </c>
      <c r="B3671" t="inlineStr">
        <is>
          <t>51</t>
        </is>
      </c>
      <c r="C3671" t="inlineStr">
        <is>
          <t>51129030</t>
        </is>
      </c>
      <c r="D3671" t="inlineStr">
        <is>
          <t>DYED OTHR WOVN FBRCS OF COMD WOOL OR COMD FINE ANML HAIR</t>
        </is>
      </c>
      <c r="E3671" s="3" t="n">
        <v>0</v>
      </c>
      <c r="F3671" s="3" t="n">
        <v>0.08</v>
      </c>
      <c r="G3671" s="3">
        <f>F3671-E3671</f>
        <v/>
      </c>
      <c r="H3671" s="4">
        <f>IF(E3671=0,"",F3671/E3671-1)</f>
        <v/>
      </c>
      <c r="I3671" t="inlineStr"/>
    </row>
    <row r="3672">
      <c r="A3672" t="inlineStr">
        <is>
          <t>Textiles &amp; apparel</t>
        </is>
      </c>
      <c r="B3672" t="inlineStr">
        <is>
          <t>54</t>
        </is>
      </c>
      <c r="C3672" t="inlineStr">
        <is>
          <t>54074124</t>
        </is>
      </c>
      <c r="D3672" t="inlineStr">
        <is>
          <t>BLECHD NYLON SAREE</t>
        </is>
      </c>
      <c r="E3672" s="3" t="n">
        <v>0.16</v>
      </c>
      <c r="F3672" s="3" t="n">
        <v>0.08</v>
      </c>
      <c r="G3672" s="3">
        <f>F3672-E3672</f>
        <v/>
      </c>
      <c r="H3672" s="4">
        <f>IF(E3672=0,"",F3672/E3672-1)</f>
        <v/>
      </c>
      <c r="I3672" t="inlineStr"/>
    </row>
    <row r="3673">
      <c r="A3673" t="inlineStr">
        <is>
          <t>Textiles &amp; apparel</t>
        </is>
      </c>
      <c r="B3673" t="inlineStr">
        <is>
          <t>55</t>
        </is>
      </c>
      <c r="C3673" t="inlineStr">
        <is>
          <t>55129110</t>
        </is>
      </c>
      <c r="D3673" t="inlineStr">
        <is>
          <t>WOVN SYN STRL FBRC,UNBLCHD CNTNG OTHR SYN FBRCS&gt;=85%</t>
        </is>
      </c>
      <c r="E3673" s="3" t="n">
        <v>0</v>
      </c>
      <c r="F3673" s="3" t="n">
        <v>0.08</v>
      </c>
      <c r="G3673" s="3">
        <f>F3673-E3673</f>
        <v/>
      </c>
      <c r="H3673" s="4">
        <f>IF(E3673=0,"",F3673/E3673-1)</f>
        <v/>
      </c>
      <c r="I3673" t="inlineStr"/>
    </row>
    <row r="3674">
      <c r="A3674" t="inlineStr">
        <is>
          <t>Textiles &amp; apparel</t>
        </is>
      </c>
      <c r="B3674" t="inlineStr">
        <is>
          <t>56</t>
        </is>
      </c>
      <c r="C3674" t="inlineStr">
        <is>
          <t>56031190</t>
        </is>
      </c>
      <c r="D3674" t="inlineStr">
        <is>
          <t>MAN-MADE FILMNT WGHNG&lt;25G/SQM-OTHERS</t>
        </is>
      </c>
      <c r="E3674" s="3" t="n">
        <v>0.14</v>
      </c>
      <c r="F3674" s="3" t="n">
        <v>0.08</v>
      </c>
      <c r="G3674" s="3">
        <f>F3674-E3674</f>
        <v/>
      </c>
      <c r="H3674" s="4">
        <f>IF(E3674=0,"",F3674/E3674-1)</f>
        <v/>
      </c>
      <c r="I3674" t="inlineStr"/>
    </row>
    <row r="3675">
      <c r="A3675" t="inlineStr">
        <is>
          <t>Textiles &amp; apparel</t>
        </is>
      </c>
      <c r="B3675" t="inlineStr">
        <is>
          <t>56</t>
        </is>
      </c>
      <c r="C3675" t="inlineStr">
        <is>
          <t>56079090</t>
        </is>
      </c>
      <c r="D3675" t="inlineStr">
        <is>
          <t>OTHER TWINE,CORDAGE,ROPE AND CABLES</t>
        </is>
      </c>
      <c r="E3675" s="3" t="n">
        <v>0.05</v>
      </c>
      <c r="F3675" s="3" t="n">
        <v>0.08</v>
      </c>
      <c r="G3675" s="3">
        <f>F3675-E3675</f>
        <v/>
      </c>
      <c r="H3675" s="4">
        <f>IF(E3675=0,"",F3675/E3675-1)</f>
        <v/>
      </c>
      <c r="I3675" t="inlineStr"/>
    </row>
    <row r="3676">
      <c r="A3676" t="inlineStr">
        <is>
          <t>Textiles &amp; apparel</t>
        </is>
      </c>
      <c r="B3676" t="inlineStr">
        <is>
          <t>57</t>
        </is>
      </c>
      <c r="C3676" t="inlineStr">
        <is>
          <t>57023210</t>
        </is>
      </c>
      <c r="D3676" t="inlineStr">
        <is>
          <t>CARPETS,CARPETING AND RUGS</t>
        </is>
      </c>
      <c r="E3676" s="3" t="n">
        <v>0</v>
      </c>
      <c r="F3676" s="3" t="n">
        <v>0.08</v>
      </c>
      <c r="G3676" s="3">
        <f>F3676-E3676</f>
        <v/>
      </c>
      <c r="H3676" s="4">
        <f>IF(E3676=0,"",F3676/E3676-1)</f>
        <v/>
      </c>
      <c r="I3676" t="inlineStr"/>
    </row>
    <row r="3677">
      <c r="A3677" t="inlineStr">
        <is>
          <t>Textiles &amp; apparel</t>
        </is>
      </c>
      <c r="B3677" t="inlineStr">
        <is>
          <t>61</t>
        </is>
      </c>
      <c r="C3677" t="inlineStr">
        <is>
          <t>61044300</t>
        </is>
      </c>
      <c r="D3677" t="inlineStr">
        <is>
          <t>DRESSES OF SYNTHETIC FIBRES</t>
        </is>
      </c>
      <c r="E3677" s="3" t="n">
        <v>0.01</v>
      </c>
      <c r="F3677" s="3" t="n">
        <v>0.08</v>
      </c>
      <c r="G3677" s="3">
        <f>F3677-E3677</f>
        <v/>
      </c>
      <c r="H3677" s="4">
        <f>IF(E3677=0,"",F3677/E3677-1)</f>
        <v/>
      </c>
      <c r="I3677" t="inlineStr"/>
    </row>
    <row r="3678">
      <c r="A3678" t="inlineStr">
        <is>
          <t>Textiles &amp; apparel</t>
        </is>
      </c>
      <c r="B3678" t="inlineStr">
        <is>
          <t>61</t>
        </is>
      </c>
      <c r="C3678" t="inlineStr">
        <is>
          <t>61113000</t>
        </is>
      </c>
      <c r="D3678" t="inlineStr">
        <is>
          <t>BABIES GARMENTS ETC OF SYNTHIC FBRS</t>
        </is>
      </c>
      <c r="E3678" s="3" t="n">
        <v>0.42</v>
      </c>
      <c r="F3678" s="3" t="n">
        <v>0.08</v>
      </c>
      <c r="G3678" s="3">
        <f>F3678-E3678</f>
        <v/>
      </c>
      <c r="H3678" s="4">
        <f>IF(E3678=0,"",F3678/E3678-1)</f>
        <v/>
      </c>
      <c r="I3678" t="inlineStr"/>
    </row>
    <row r="3679">
      <c r="A3679" t="inlineStr">
        <is>
          <t>Textiles &amp; apparel</t>
        </is>
      </c>
      <c r="B3679" t="inlineStr">
        <is>
          <t>61</t>
        </is>
      </c>
      <c r="C3679" t="inlineStr">
        <is>
          <t>61143010</t>
        </is>
      </c>
      <c r="D3679" t="inlineStr">
        <is>
          <t>OTHER GARMENTS OF SYNTHETIC FIBRES</t>
        </is>
      </c>
      <c r="E3679" s="3" t="n">
        <v>0.13</v>
      </c>
      <c r="F3679" s="3" t="n">
        <v>0.08</v>
      </c>
      <c r="G3679" s="3">
        <f>F3679-E3679</f>
        <v/>
      </c>
      <c r="H3679" s="4">
        <f>IF(E3679=0,"",F3679/E3679-1)</f>
        <v/>
      </c>
      <c r="I3679" t="inlineStr"/>
    </row>
    <row r="3680">
      <c r="A3680" t="inlineStr">
        <is>
          <t>Textiles &amp; apparel</t>
        </is>
      </c>
      <c r="B3680" t="inlineStr">
        <is>
          <t>61</t>
        </is>
      </c>
      <c r="C3680" t="inlineStr">
        <is>
          <t>61169200</t>
        </is>
      </c>
      <c r="D3680" t="inlineStr">
        <is>
          <t>OTHER GLOVES ETC OF COTTON</t>
        </is>
      </c>
      <c r="E3680" s="3" t="n">
        <v>0.05</v>
      </c>
      <c r="F3680" s="3" t="n">
        <v>0.08</v>
      </c>
      <c r="G3680" s="3">
        <f>F3680-E3680</f>
        <v/>
      </c>
      <c r="H3680" s="4">
        <f>IF(E3680=0,"",F3680/E3680-1)</f>
        <v/>
      </c>
      <c r="I3680" t="inlineStr"/>
    </row>
    <row r="3681">
      <c r="A3681" t="inlineStr">
        <is>
          <t>Textiles &amp; apparel</t>
        </is>
      </c>
      <c r="B3681" t="inlineStr">
        <is>
          <t>62</t>
        </is>
      </c>
      <c r="C3681" t="inlineStr">
        <is>
          <t>62013090</t>
        </is>
      </c>
      <c r="D3681" t="inlineStr">
        <is>
          <t>OTHERS-OF-OF COTTON</t>
        </is>
      </c>
      <c r="E3681" s="3" t="n">
        <v>0</v>
      </c>
      <c r="F3681" s="3" t="n">
        <v>0.08</v>
      </c>
      <c r="G3681" s="3">
        <f>F3681-E3681</f>
        <v/>
      </c>
      <c r="H3681" s="4">
        <f>IF(E3681=0,"",F3681/E3681-1)</f>
        <v/>
      </c>
      <c r="I3681" t="inlineStr"/>
    </row>
    <row r="3682">
      <c r="A3682" t="inlineStr">
        <is>
          <t>Textiles &amp; apparel</t>
        </is>
      </c>
      <c r="B3682" t="inlineStr">
        <is>
          <t>62</t>
        </is>
      </c>
      <c r="C3682" t="inlineStr">
        <is>
          <t>62042210</t>
        </is>
      </c>
      <c r="D3682" t="inlineStr">
        <is>
          <t>BLOUSES CMBND WTH SKRTS,TRUSRS,SHORTS COTN</t>
        </is>
      </c>
      <c r="E3682" s="3" t="n">
        <v>0</v>
      </c>
      <c r="F3682" s="3" t="n">
        <v>0.08</v>
      </c>
      <c r="G3682" s="3">
        <f>F3682-E3682</f>
        <v/>
      </c>
      <c r="H3682" s="4">
        <f>IF(E3682=0,"",F3682/E3682-1)</f>
        <v/>
      </c>
      <c r="I3682" t="inlineStr"/>
    </row>
    <row r="3683">
      <c r="A3683" t="inlineStr">
        <is>
          <t>Textiles &amp; apparel</t>
        </is>
      </c>
      <c r="B3683" t="inlineStr">
        <is>
          <t>62</t>
        </is>
      </c>
      <c r="C3683" t="inlineStr">
        <is>
          <t>62044919</t>
        </is>
      </c>
      <c r="D3683" t="inlineStr">
        <is>
          <t>OTHR DRESSES OF OTHR TXTL MATERIALS</t>
        </is>
      </c>
      <c r="E3683" s="3" t="n">
        <v>0</v>
      </c>
      <c r="F3683" s="3" t="n">
        <v>0.08</v>
      </c>
      <c r="G3683" s="3">
        <f>F3683-E3683</f>
        <v/>
      </c>
      <c r="H3683" s="4">
        <f>IF(E3683=0,"",F3683/E3683-1)</f>
        <v/>
      </c>
      <c r="I3683" t="inlineStr"/>
    </row>
    <row r="3684">
      <c r="A3684" t="inlineStr">
        <is>
          <t>Textiles &amp; apparel</t>
        </is>
      </c>
      <c r="B3684" t="inlineStr">
        <is>
          <t>62</t>
        </is>
      </c>
      <c r="C3684" t="inlineStr">
        <is>
          <t>62082190</t>
        </is>
      </c>
      <c r="D3684" t="inlineStr">
        <is>
          <t>OTHERS-OF-NIGHTDRESSES AND PYJAMAS OF COTTON</t>
        </is>
      </c>
      <c r="E3684" s="3" t="n">
        <v>0.35</v>
      </c>
      <c r="F3684" s="3" t="n">
        <v>0.08</v>
      </c>
      <c r="G3684" s="3">
        <f>F3684-E3684</f>
        <v/>
      </c>
      <c r="H3684" s="4">
        <f>IF(E3684=0,"",F3684/E3684-1)</f>
        <v/>
      </c>
      <c r="I3684" t="inlineStr"/>
    </row>
    <row r="3685">
      <c r="A3685" t="inlineStr">
        <is>
          <t>Textiles &amp; apparel</t>
        </is>
      </c>
      <c r="B3685" t="inlineStr">
        <is>
          <t>62</t>
        </is>
      </c>
      <c r="C3685" t="inlineStr">
        <is>
          <t>62171020</t>
        </is>
      </c>
      <c r="D3685" t="inlineStr">
        <is>
          <t>ACCSSRS FR ARTCLS OF APPRL OF SYNTHTC FBRS</t>
        </is>
      </c>
      <c r="E3685" s="3" t="n">
        <v>0.07000000000000001</v>
      </c>
      <c r="F3685" s="3" t="n">
        <v>0.08</v>
      </c>
      <c r="G3685" s="3">
        <f>F3685-E3685</f>
        <v/>
      </c>
      <c r="H3685" s="4">
        <f>IF(E3685=0,"",F3685/E3685-1)</f>
        <v/>
      </c>
      <c r="I3685" t="inlineStr"/>
    </row>
    <row r="3686">
      <c r="A3686" t="inlineStr">
        <is>
          <t>Textiles &amp; apparel</t>
        </is>
      </c>
      <c r="B3686" t="inlineStr">
        <is>
          <t>63</t>
        </is>
      </c>
      <c r="C3686" t="inlineStr">
        <is>
          <t>63049999</t>
        </is>
      </c>
      <c r="D3686" t="inlineStr">
        <is>
          <t>OTHER FURNISHING ARTICLES NEC</t>
        </is>
      </c>
      <c r="E3686" s="3" t="n">
        <v>0.01</v>
      </c>
      <c r="F3686" s="3" t="n">
        <v>0.08</v>
      </c>
      <c r="G3686" s="3">
        <f>F3686-E3686</f>
        <v/>
      </c>
      <c r="H3686" s="4">
        <f>IF(E3686=0,"",F3686/E3686-1)</f>
        <v/>
      </c>
      <c r="I3686" t="inlineStr"/>
    </row>
    <row r="3687">
      <c r="A3687" t="inlineStr">
        <is>
          <t>Textiles &amp; apparel</t>
        </is>
      </c>
      <c r="B3687" t="inlineStr">
        <is>
          <t>63</t>
        </is>
      </c>
      <c r="C3687" t="inlineStr">
        <is>
          <t>63051010</t>
        </is>
      </c>
      <c r="D3687" t="inlineStr">
        <is>
          <t>JUTE BAGGING FOR RAW COTTON</t>
        </is>
      </c>
      <c r="E3687" s="3" t="n">
        <v>0.16</v>
      </c>
      <c r="F3687" s="3" t="n">
        <v>0.08</v>
      </c>
      <c r="G3687" s="3">
        <f>F3687-E3687</f>
        <v/>
      </c>
      <c r="H3687" s="4">
        <f>IF(E3687=0,"",F3687/E3687-1)</f>
        <v/>
      </c>
      <c r="I3687" t="inlineStr"/>
    </row>
    <row r="3688">
      <c r="A3688" t="inlineStr">
        <is>
          <t>Textiles &amp; apparel</t>
        </is>
      </c>
      <c r="B3688" t="inlineStr">
        <is>
          <t>63</t>
        </is>
      </c>
      <c r="C3688" t="inlineStr">
        <is>
          <t>63059000</t>
        </is>
      </c>
      <c r="D3688" t="inlineStr">
        <is>
          <t>SACKS AND BAGS OF OTHER TEXTILE MATERIALS</t>
        </is>
      </c>
      <c r="E3688" s="3" t="n">
        <v>0.31</v>
      </c>
      <c r="F3688" s="3" t="n">
        <v>0.08</v>
      </c>
      <c r="G3688" s="3">
        <f>F3688-E3688</f>
        <v/>
      </c>
      <c r="H3688" s="4">
        <f>IF(E3688=0,"",F3688/E3688-1)</f>
        <v/>
      </c>
      <c r="I3688" t="inlineStr"/>
    </row>
    <row r="3689">
      <c r="A3689" t="inlineStr">
        <is>
          <t>Textiles &amp; apparel</t>
        </is>
      </c>
      <c r="B3689" t="inlineStr">
        <is>
          <t>51</t>
        </is>
      </c>
      <c r="C3689" t="inlineStr">
        <is>
          <t>51122090</t>
        </is>
      </c>
      <c r="D3689" t="inlineStr">
        <is>
          <t>OTHER WOVN FBRCS OF COMD WOOL MIXED MAINLYOR SOLELY WITH MANMADE FILAMENT</t>
        </is>
      </c>
      <c r="E3689" s="3" t="n">
        <v>0.04</v>
      </c>
      <c r="F3689" s="3" t="n">
        <v>0.07000000000000001</v>
      </c>
      <c r="G3689" s="3">
        <f>F3689-E3689</f>
        <v/>
      </c>
      <c r="H3689" s="4">
        <f>IF(E3689=0,"",F3689/E3689-1)</f>
        <v/>
      </c>
      <c r="I3689" t="inlineStr"/>
    </row>
    <row r="3690">
      <c r="A3690" t="inlineStr">
        <is>
          <t>Textiles &amp; apparel</t>
        </is>
      </c>
      <c r="B3690" t="inlineStr">
        <is>
          <t>52</t>
        </is>
      </c>
      <c r="C3690" t="inlineStr">
        <is>
          <t>52085990</t>
        </is>
      </c>
      <c r="D3690" t="inlineStr">
        <is>
          <t>SHIRTING FABRICS</t>
        </is>
      </c>
      <c r="E3690" s="3" t="n">
        <v>0.28</v>
      </c>
      <c r="F3690" s="3" t="n">
        <v>0.07000000000000001</v>
      </c>
      <c r="G3690" s="3">
        <f>F3690-E3690</f>
        <v/>
      </c>
      <c r="H3690" s="4">
        <f>IF(E3690=0,"",F3690/E3690-1)</f>
        <v/>
      </c>
      <c r="I3690" t="inlineStr"/>
    </row>
    <row r="3691">
      <c r="A3691" t="inlineStr">
        <is>
          <t>Textiles &amp; apparel</t>
        </is>
      </c>
      <c r="B3691" t="inlineStr">
        <is>
          <t>54</t>
        </is>
      </c>
      <c r="C3691" t="inlineStr">
        <is>
          <t>54071049</t>
        </is>
      </c>
      <c r="D3691" t="inlineStr">
        <is>
          <t>PRINTED OTHR POLYESTER FBRCS</t>
        </is>
      </c>
      <c r="E3691" s="3" t="n">
        <v>0.31</v>
      </c>
      <c r="F3691" s="3" t="n">
        <v>0.07000000000000001</v>
      </c>
      <c r="G3691" s="3">
        <f>F3691-E3691</f>
        <v/>
      </c>
      <c r="H3691" s="4">
        <f>IF(E3691=0,"",F3691/E3691-1)</f>
        <v/>
      </c>
      <c r="I3691" t="inlineStr"/>
    </row>
    <row r="3692">
      <c r="A3692" t="inlineStr">
        <is>
          <t>Textiles &amp; apparel</t>
        </is>
      </c>
      <c r="B3692" t="inlineStr">
        <is>
          <t>55</t>
        </is>
      </c>
      <c r="C3692" t="inlineStr">
        <is>
          <t>55092200</t>
        </is>
      </c>
      <c r="D3692" t="inlineStr">
        <is>
          <t>MULTIPLE(FOLDED)/CABLED YRN CNTNG 85% OR MORE BY WT OF POLYESTR STAPLE FIBRES</t>
        </is>
      </c>
      <c r="E3692" s="3" t="n">
        <v>0.51</v>
      </c>
      <c r="F3692" s="3" t="n">
        <v>0.07000000000000001</v>
      </c>
      <c r="G3692" s="3">
        <f>F3692-E3692</f>
        <v/>
      </c>
      <c r="H3692" s="4">
        <f>IF(E3692=0,"",F3692/E3692-1)</f>
        <v/>
      </c>
      <c r="I3692" t="inlineStr"/>
    </row>
    <row r="3693">
      <c r="A3693" t="inlineStr">
        <is>
          <t>Textiles &amp; apparel</t>
        </is>
      </c>
      <c r="B3693" t="inlineStr">
        <is>
          <t>55</t>
        </is>
      </c>
      <c r="C3693" t="inlineStr">
        <is>
          <t>55134900</t>
        </is>
      </c>
      <c r="D3693" t="inlineStr">
        <is>
          <t>WVN FBRCS OF OTHR SYNTHTC STPL FIBRS,PRNTD</t>
        </is>
      </c>
      <c r="E3693" s="3" t="n">
        <v>0</v>
      </c>
      <c r="F3693" s="3" t="n">
        <v>0.07000000000000001</v>
      </c>
      <c r="G3693" s="3">
        <f>F3693-E3693</f>
        <v/>
      </c>
      <c r="H3693" s="4">
        <f>IF(E3693=0,"",F3693/E3693-1)</f>
        <v/>
      </c>
      <c r="I3693" t="inlineStr"/>
    </row>
    <row r="3694">
      <c r="A3694" t="inlineStr">
        <is>
          <t>Textiles &amp; apparel</t>
        </is>
      </c>
      <c r="B3694" t="inlineStr">
        <is>
          <t>55</t>
        </is>
      </c>
      <c r="C3694" t="inlineStr">
        <is>
          <t>55151220</t>
        </is>
      </c>
      <c r="D3694" t="inlineStr">
        <is>
          <t>FBRC OF POLSTR,MXD WTH MAN-MADE FILMNT , BLCHD</t>
        </is>
      </c>
      <c r="E3694" s="3" t="n">
        <v>0</v>
      </c>
      <c r="F3694" s="3" t="n">
        <v>0.07000000000000001</v>
      </c>
      <c r="G3694" s="3">
        <f>F3694-E3694</f>
        <v/>
      </c>
      <c r="H3694" s="4">
        <f>IF(E3694=0,"",F3694/E3694-1)</f>
        <v/>
      </c>
      <c r="I3694" t="inlineStr"/>
    </row>
    <row r="3695">
      <c r="A3695" t="inlineStr">
        <is>
          <t>Textiles &amp; apparel</t>
        </is>
      </c>
      <c r="B3695" t="inlineStr">
        <is>
          <t>57</t>
        </is>
      </c>
      <c r="C3695" t="inlineStr">
        <is>
          <t>57019090</t>
        </is>
      </c>
      <c r="D3695" t="inlineStr">
        <is>
          <t>CRPTS AND FLR CVRNGS KNOTTD OTHR THAN COTTON</t>
        </is>
      </c>
      <c r="E3695" s="3" t="n">
        <v>0.03</v>
      </c>
      <c r="F3695" s="3" t="n">
        <v>0.07000000000000001</v>
      </c>
      <c r="G3695" s="3">
        <f>F3695-E3695</f>
        <v/>
      </c>
      <c r="H3695" s="4">
        <f>IF(E3695=0,"",F3695/E3695-1)</f>
        <v/>
      </c>
      <c r="I3695" t="inlineStr"/>
    </row>
    <row r="3696">
      <c r="A3696" t="inlineStr">
        <is>
          <t>Textiles &amp; apparel</t>
        </is>
      </c>
      <c r="B3696" t="inlineStr">
        <is>
          <t>57</t>
        </is>
      </c>
      <c r="C3696" t="inlineStr">
        <is>
          <t>57021000</t>
        </is>
      </c>
      <c r="D3696" t="inlineStr">
        <is>
          <t>KLM, SCHMCKS, KRMNE AND SMLR HNDWVN</t>
        </is>
      </c>
      <c r="E3696" s="3" t="n">
        <v>0</v>
      </c>
      <c r="F3696" s="3" t="n">
        <v>0.07000000000000001</v>
      </c>
      <c r="G3696" s="3">
        <f>F3696-E3696</f>
        <v/>
      </c>
      <c r="H3696" s="4">
        <f>IF(E3696=0,"",F3696/E3696-1)</f>
        <v/>
      </c>
      <c r="I3696" t="inlineStr"/>
    </row>
    <row r="3697">
      <c r="A3697" t="inlineStr">
        <is>
          <t>Textiles &amp; apparel</t>
        </is>
      </c>
      <c r="B3697" t="inlineStr">
        <is>
          <t>59</t>
        </is>
      </c>
      <c r="C3697" t="inlineStr">
        <is>
          <t>59080010</t>
        </is>
      </c>
      <c r="D3697" t="inlineStr">
        <is>
          <t>WICKS AND GAS MANTLE FABRICS ETC.OF COTTON</t>
        </is>
      </c>
      <c r="E3697" s="3" t="n">
        <v>0.08</v>
      </c>
      <c r="F3697" s="3" t="n">
        <v>0.07000000000000001</v>
      </c>
      <c r="G3697" s="3">
        <f>F3697-E3697</f>
        <v/>
      </c>
      <c r="H3697" s="4">
        <f>IF(E3697=0,"",F3697/E3697-1)</f>
        <v/>
      </c>
      <c r="I3697" t="inlineStr"/>
    </row>
    <row r="3698">
      <c r="A3698" t="inlineStr">
        <is>
          <t>Textiles &amp; apparel</t>
        </is>
      </c>
      <c r="B3698" t="inlineStr">
        <is>
          <t>59</t>
        </is>
      </c>
      <c r="C3698" t="inlineStr">
        <is>
          <t>59114000</t>
        </is>
      </c>
      <c r="D3698" t="inlineStr">
        <is>
          <t>FILTERING OR STRAINNG CLTH OF A KIND USD IN OIL PRESSES OR THE LIKE INCLUDING THAT OF HUMAN HAIR</t>
        </is>
      </c>
      <c r="E3698" s="3" t="n">
        <v>0</v>
      </c>
      <c r="F3698" s="3" t="n">
        <v>0.07000000000000001</v>
      </c>
      <c r="G3698" s="3">
        <f>F3698-E3698</f>
        <v/>
      </c>
      <c r="H3698" s="4">
        <f>IF(E3698=0,"",F3698/E3698-1)</f>
        <v/>
      </c>
      <c r="I3698" t="inlineStr"/>
    </row>
    <row r="3699">
      <c r="A3699" t="inlineStr">
        <is>
          <t>Textiles &amp; apparel</t>
        </is>
      </c>
      <c r="B3699" t="inlineStr">
        <is>
          <t>61</t>
        </is>
      </c>
      <c r="C3699" t="inlineStr">
        <is>
          <t>61029090</t>
        </is>
      </c>
      <c r="D3699" t="inlineStr">
        <is>
          <t>OVRCOATS,CAR-COATS,CAPES ETC OF OTHR FBRS</t>
        </is>
      </c>
      <c r="E3699" s="3" t="n">
        <v>0</v>
      </c>
      <c r="F3699" s="3" t="n">
        <v>0.07000000000000001</v>
      </c>
      <c r="G3699" s="3">
        <f>F3699-E3699</f>
        <v/>
      </c>
      <c r="H3699" s="4">
        <f>IF(E3699=0,"",F3699/E3699-1)</f>
        <v/>
      </c>
      <c r="I3699" t="inlineStr"/>
    </row>
    <row r="3700">
      <c r="A3700" t="inlineStr">
        <is>
          <t>Textiles &amp; apparel</t>
        </is>
      </c>
      <c r="B3700" t="inlineStr">
        <is>
          <t>61</t>
        </is>
      </c>
      <c r="C3700" t="inlineStr">
        <is>
          <t>61041300</t>
        </is>
      </c>
      <c r="D3700" t="inlineStr">
        <is>
          <t>SUITS OF SYNTHETIC FIBRES</t>
        </is>
      </c>
      <c r="E3700" s="3" t="n">
        <v>0</v>
      </c>
      <c r="F3700" s="3" t="n">
        <v>0.07000000000000001</v>
      </c>
      <c r="G3700" s="3">
        <f>F3700-E3700</f>
        <v/>
      </c>
      <c r="H3700" s="4">
        <f>IF(E3700=0,"",F3700/E3700-1)</f>
        <v/>
      </c>
      <c r="I3700" t="inlineStr"/>
    </row>
    <row r="3701">
      <c r="A3701" t="inlineStr">
        <is>
          <t>Textiles &amp; apparel</t>
        </is>
      </c>
      <c r="B3701" t="inlineStr">
        <is>
          <t>61</t>
        </is>
      </c>
      <c r="C3701" t="inlineStr">
        <is>
          <t>61081920</t>
        </is>
      </c>
      <c r="D3701" t="inlineStr">
        <is>
          <t>SLIPS AND PETTICOATS OF COTTON</t>
        </is>
      </c>
      <c r="E3701" s="3" t="n">
        <v>1.31</v>
      </c>
      <c r="F3701" s="3" t="n">
        <v>0.07000000000000001</v>
      </c>
      <c r="G3701" s="3">
        <f>F3701-E3701</f>
        <v/>
      </c>
      <c r="H3701" s="4">
        <f>IF(E3701=0,"",F3701/E3701-1)</f>
        <v/>
      </c>
      <c r="I3701" t="inlineStr"/>
    </row>
    <row r="3702">
      <c r="A3702" t="inlineStr">
        <is>
          <t>Textiles &amp; apparel</t>
        </is>
      </c>
      <c r="B3702" t="inlineStr">
        <is>
          <t>61</t>
        </is>
      </c>
      <c r="C3702" t="inlineStr">
        <is>
          <t>61083210</t>
        </is>
      </c>
      <c r="D3702" t="inlineStr">
        <is>
          <t>NIGHTDRESSES AND PYJAMAS OF SYN FIBRES</t>
        </is>
      </c>
      <c r="E3702" s="3" t="n">
        <v>0.12</v>
      </c>
      <c r="F3702" s="3" t="n">
        <v>0.07000000000000001</v>
      </c>
      <c r="G3702" s="3">
        <f>F3702-E3702</f>
        <v/>
      </c>
      <c r="H3702" s="4">
        <f>IF(E3702=0,"",F3702/E3702-1)</f>
        <v/>
      </c>
      <c r="I3702" t="inlineStr"/>
    </row>
    <row r="3703">
      <c r="A3703" t="inlineStr">
        <is>
          <t>Textiles &amp; apparel</t>
        </is>
      </c>
      <c r="B3703" t="inlineStr">
        <is>
          <t>62</t>
        </is>
      </c>
      <c r="C3703" t="inlineStr">
        <is>
          <t>62041911</t>
        </is>
      </c>
      <c r="D3703" t="inlineStr">
        <is>
          <t>SUITS OF SILK EXCL SEQUINNED/BEADED WTH</t>
        </is>
      </c>
      <c r="E3703" s="3" t="n">
        <v>0.68</v>
      </c>
      <c r="F3703" s="3" t="n">
        <v>0.07000000000000001</v>
      </c>
      <c r="G3703" s="3">
        <f>F3703-E3703</f>
        <v/>
      </c>
      <c r="H3703" s="4">
        <f>IF(E3703=0,"",F3703/E3703-1)</f>
        <v/>
      </c>
      <c r="I3703" t="inlineStr"/>
    </row>
    <row r="3704">
      <c r="A3704" t="inlineStr">
        <is>
          <t>Textiles &amp; apparel</t>
        </is>
      </c>
      <c r="B3704" t="inlineStr">
        <is>
          <t>62</t>
        </is>
      </c>
      <c r="C3704" t="inlineStr">
        <is>
          <t>62045919</t>
        </is>
      </c>
      <c r="D3704" t="inlineStr">
        <is>
          <t>SKRTS AND DVDED SKRTS OF SILK - OTHER</t>
        </is>
      </c>
      <c r="E3704" s="3" t="n">
        <v>0</v>
      </c>
      <c r="F3704" s="3" t="n">
        <v>0.07000000000000001</v>
      </c>
      <c r="G3704" s="3">
        <f>F3704-E3704</f>
        <v/>
      </c>
      <c r="H3704" s="4">
        <f>IF(E3704=0,"",F3704/E3704-1)</f>
        <v/>
      </c>
      <c r="I3704" t="inlineStr"/>
    </row>
    <row r="3705">
      <c r="A3705" t="inlineStr">
        <is>
          <t>Textiles &amp; apparel</t>
        </is>
      </c>
      <c r="B3705" t="inlineStr">
        <is>
          <t>62</t>
        </is>
      </c>
      <c r="C3705" t="inlineStr">
        <is>
          <t>62132000</t>
        </is>
      </c>
      <c r="D3705" t="inlineStr">
        <is>
          <t>HANDKERCHIEFS OF COTTON</t>
        </is>
      </c>
      <c r="E3705" s="3" t="n">
        <v>0.03</v>
      </c>
      <c r="F3705" s="3" t="n">
        <v>0.07000000000000001</v>
      </c>
      <c r="G3705" s="3">
        <f>F3705-E3705</f>
        <v/>
      </c>
      <c r="H3705" s="4">
        <f>IF(E3705=0,"",F3705/E3705-1)</f>
        <v/>
      </c>
      <c r="I3705" t="inlineStr"/>
    </row>
    <row r="3706">
      <c r="A3706" t="inlineStr">
        <is>
          <t>Textiles &amp; apparel</t>
        </is>
      </c>
      <c r="B3706" t="inlineStr">
        <is>
          <t>62</t>
        </is>
      </c>
      <c r="C3706" t="inlineStr">
        <is>
          <t>62149010</t>
        </is>
      </c>
      <c r="D3706" t="inlineStr">
        <is>
          <t>ABRABROOMAL COTTON</t>
        </is>
      </c>
      <c r="E3706" s="3" t="n">
        <v>0.1</v>
      </c>
      <c r="F3706" s="3" t="n">
        <v>0.07000000000000001</v>
      </c>
      <c r="G3706" s="3">
        <f>F3706-E3706</f>
        <v/>
      </c>
      <c r="H3706" s="4">
        <f>IF(E3706=0,"",F3706/E3706-1)</f>
        <v/>
      </c>
      <c r="I3706" t="inlineStr"/>
    </row>
    <row r="3707">
      <c r="A3707" t="inlineStr">
        <is>
          <t>Textiles &amp; apparel</t>
        </is>
      </c>
      <c r="B3707" t="inlineStr">
        <is>
          <t>62</t>
        </is>
      </c>
      <c r="C3707" t="inlineStr">
        <is>
          <t>62160010</t>
        </is>
      </c>
      <c r="D3707" t="inlineStr">
        <is>
          <t>GLOVES,MITTERS AND MITTS OF COTTON</t>
        </is>
      </c>
      <c r="E3707" s="3" t="n">
        <v>0.01</v>
      </c>
      <c r="F3707" s="3" t="n">
        <v>0.07000000000000001</v>
      </c>
      <c r="G3707" s="3">
        <f>F3707-E3707</f>
        <v/>
      </c>
      <c r="H3707" s="4">
        <f>IF(E3707=0,"",F3707/E3707-1)</f>
        <v/>
      </c>
      <c r="I3707" t="inlineStr"/>
    </row>
    <row r="3708">
      <c r="A3708" t="inlineStr">
        <is>
          <t>Textiles &amp; apparel</t>
        </is>
      </c>
      <c r="B3708" t="inlineStr">
        <is>
          <t>52</t>
        </is>
      </c>
      <c r="C3708" t="inlineStr">
        <is>
          <t>52021000</t>
        </is>
      </c>
      <c r="D3708" t="inlineStr">
        <is>
          <t>YARN WASTE (INCL THREAD WASTE)</t>
        </is>
      </c>
      <c r="E3708" s="3" t="n">
        <v>0.02</v>
      </c>
      <c r="F3708" s="3" t="n">
        <v>0.06</v>
      </c>
      <c r="G3708" s="3">
        <f>F3708-E3708</f>
        <v/>
      </c>
      <c r="H3708" s="4">
        <f>IF(E3708=0,"",F3708/E3708-1)</f>
        <v/>
      </c>
      <c r="I3708" t="inlineStr"/>
    </row>
    <row r="3709">
      <c r="A3709" t="inlineStr">
        <is>
          <t>Textiles &amp; apparel</t>
        </is>
      </c>
      <c r="B3709" t="inlineStr">
        <is>
          <t>52</t>
        </is>
      </c>
      <c r="C3709" t="inlineStr">
        <is>
          <t>52082230</t>
        </is>
      </c>
      <c r="D3709" t="inlineStr">
        <is>
          <t>SHIRTING FABRICS</t>
        </is>
      </c>
      <c r="E3709" s="3" t="n">
        <v>0.05</v>
      </c>
      <c r="F3709" s="3" t="n">
        <v>0.06</v>
      </c>
      <c r="G3709" s="3">
        <f>F3709-E3709</f>
        <v/>
      </c>
      <c r="H3709" s="4">
        <f>IF(E3709=0,"",F3709/E3709-1)</f>
        <v/>
      </c>
      <c r="I3709" t="inlineStr"/>
    </row>
    <row r="3710">
      <c r="A3710" t="inlineStr">
        <is>
          <t>Textiles &amp; apparel</t>
        </is>
      </c>
      <c r="B3710" t="inlineStr">
        <is>
          <t>52</t>
        </is>
      </c>
      <c r="C3710" t="inlineStr">
        <is>
          <t>52083230</t>
        </is>
      </c>
      <c r="D3710" t="inlineStr">
        <is>
          <t>SHIRTING FABRICS</t>
        </is>
      </c>
      <c r="E3710" s="3" t="n">
        <v>0.2</v>
      </c>
      <c r="F3710" s="3" t="n">
        <v>0.06</v>
      </c>
      <c r="G3710" s="3">
        <f>F3710-E3710</f>
        <v/>
      </c>
      <c r="H3710" s="4">
        <f>IF(E3710=0,"",F3710/E3710-1)</f>
        <v/>
      </c>
      <c r="I3710" t="inlineStr"/>
    </row>
    <row r="3711">
      <c r="A3711" t="inlineStr">
        <is>
          <t>Textiles &amp; apparel</t>
        </is>
      </c>
      <c r="B3711" t="inlineStr">
        <is>
          <t>53</t>
        </is>
      </c>
      <c r="C3711" t="inlineStr">
        <is>
          <t>53050010</t>
        </is>
      </c>
      <c r="D3711" t="inlineStr">
        <is>
          <t>COIR BRISTLE FIBRE, COIR MATTRESS FIBRE, COIR SHORT FIBRE, COIR BIT FIBRE, DECORTICATED COIR FIBRE</t>
        </is>
      </c>
      <c r="E3711" s="3" t="n">
        <v>0.04</v>
      </c>
      <c r="F3711" s="3" t="n">
        <v>0.06</v>
      </c>
      <c r="G3711" s="3">
        <f>F3711-E3711</f>
        <v/>
      </c>
      <c r="H3711" s="4">
        <f>IF(E3711=0,"",F3711/E3711-1)</f>
        <v/>
      </c>
      <c r="I3711" t="inlineStr"/>
    </row>
    <row r="3712">
      <c r="A3712" t="inlineStr">
        <is>
          <t>Textiles &amp; apparel</t>
        </is>
      </c>
      <c r="B3712" t="inlineStr">
        <is>
          <t>59</t>
        </is>
      </c>
      <c r="C3712" t="inlineStr">
        <is>
          <t>59100090</t>
        </is>
      </c>
      <c r="D3712" t="inlineStr">
        <is>
          <t>OTHERS-OF-TRNSMSN/CONVYR BLTS/BLTNG OF TXTL MATRL WH/NT IMPRGNTD COTD,COVRD/LAMNTD WTH PLSTCOR RINFRCD WTH MTL/OTHR MATRL</t>
        </is>
      </c>
      <c r="E3712" s="3" t="n">
        <v>0.11</v>
      </c>
      <c r="F3712" s="3" t="n">
        <v>0.06</v>
      </c>
      <c r="G3712" s="3">
        <f>F3712-E3712</f>
        <v/>
      </c>
      <c r="H3712" s="4">
        <f>IF(E3712=0,"",F3712/E3712-1)</f>
        <v/>
      </c>
      <c r="I3712" t="inlineStr"/>
    </row>
    <row r="3713">
      <c r="A3713" t="inlineStr">
        <is>
          <t>Textiles &amp; apparel</t>
        </is>
      </c>
      <c r="B3713" t="inlineStr">
        <is>
          <t>59</t>
        </is>
      </c>
      <c r="C3713" t="inlineStr">
        <is>
          <t>59119039</t>
        </is>
      </c>
      <c r="D3713" t="inlineStr">
        <is>
          <t>KNTD/WOVEN GEO-TECHNICL TXTL-OTHERS</t>
        </is>
      </c>
      <c r="E3713" s="3" t="n">
        <v>0.04</v>
      </c>
      <c r="F3713" s="3" t="n">
        <v>0.06</v>
      </c>
      <c r="G3713" s="3">
        <f>F3713-E3713</f>
        <v/>
      </c>
      <c r="H3713" s="4">
        <f>IF(E3713=0,"",F3713/E3713-1)</f>
        <v/>
      </c>
      <c r="I3713" t="inlineStr"/>
    </row>
    <row r="3714">
      <c r="A3714" t="inlineStr">
        <is>
          <t>Textiles &amp; apparel</t>
        </is>
      </c>
      <c r="B3714" t="inlineStr">
        <is>
          <t>60</t>
        </is>
      </c>
      <c r="C3714" t="inlineStr">
        <is>
          <t>60063300</t>
        </is>
      </c>
      <c r="D3714" t="inlineStr">
        <is>
          <t>OTHR KNITD OR CROCHETD FBRCS OF SYN FIBRESOF DIFFRNT COLR</t>
        </is>
      </c>
      <c r="E3714" s="3" t="n">
        <v>0.02</v>
      </c>
      <c r="F3714" s="3" t="n">
        <v>0.06</v>
      </c>
      <c r="G3714" s="3">
        <f>F3714-E3714</f>
        <v/>
      </c>
      <c r="H3714" s="4">
        <f>IF(E3714=0,"",F3714/E3714-1)</f>
        <v/>
      </c>
      <c r="I3714" t="inlineStr"/>
    </row>
    <row r="3715">
      <c r="A3715" t="inlineStr">
        <is>
          <t>Textiles &amp; apparel</t>
        </is>
      </c>
      <c r="B3715" t="inlineStr">
        <is>
          <t>61</t>
        </is>
      </c>
      <c r="C3715" t="inlineStr">
        <is>
          <t>61034920</t>
        </is>
      </c>
      <c r="D3715" t="inlineStr">
        <is>
          <t>TROUSERS,BIB,SHORTS ETC OF ARTIFICIAL FIBRES</t>
        </is>
      </c>
      <c r="E3715" s="3" t="n">
        <v>0</v>
      </c>
      <c r="F3715" s="3" t="n">
        <v>0.06</v>
      </c>
      <c r="G3715" s="3">
        <f>F3715-E3715</f>
        <v/>
      </c>
      <c r="H3715" s="4">
        <f>IF(E3715=0,"",F3715/E3715-1)</f>
        <v/>
      </c>
      <c r="I3715" t="inlineStr"/>
    </row>
    <row r="3716">
      <c r="A3716" t="inlineStr">
        <is>
          <t>Textiles &amp; apparel</t>
        </is>
      </c>
      <c r="B3716" t="inlineStr">
        <is>
          <t>61</t>
        </is>
      </c>
      <c r="C3716" t="inlineStr">
        <is>
          <t>61061000</t>
        </is>
      </c>
      <c r="D3716" t="inlineStr">
        <is>
          <t>BLOUSE ETC OF COTTON</t>
        </is>
      </c>
      <c r="E3716" s="3" t="n">
        <v>0.25</v>
      </c>
      <c r="F3716" s="3" t="n">
        <v>0.06</v>
      </c>
      <c r="G3716" s="3">
        <f>F3716-E3716</f>
        <v/>
      </c>
      <c r="H3716" s="4">
        <f>IF(E3716=0,"",F3716/E3716-1)</f>
        <v/>
      </c>
      <c r="I3716" t="inlineStr"/>
    </row>
    <row r="3717">
      <c r="A3717" t="inlineStr">
        <is>
          <t>Textiles &amp; apparel</t>
        </is>
      </c>
      <c r="B3717" t="inlineStr">
        <is>
          <t>61</t>
        </is>
      </c>
      <c r="C3717" t="inlineStr">
        <is>
          <t>61124100</t>
        </is>
      </c>
      <c r="D3717" t="inlineStr">
        <is>
          <t>WOMENS/GIRLS SWIMWEAR OF SYNTHTC FBRS</t>
        </is>
      </c>
      <c r="E3717" s="3" t="n">
        <v>0.06</v>
      </c>
      <c r="F3717" s="3" t="n">
        <v>0.06</v>
      </c>
      <c r="G3717" s="3">
        <f>F3717-E3717</f>
        <v/>
      </c>
      <c r="H3717" s="4">
        <f>IF(E3717=0,"",F3717/E3717-1)</f>
        <v/>
      </c>
      <c r="I3717" t="inlineStr"/>
    </row>
    <row r="3718">
      <c r="A3718" t="inlineStr">
        <is>
          <t>Textiles &amp; apparel</t>
        </is>
      </c>
      <c r="B3718" t="inlineStr">
        <is>
          <t>62</t>
        </is>
      </c>
      <c r="C3718" t="inlineStr">
        <is>
          <t>62029090</t>
        </is>
      </c>
      <c r="D3718" t="inlineStr">
        <is>
          <t>OTHERS-OF-OF OTHER TEXTILE MATERIALS</t>
        </is>
      </c>
      <c r="E3718" s="3" t="n">
        <v>0</v>
      </c>
      <c r="F3718" s="3" t="n">
        <v>0.06</v>
      </c>
      <c r="G3718" s="3">
        <f>F3718-E3718</f>
        <v/>
      </c>
      <c r="H3718" s="4">
        <f>IF(E3718=0,"",F3718/E3718-1)</f>
        <v/>
      </c>
      <c r="I3718" t="inlineStr"/>
    </row>
    <row r="3719">
      <c r="A3719" t="inlineStr">
        <is>
          <t>Textiles &amp; apparel</t>
        </is>
      </c>
      <c r="B3719" t="inlineStr">
        <is>
          <t>62</t>
        </is>
      </c>
      <c r="C3719" t="inlineStr">
        <is>
          <t>62063010</t>
        </is>
      </c>
      <c r="D3719" t="inlineStr">
        <is>
          <t>HANDLOOM</t>
        </is>
      </c>
      <c r="E3719" s="3" t="n">
        <v>0</v>
      </c>
      <c r="F3719" s="3" t="n">
        <v>0.06</v>
      </c>
      <c r="G3719" s="3">
        <f>F3719-E3719</f>
        <v/>
      </c>
      <c r="H3719" s="4">
        <f>IF(E3719=0,"",F3719/E3719-1)</f>
        <v/>
      </c>
      <c r="I3719" t="inlineStr"/>
    </row>
    <row r="3720">
      <c r="A3720" t="inlineStr">
        <is>
          <t>Textiles &amp; apparel</t>
        </is>
      </c>
      <c r="B3720" t="inlineStr">
        <is>
          <t>62</t>
        </is>
      </c>
      <c r="C3720" t="inlineStr">
        <is>
          <t>62071990</t>
        </is>
      </c>
      <c r="D3720" t="inlineStr">
        <is>
          <t>UNDERPANTS AND BRIEFS OF OTHER FIBRES</t>
        </is>
      </c>
      <c r="E3720" s="3" t="n">
        <v>0.33</v>
      </c>
      <c r="F3720" s="3" t="n">
        <v>0.06</v>
      </c>
      <c r="G3720" s="3">
        <f>F3720-E3720</f>
        <v/>
      </c>
      <c r="H3720" s="4">
        <f>IF(E3720=0,"",F3720/E3720-1)</f>
        <v/>
      </c>
      <c r="I3720" t="inlineStr"/>
    </row>
    <row r="3721">
      <c r="A3721" t="inlineStr">
        <is>
          <t>Textiles &amp; apparel</t>
        </is>
      </c>
      <c r="B3721" t="inlineStr">
        <is>
          <t>62</t>
        </is>
      </c>
      <c r="C3721" t="inlineStr">
        <is>
          <t>62072200</t>
        </is>
      </c>
      <c r="D3721" t="inlineStr">
        <is>
          <t>NIGHTSHRTS AND PYJMS OF MAN-MADE FIBRES</t>
        </is>
      </c>
      <c r="E3721" s="3" t="n">
        <v>0.16</v>
      </c>
      <c r="F3721" s="3" t="n">
        <v>0.06</v>
      </c>
      <c r="G3721" s="3">
        <f>F3721-E3721</f>
        <v/>
      </c>
      <c r="H3721" s="4">
        <f>IF(E3721=0,"",F3721/E3721-1)</f>
        <v/>
      </c>
      <c r="I3721" t="inlineStr"/>
    </row>
    <row r="3722">
      <c r="A3722" t="inlineStr">
        <is>
          <t>Textiles &amp; apparel</t>
        </is>
      </c>
      <c r="B3722" t="inlineStr">
        <is>
          <t>62</t>
        </is>
      </c>
      <c r="C3722" t="inlineStr">
        <is>
          <t>62114211</t>
        </is>
      </c>
      <c r="D3722" t="inlineStr">
        <is>
          <t>KURTA AND SALWAR WTH/WTHOUT DUPTA OF COTN - EMBROIDERED WITH LUCKNOW CHIKAN CRAFT</t>
        </is>
      </c>
      <c r="E3722" s="3" t="n">
        <v>0</v>
      </c>
      <c r="F3722" s="3" t="n">
        <v>0.06</v>
      </c>
      <c r="G3722" s="3">
        <f>F3722-E3722</f>
        <v/>
      </c>
      <c r="H3722" s="4">
        <f>IF(E3722=0,"",F3722/E3722-1)</f>
        <v/>
      </c>
      <c r="I3722" t="inlineStr"/>
    </row>
    <row r="3723">
      <c r="A3723" t="inlineStr">
        <is>
          <t>Textiles &amp; apparel</t>
        </is>
      </c>
      <c r="B3723" t="inlineStr">
        <is>
          <t>52</t>
        </is>
      </c>
      <c r="C3723" t="inlineStr">
        <is>
          <t>52083180</t>
        </is>
      </c>
      <c r="D3723" t="inlineStr">
        <is>
          <t>VOILS ( EXCLD LEMO FABRICS )</t>
        </is>
      </c>
      <c r="E3723" s="3" t="n">
        <v>0</v>
      </c>
      <c r="F3723" s="3" t="n">
        <v>0.05</v>
      </c>
      <c r="G3723" s="3">
        <f>F3723-E3723</f>
        <v/>
      </c>
      <c r="H3723" s="4">
        <f>IF(E3723=0,"",F3723/E3723-1)</f>
        <v/>
      </c>
      <c r="I3723" t="inlineStr"/>
    </row>
    <row r="3724">
      <c r="A3724" t="inlineStr">
        <is>
          <t>Textiles &amp; apparel</t>
        </is>
      </c>
      <c r="B3724" t="inlineStr">
        <is>
          <t>52</t>
        </is>
      </c>
      <c r="C3724" t="inlineStr">
        <is>
          <t>52083310</t>
        </is>
      </c>
      <c r="D3724" t="inlineStr">
        <is>
          <t>SHIRTING FABRICS</t>
        </is>
      </c>
      <c r="E3724" s="3" t="n">
        <v>0.03</v>
      </c>
      <c r="F3724" s="3" t="n">
        <v>0.05</v>
      </c>
      <c r="G3724" s="3">
        <f>F3724-E3724</f>
        <v/>
      </c>
      <c r="H3724" s="4">
        <f>IF(E3724=0,"",F3724/E3724-1)</f>
        <v/>
      </c>
      <c r="I3724" t="inlineStr"/>
    </row>
    <row r="3725">
      <c r="A3725" t="inlineStr">
        <is>
          <t>Textiles &amp; apparel</t>
        </is>
      </c>
      <c r="B3725" t="inlineStr">
        <is>
          <t>52</t>
        </is>
      </c>
      <c r="C3725" t="inlineStr">
        <is>
          <t>52084290</t>
        </is>
      </c>
      <c r="D3725" t="inlineStr">
        <is>
          <t>OTHERS-OF-COTN FABRICS CONTNG &gt;=85% BY WT OF COTN PLAIN WEAVE, WEIGHING MORE THAN 100 GMPER SQM OF YARN OF DIFFERENT COLOURS</t>
        </is>
      </c>
      <c r="E3725" s="3" t="n">
        <v>0.11</v>
      </c>
      <c r="F3725" s="3" t="n">
        <v>0.05</v>
      </c>
      <c r="G3725" s="3">
        <f>F3725-E3725</f>
        <v/>
      </c>
      <c r="H3725" s="4">
        <f>IF(E3725=0,"",F3725/E3725-1)</f>
        <v/>
      </c>
      <c r="I3725" t="inlineStr"/>
    </row>
    <row r="3726">
      <c r="A3726" t="inlineStr">
        <is>
          <t>Textiles &amp; apparel</t>
        </is>
      </c>
      <c r="B3726" t="inlineStr">
        <is>
          <t>52</t>
        </is>
      </c>
      <c r="C3726" t="inlineStr">
        <is>
          <t>52104170</t>
        </is>
      </c>
      <c r="D3726" t="inlineStr">
        <is>
          <t>VOILS</t>
        </is>
      </c>
      <c r="E3726" s="3" t="n">
        <v>0.26</v>
      </c>
      <c r="F3726" s="3" t="n">
        <v>0.05</v>
      </c>
      <c r="G3726" s="3">
        <f>F3726-E3726</f>
        <v/>
      </c>
      <c r="H3726" s="4">
        <f>IF(E3726=0,"",F3726/E3726-1)</f>
        <v/>
      </c>
      <c r="I3726" t="inlineStr"/>
    </row>
    <row r="3727">
      <c r="A3727" t="inlineStr">
        <is>
          <t>Textiles &amp; apparel</t>
        </is>
      </c>
      <c r="B3727" t="inlineStr">
        <is>
          <t>55</t>
        </is>
      </c>
      <c r="C3727" t="inlineStr">
        <is>
          <t>55132900</t>
        </is>
      </c>
      <c r="D3727" t="inlineStr">
        <is>
          <t>WOVN FBRCS OF OTHR SYNTHTC STPL FBRS,DYED</t>
        </is>
      </c>
      <c r="E3727" s="3" t="n">
        <v>0.12</v>
      </c>
      <c r="F3727" s="3" t="n">
        <v>0.05</v>
      </c>
      <c r="G3727" s="3">
        <f>F3727-E3727</f>
        <v/>
      </c>
      <c r="H3727" s="4">
        <f>IF(E3727=0,"",F3727/E3727-1)</f>
        <v/>
      </c>
      <c r="I3727" t="inlineStr"/>
    </row>
    <row r="3728">
      <c r="A3728" t="inlineStr">
        <is>
          <t>Textiles &amp; apparel</t>
        </is>
      </c>
      <c r="B3728" t="inlineStr">
        <is>
          <t>59</t>
        </is>
      </c>
      <c r="C3728" t="inlineStr">
        <is>
          <t>59069990</t>
        </is>
      </c>
      <c r="D3728" t="inlineStr">
        <is>
          <t>RUBBERISED TEXTILE FABRICS OF OTHER MATRLSEXCPT RUBBERISED KNITTED/CROCHETED GOODS</t>
        </is>
      </c>
      <c r="E3728" s="3" t="n">
        <v>0</v>
      </c>
      <c r="F3728" s="3" t="n">
        <v>0.05</v>
      </c>
      <c r="G3728" s="3">
        <f>F3728-E3728</f>
        <v/>
      </c>
      <c r="H3728" s="4">
        <f>IF(E3728=0,"",F3728/E3728-1)</f>
        <v/>
      </c>
      <c r="I3728" t="inlineStr"/>
    </row>
    <row r="3729">
      <c r="A3729" t="inlineStr">
        <is>
          <t>Textiles &amp; apparel</t>
        </is>
      </c>
      <c r="B3729" t="inlineStr">
        <is>
          <t>59</t>
        </is>
      </c>
      <c r="C3729" t="inlineStr">
        <is>
          <t>59119020</t>
        </is>
      </c>
      <c r="D3729" t="inlineStr">
        <is>
          <t>GASKETS WASHERS POLISHING DISCS AND OTHR MACHINERY PARTS OF TEXTILE ARTICLES</t>
        </is>
      </c>
      <c r="E3729" s="3" t="n">
        <v>0.06</v>
      </c>
      <c r="F3729" s="3" t="n">
        <v>0.05</v>
      </c>
      <c r="G3729" s="3">
        <f>F3729-E3729</f>
        <v/>
      </c>
      <c r="H3729" s="4">
        <f>IF(E3729=0,"",F3729/E3729-1)</f>
        <v/>
      </c>
      <c r="I3729" t="inlineStr"/>
    </row>
    <row r="3730">
      <c r="A3730" t="inlineStr">
        <is>
          <t>Textiles &amp; apparel</t>
        </is>
      </c>
      <c r="B3730" t="inlineStr">
        <is>
          <t>61</t>
        </is>
      </c>
      <c r="C3730" t="inlineStr">
        <is>
          <t>61031090</t>
        </is>
      </c>
      <c r="D3730" t="inlineStr">
        <is>
          <t>SUITS OF WOOL/FINE ANIMAL HAIR</t>
        </is>
      </c>
      <c r="E3730" s="3" t="n">
        <v>0.43</v>
      </c>
      <c r="F3730" s="3" t="n">
        <v>0.05</v>
      </c>
      <c r="G3730" s="3">
        <f>F3730-E3730</f>
        <v/>
      </c>
      <c r="H3730" s="4">
        <f>IF(E3730=0,"",F3730/E3730-1)</f>
        <v/>
      </c>
      <c r="I3730" t="inlineStr"/>
    </row>
    <row r="3731">
      <c r="A3731" t="inlineStr">
        <is>
          <t>Textiles &amp; apparel</t>
        </is>
      </c>
      <c r="B3731" t="inlineStr">
        <is>
          <t>61</t>
        </is>
      </c>
      <c r="C3731" t="inlineStr">
        <is>
          <t>61034910</t>
        </is>
      </c>
      <c r="D3731" t="inlineStr">
        <is>
          <t>TROUSERS,BIB,SHORTS ETC OF SILK</t>
        </is>
      </c>
      <c r="E3731" s="3" t="n">
        <v>0</v>
      </c>
      <c r="F3731" s="3" t="n">
        <v>0.05</v>
      </c>
      <c r="G3731" s="3">
        <f>F3731-E3731</f>
        <v/>
      </c>
      <c r="H3731" s="4">
        <f>IF(E3731=0,"",F3731/E3731-1)</f>
        <v/>
      </c>
      <c r="I3731" t="inlineStr"/>
    </row>
    <row r="3732">
      <c r="A3732" t="inlineStr">
        <is>
          <t>Textiles &amp; apparel</t>
        </is>
      </c>
      <c r="B3732" t="inlineStr">
        <is>
          <t>61</t>
        </is>
      </c>
      <c r="C3732" t="inlineStr">
        <is>
          <t>61045990</t>
        </is>
      </c>
      <c r="D3732" t="inlineStr">
        <is>
          <t>SKIRTS OF OTHER FIBRES</t>
        </is>
      </c>
      <c r="E3732" s="3" t="n">
        <v>0.08</v>
      </c>
      <c r="F3732" s="3" t="n">
        <v>0.05</v>
      </c>
      <c r="G3732" s="3">
        <f>F3732-E3732</f>
        <v/>
      </c>
      <c r="H3732" s="4">
        <f>IF(E3732=0,"",F3732/E3732-1)</f>
        <v/>
      </c>
      <c r="I3732" t="inlineStr"/>
    </row>
    <row r="3733">
      <c r="A3733" t="inlineStr">
        <is>
          <t>Textiles &amp; apparel</t>
        </is>
      </c>
      <c r="B3733" t="inlineStr">
        <is>
          <t>62</t>
        </is>
      </c>
      <c r="C3733" t="inlineStr">
        <is>
          <t>62034100</t>
        </is>
      </c>
      <c r="D3733" t="inlineStr">
        <is>
          <t>TROUSERS,BIB AND BRACE OVERALLS BREECHES AND SHORTS OF WOOL/FINE ANML HAIR,MENS/BOYS</t>
        </is>
      </c>
      <c r="E3733" s="3" t="n">
        <v>0</v>
      </c>
      <c r="F3733" s="3" t="n">
        <v>0.05</v>
      </c>
      <c r="G3733" s="3">
        <f>F3733-E3733</f>
        <v/>
      </c>
      <c r="H3733" s="4">
        <f>IF(E3733=0,"",F3733/E3733-1)</f>
        <v/>
      </c>
      <c r="I3733" t="inlineStr"/>
    </row>
    <row r="3734">
      <c r="A3734" t="inlineStr">
        <is>
          <t>Textiles &amp; apparel</t>
        </is>
      </c>
      <c r="B3734" t="inlineStr">
        <is>
          <t>62</t>
        </is>
      </c>
      <c r="C3734" t="inlineStr">
        <is>
          <t>62044220</t>
        </is>
      </c>
      <c r="D3734" t="inlineStr">
        <is>
          <t>DRESSES OF COTTON</t>
        </is>
      </c>
      <c r="E3734" s="3" t="n">
        <v>0.12</v>
      </c>
      <c r="F3734" s="3" t="n">
        <v>0.05</v>
      </c>
      <c r="G3734" s="3">
        <f>F3734-E3734</f>
        <v/>
      </c>
      <c r="H3734" s="4">
        <f>IF(E3734=0,"",F3734/E3734-1)</f>
        <v/>
      </c>
      <c r="I3734" t="inlineStr"/>
    </row>
    <row r="3735">
      <c r="A3735" t="inlineStr">
        <is>
          <t>Textiles &amp; apparel</t>
        </is>
      </c>
      <c r="B3735" t="inlineStr">
        <is>
          <t>62</t>
        </is>
      </c>
      <c r="C3735" t="inlineStr">
        <is>
          <t>62044490</t>
        </is>
      </c>
      <c r="D3735" t="inlineStr">
        <is>
          <t>DRESSES OF ARTIFICIAL FIBRES - OTHER</t>
        </is>
      </c>
      <c r="E3735" s="3" t="n">
        <v>0.49</v>
      </c>
      <c r="F3735" s="3" t="n">
        <v>0.05</v>
      </c>
      <c r="G3735" s="3">
        <f>F3735-E3735</f>
        <v/>
      </c>
      <c r="H3735" s="4">
        <f>IF(E3735=0,"",F3735/E3735-1)</f>
        <v/>
      </c>
      <c r="I3735" t="inlineStr"/>
    </row>
    <row r="3736">
      <c r="A3736" t="inlineStr">
        <is>
          <t>Textiles &amp; apparel</t>
        </is>
      </c>
      <c r="B3736" t="inlineStr">
        <is>
          <t>62</t>
        </is>
      </c>
      <c r="C3736" t="inlineStr">
        <is>
          <t>62081910</t>
        </is>
      </c>
      <c r="D3736" t="inlineStr">
        <is>
          <t>SLIPS AND PETICOTS OF COTN OTHR THN HND PRNT</t>
        </is>
      </c>
      <c r="E3736" s="3" t="n">
        <v>0.03</v>
      </c>
      <c r="F3736" s="3" t="n">
        <v>0.05</v>
      </c>
      <c r="G3736" s="3">
        <f>F3736-E3736</f>
        <v/>
      </c>
      <c r="H3736" s="4">
        <f>IF(E3736=0,"",F3736/E3736-1)</f>
        <v/>
      </c>
      <c r="I3736" t="inlineStr"/>
    </row>
    <row r="3737">
      <c r="A3737" t="inlineStr">
        <is>
          <t>Textiles &amp; apparel</t>
        </is>
      </c>
      <c r="B3737" t="inlineStr">
        <is>
          <t>62</t>
        </is>
      </c>
      <c r="C3737" t="inlineStr">
        <is>
          <t>62089290</t>
        </is>
      </c>
      <c r="D3737" t="inlineStr">
        <is>
          <t>GRMNTS OTHR THN DRESSING GOWNS AND BATHROBES OF MAN-MADE FIBRES</t>
        </is>
      </c>
      <c r="E3737" s="3" t="n">
        <v>0</v>
      </c>
      <c r="F3737" s="3" t="n">
        <v>0.05</v>
      </c>
      <c r="G3737" s="3">
        <f>F3737-E3737</f>
        <v/>
      </c>
      <c r="H3737" s="4">
        <f>IF(E3737=0,"",F3737/E3737-1)</f>
        <v/>
      </c>
      <c r="I3737" t="inlineStr"/>
    </row>
    <row r="3738">
      <c r="A3738" t="inlineStr">
        <is>
          <t>Textiles &amp; apparel</t>
        </is>
      </c>
      <c r="B3738" t="inlineStr">
        <is>
          <t>62</t>
        </is>
      </c>
      <c r="C3738" t="inlineStr">
        <is>
          <t>62144090</t>
        </is>
      </c>
      <c r="D3738" t="inlineStr">
        <is>
          <t>SHWLS SCRVS,MUFFLRS ETC OF ARTIFICIAL FBRS - OTHER</t>
        </is>
      </c>
      <c r="E3738" s="3" t="n">
        <v>0.23</v>
      </c>
      <c r="F3738" s="3" t="n">
        <v>0.05</v>
      </c>
      <c r="G3738" s="3">
        <f>F3738-E3738</f>
        <v/>
      </c>
      <c r="H3738" s="4">
        <f>IF(E3738=0,"",F3738/E3738-1)</f>
        <v/>
      </c>
      <c r="I3738" t="inlineStr"/>
    </row>
    <row r="3739">
      <c r="A3739" t="inlineStr">
        <is>
          <t>Textiles &amp; apparel</t>
        </is>
      </c>
      <c r="B3739" t="inlineStr">
        <is>
          <t>52</t>
        </is>
      </c>
      <c r="C3739" t="inlineStr">
        <is>
          <t>52083121</t>
        </is>
      </c>
      <c r="D3739" t="inlineStr">
        <is>
          <t>Sarees, of Handloom</t>
        </is>
      </c>
      <c r="E3739" s="3" t="n">
        <v>0.02</v>
      </c>
      <c r="F3739" s="3" t="n">
        <v>0.04</v>
      </c>
      <c r="G3739" s="3">
        <f>F3739-E3739</f>
        <v/>
      </c>
      <c r="H3739" s="4">
        <f>IF(E3739=0,"",F3739/E3739-1)</f>
        <v/>
      </c>
      <c r="I3739" t="inlineStr"/>
    </row>
    <row r="3740">
      <c r="A3740" t="inlineStr">
        <is>
          <t>Textiles &amp; apparel</t>
        </is>
      </c>
      <c r="B3740" t="inlineStr">
        <is>
          <t>52</t>
        </is>
      </c>
      <c r="C3740" t="inlineStr">
        <is>
          <t>52093190</t>
        </is>
      </c>
      <c r="D3740" t="inlineStr">
        <is>
          <t>OTHERS-OF-DYED PLAIN WEAVE COTTON FABRICS WEGHNGMORE THAN 200 GM PER SQM</t>
        </is>
      </c>
      <c r="E3740" s="3" t="n">
        <v>0.02</v>
      </c>
      <c r="F3740" s="3" t="n">
        <v>0.04</v>
      </c>
      <c r="G3740" s="3">
        <f>F3740-E3740</f>
        <v/>
      </c>
      <c r="H3740" s="4">
        <f>IF(E3740=0,"",F3740/E3740-1)</f>
        <v/>
      </c>
      <c r="I3740" t="inlineStr"/>
    </row>
    <row r="3741">
      <c r="A3741" t="inlineStr">
        <is>
          <t>Textiles &amp; apparel</t>
        </is>
      </c>
      <c r="B3741" t="inlineStr">
        <is>
          <t>52</t>
        </is>
      </c>
      <c r="C3741" t="inlineStr">
        <is>
          <t>52101120</t>
        </is>
      </c>
      <c r="D3741" t="inlineStr">
        <is>
          <t>SAREE</t>
        </is>
      </c>
      <c r="E3741" s="3" t="n">
        <v>0.22</v>
      </c>
      <c r="F3741" s="3" t="n">
        <v>0.04</v>
      </c>
      <c r="G3741" s="3">
        <f>F3741-E3741</f>
        <v/>
      </c>
      <c r="H3741" s="4">
        <f>IF(E3741=0,"",F3741/E3741-1)</f>
        <v/>
      </c>
      <c r="I3741" t="inlineStr"/>
    </row>
    <row r="3742">
      <c r="A3742" t="inlineStr">
        <is>
          <t>Textiles &amp; apparel</t>
        </is>
      </c>
      <c r="B3742" t="inlineStr">
        <is>
          <t>54</t>
        </is>
      </c>
      <c r="C3742" t="inlineStr">
        <is>
          <t>54082290</t>
        </is>
      </c>
      <c r="D3742" t="inlineStr">
        <is>
          <t>OTHR DYED FBRCS</t>
        </is>
      </c>
      <c r="E3742" s="3" t="n">
        <v>0</v>
      </c>
      <c r="F3742" s="3" t="n">
        <v>0.04</v>
      </c>
      <c r="G3742" s="3">
        <f>F3742-E3742</f>
        <v/>
      </c>
      <c r="H3742" s="4">
        <f>IF(E3742=0,"",F3742/E3742-1)</f>
        <v/>
      </c>
      <c r="I3742" t="inlineStr"/>
    </row>
    <row r="3743">
      <c r="A3743" t="inlineStr">
        <is>
          <t>Textiles &amp; apparel</t>
        </is>
      </c>
      <c r="B3743" t="inlineStr">
        <is>
          <t>55</t>
        </is>
      </c>
      <c r="C3743" t="inlineStr">
        <is>
          <t>55151290</t>
        </is>
      </c>
      <c r="D3743" t="inlineStr">
        <is>
          <t>FBRC OF POLSTR,MXD WTH MAN-MADE FILMNT , OTHR</t>
        </is>
      </c>
      <c r="E3743" s="3" t="n">
        <v>0</v>
      </c>
      <c r="F3743" s="3" t="n">
        <v>0.04</v>
      </c>
      <c r="G3743" s="3">
        <f>F3743-E3743</f>
        <v/>
      </c>
      <c r="H3743" s="4">
        <f>IF(E3743=0,"",F3743/E3743-1)</f>
        <v/>
      </c>
      <c r="I3743" t="inlineStr"/>
    </row>
    <row r="3744">
      <c r="A3744" t="inlineStr">
        <is>
          <t>Textiles &amp; apparel</t>
        </is>
      </c>
      <c r="B3744" t="inlineStr">
        <is>
          <t>56</t>
        </is>
      </c>
      <c r="C3744" t="inlineStr">
        <is>
          <t>56012900</t>
        </is>
      </c>
      <c r="D3744" t="inlineStr">
        <is>
          <t>WADDING AND ARTCLS OF WADDING NES</t>
        </is>
      </c>
      <c r="E3744" s="3" t="n">
        <v>0</v>
      </c>
      <c r="F3744" s="3" t="n">
        <v>0.04</v>
      </c>
      <c r="G3744" s="3">
        <f>F3744-E3744</f>
        <v/>
      </c>
      <c r="H3744" s="4">
        <f>IF(E3744=0,"",F3744/E3744-1)</f>
        <v/>
      </c>
      <c r="I3744" t="inlineStr"/>
    </row>
    <row r="3745">
      <c r="A3745" t="inlineStr">
        <is>
          <t>Textiles &amp; apparel</t>
        </is>
      </c>
      <c r="B3745" t="inlineStr">
        <is>
          <t>56</t>
        </is>
      </c>
      <c r="C3745" t="inlineStr">
        <is>
          <t>56021000</t>
        </is>
      </c>
      <c r="D3745" t="inlineStr">
        <is>
          <t>NEEDLELOOM FELT AND STITCH-BONDED FIBR FBRCS</t>
        </is>
      </c>
      <c r="E3745" s="3" t="n">
        <v>0</v>
      </c>
      <c r="F3745" s="3" t="n">
        <v>0.04</v>
      </c>
      <c r="G3745" s="3">
        <f>F3745-E3745</f>
        <v/>
      </c>
      <c r="H3745" s="4">
        <f>IF(E3745=0,"",F3745/E3745-1)</f>
        <v/>
      </c>
      <c r="I3745" t="inlineStr"/>
    </row>
    <row r="3746">
      <c r="A3746" t="inlineStr">
        <is>
          <t>Textiles &amp; apparel</t>
        </is>
      </c>
      <c r="B3746" t="inlineStr">
        <is>
          <t>56</t>
        </is>
      </c>
      <c r="C3746" t="inlineStr">
        <is>
          <t>56074100</t>
        </is>
      </c>
      <c r="D3746" t="inlineStr">
        <is>
          <t>BINDR/BALR TWNE OF POLYETHLN/POLYPROPYLN</t>
        </is>
      </c>
      <c r="E3746" s="3" t="n">
        <v>0.16</v>
      </c>
      <c r="F3746" s="3" t="n">
        <v>0.04</v>
      </c>
      <c r="G3746" s="3">
        <f>F3746-E3746</f>
        <v/>
      </c>
      <c r="H3746" s="4">
        <f>IF(E3746=0,"",F3746/E3746-1)</f>
        <v/>
      </c>
      <c r="I3746" t="inlineStr"/>
    </row>
    <row r="3747">
      <c r="A3747" t="inlineStr">
        <is>
          <t>Textiles &amp; apparel</t>
        </is>
      </c>
      <c r="B3747" t="inlineStr">
        <is>
          <t>57</t>
        </is>
      </c>
      <c r="C3747" t="inlineStr">
        <is>
          <t>57033100</t>
        </is>
      </c>
      <c r="D3747" t="inlineStr">
        <is>
          <t>TURF OF OTHER MAN-MADE TEXTILE MATERIALS:</t>
        </is>
      </c>
      <c r="E3747" s="3" t="n">
        <v>0</v>
      </c>
      <c r="F3747" s="3" t="n">
        <v>0.04</v>
      </c>
      <c r="G3747" s="3">
        <f>F3747-E3747</f>
        <v/>
      </c>
      <c r="H3747" s="4">
        <f>IF(E3747=0,"",F3747/E3747-1)</f>
        <v/>
      </c>
      <c r="I3747" t="inlineStr"/>
    </row>
    <row r="3748">
      <c r="A3748" t="inlineStr">
        <is>
          <t>Textiles &amp; apparel</t>
        </is>
      </c>
      <c r="B3748" t="inlineStr">
        <is>
          <t>57</t>
        </is>
      </c>
      <c r="C3748" t="inlineStr">
        <is>
          <t>57050019</t>
        </is>
      </c>
      <c r="D3748" t="inlineStr">
        <is>
          <t>CARPETS OTHR THAN SILK</t>
        </is>
      </c>
      <c r="E3748" s="3" t="n">
        <v>0.01</v>
      </c>
      <c r="F3748" s="3" t="n">
        <v>0.04</v>
      </c>
      <c r="G3748" s="3">
        <f>F3748-E3748</f>
        <v/>
      </c>
      <c r="H3748" s="4">
        <f>IF(E3748=0,"",F3748/E3748-1)</f>
        <v/>
      </c>
      <c r="I3748" t="inlineStr"/>
    </row>
    <row r="3749">
      <c r="A3749" t="inlineStr">
        <is>
          <t>Textiles &amp; apparel</t>
        </is>
      </c>
      <c r="B3749" t="inlineStr">
        <is>
          <t>58</t>
        </is>
      </c>
      <c r="C3749" t="inlineStr">
        <is>
          <t>58013690</t>
        </is>
      </c>
      <c r="D3749" t="inlineStr">
        <is>
          <t>OTHERS-OF-CHENILLE FBRCS OF MAN-MADE FIBRES</t>
        </is>
      </c>
      <c r="E3749" s="3" t="n">
        <v>0</v>
      </c>
      <c r="F3749" s="3" t="n">
        <v>0.04</v>
      </c>
      <c r="G3749" s="3">
        <f>F3749-E3749</f>
        <v/>
      </c>
      <c r="H3749" s="4">
        <f>IF(E3749=0,"",F3749/E3749-1)</f>
        <v/>
      </c>
      <c r="I3749" t="inlineStr"/>
    </row>
    <row r="3750">
      <c r="A3750" t="inlineStr">
        <is>
          <t>Textiles &amp; apparel</t>
        </is>
      </c>
      <c r="B3750" t="inlineStr">
        <is>
          <t>59</t>
        </is>
      </c>
      <c r="C3750" t="inlineStr">
        <is>
          <t>59011020</t>
        </is>
      </c>
      <c r="D3750" t="inlineStr">
        <is>
          <t>PREPARED PAINTING CANVAS</t>
        </is>
      </c>
      <c r="E3750" s="3" t="n">
        <v>0</v>
      </c>
      <c r="F3750" s="3" t="n">
        <v>0.04</v>
      </c>
      <c r="G3750" s="3">
        <f>F3750-E3750</f>
        <v/>
      </c>
      <c r="H3750" s="4">
        <f>IF(E3750=0,"",F3750/E3750-1)</f>
        <v/>
      </c>
      <c r="I3750" t="inlineStr"/>
    </row>
    <row r="3751">
      <c r="A3751" t="inlineStr">
        <is>
          <t>Textiles &amp; apparel</t>
        </is>
      </c>
      <c r="B3751" t="inlineStr">
        <is>
          <t>59</t>
        </is>
      </c>
      <c r="C3751" t="inlineStr">
        <is>
          <t>59070099</t>
        </is>
      </c>
      <c r="D3751" t="inlineStr">
        <is>
          <t>OTHR TXTL FBRCS NES</t>
        </is>
      </c>
      <c r="E3751" s="3" t="n">
        <v>0.16</v>
      </c>
      <c r="F3751" s="3" t="n">
        <v>0.04</v>
      </c>
      <c r="G3751" s="3">
        <f>F3751-E3751</f>
        <v/>
      </c>
      <c r="H3751" s="4">
        <f>IF(E3751=0,"",F3751/E3751-1)</f>
        <v/>
      </c>
      <c r="I3751" t="inlineStr"/>
    </row>
    <row r="3752">
      <c r="A3752" t="inlineStr">
        <is>
          <t>Textiles &amp; apparel</t>
        </is>
      </c>
      <c r="B3752" t="inlineStr">
        <is>
          <t>61</t>
        </is>
      </c>
      <c r="C3752" t="inlineStr">
        <is>
          <t>61042200</t>
        </is>
      </c>
      <c r="D3752" t="inlineStr">
        <is>
          <t>ENSEMBLES OF COTTON</t>
        </is>
      </c>
      <c r="E3752" s="3" t="n">
        <v>0.09</v>
      </c>
      <c r="F3752" s="3" t="n">
        <v>0.04</v>
      </c>
      <c r="G3752" s="3">
        <f>F3752-E3752</f>
        <v/>
      </c>
      <c r="H3752" s="4">
        <f>IF(E3752=0,"",F3752/E3752-1)</f>
        <v/>
      </c>
      <c r="I3752" t="inlineStr"/>
    </row>
    <row r="3753">
      <c r="A3753" t="inlineStr">
        <is>
          <t>Textiles &amp; apparel</t>
        </is>
      </c>
      <c r="B3753" t="inlineStr">
        <is>
          <t>61</t>
        </is>
      </c>
      <c r="C3753" t="inlineStr">
        <is>
          <t>61062010</t>
        </is>
      </c>
      <c r="D3753" t="inlineStr">
        <is>
          <t>BLOUSE ETC OF SYNTHETIC FIBRES</t>
        </is>
      </c>
      <c r="E3753" s="3" t="n">
        <v>0.03</v>
      </c>
      <c r="F3753" s="3" t="n">
        <v>0.04</v>
      </c>
      <c r="G3753" s="3">
        <f>F3753-E3753</f>
        <v/>
      </c>
      <c r="H3753" s="4">
        <f>IF(E3753=0,"",F3753/E3753-1)</f>
        <v/>
      </c>
      <c r="I3753" t="inlineStr"/>
    </row>
    <row r="3754">
      <c r="A3754" t="inlineStr">
        <is>
          <t>Textiles &amp; apparel</t>
        </is>
      </c>
      <c r="B3754" t="inlineStr">
        <is>
          <t>62</t>
        </is>
      </c>
      <c r="C3754" t="inlineStr">
        <is>
          <t>62111200</t>
        </is>
      </c>
      <c r="D3754" t="inlineStr">
        <is>
          <t>SWIMWEAR FOR WOMENS OR GIRLS</t>
        </is>
      </c>
      <c r="E3754" s="3" t="n">
        <v>0</v>
      </c>
      <c r="F3754" s="3" t="n">
        <v>0.04</v>
      </c>
      <c r="G3754" s="3">
        <f>F3754-E3754</f>
        <v/>
      </c>
      <c r="H3754" s="4">
        <f>IF(E3754=0,"",F3754/E3754-1)</f>
        <v/>
      </c>
      <c r="I3754" t="inlineStr"/>
    </row>
    <row r="3755">
      <c r="A3755" t="inlineStr">
        <is>
          <t>Textiles &amp; apparel</t>
        </is>
      </c>
      <c r="B3755" t="inlineStr">
        <is>
          <t>62</t>
        </is>
      </c>
      <c r="C3755" t="inlineStr">
        <is>
          <t>62152000</t>
        </is>
      </c>
      <c r="D3755" t="inlineStr">
        <is>
          <t>TIES,BOW TIES AND CRAVATS OF MAN-MADE FIBRES</t>
        </is>
      </c>
      <c r="E3755" s="3" t="n">
        <v>0.06</v>
      </c>
      <c r="F3755" s="3" t="n">
        <v>0.04</v>
      </c>
      <c r="G3755" s="3">
        <f>F3755-E3755</f>
        <v/>
      </c>
      <c r="H3755" s="4">
        <f>IF(E3755=0,"",F3755/E3755-1)</f>
        <v/>
      </c>
      <c r="I3755" t="inlineStr"/>
    </row>
    <row r="3756">
      <c r="A3756" t="inlineStr">
        <is>
          <t>Textiles &amp; apparel</t>
        </is>
      </c>
      <c r="B3756" t="inlineStr">
        <is>
          <t>62</t>
        </is>
      </c>
      <c r="C3756" t="inlineStr">
        <is>
          <t>62171010</t>
        </is>
      </c>
      <c r="D3756" t="inlineStr">
        <is>
          <t>ACCESSORIES FOR ARTCLS OF APPAREL OF COTN</t>
        </is>
      </c>
      <c r="E3756" s="3" t="n">
        <v>0.06</v>
      </c>
      <c r="F3756" s="3" t="n">
        <v>0.04</v>
      </c>
      <c r="G3756" s="3">
        <f>F3756-E3756</f>
        <v/>
      </c>
      <c r="H3756" s="4">
        <f>IF(E3756=0,"",F3756/E3756-1)</f>
        <v/>
      </c>
      <c r="I3756" t="inlineStr"/>
    </row>
    <row r="3757">
      <c r="A3757" t="inlineStr">
        <is>
          <t>Textiles &amp; apparel</t>
        </is>
      </c>
      <c r="B3757" t="inlineStr">
        <is>
          <t>63</t>
        </is>
      </c>
      <c r="C3757" t="inlineStr">
        <is>
          <t>63029190</t>
        </is>
      </c>
      <c r="D3757" t="inlineStr">
        <is>
          <t>OTHER BED LINEN, TABLE LENEN, TOILET LINEN, KITCHEN LINEN: OF COTTON, OTHER THAN HANDLOOM</t>
        </is>
      </c>
      <c r="E3757" s="3" t="n">
        <v>0.03</v>
      </c>
      <c r="F3757" s="3" t="n">
        <v>0.04</v>
      </c>
      <c r="G3757" s="3">
        <f>F3757-E3757</f>
        <v/>
      </c>
      <c r="H3757" s="4">
        <f>IF(E3757=0,"",F3757/E3757-1)</f>
        <v/>
      </c>
      <c r="I3757" t="inlineStr"/>
    </row>
    <row r="3758">
      <c r="A3758" t="inlineStr">
        <is>
          <t>Textiles &amp; apparel</t>
        </is>
      </c>
      <c r="B3758" t="inlineStr">
        <is>
          <t>63</t>
        </is>
      </c>
      <c r="C3758" t="inlineStr">
        <is>
          <t>63029900</t>
        </is>
      </c>
      <c r="D3758" t="inlineStr">
        <is>
          <t>OTHER LINEN OF FLAX</t>
        </is>
      </c>
      <c r="E3758" s="3" t="n">
        <v>0.08</v>
      </c>
      <c r="F3758" s="3" t="n">
        <v>0.04</v>
      </c>
      <c r="G3758" s="3">
        <f>F3758-E3758</f>
        <v/>
      </c>
      <c r="H3758" s="4">
        <f>IF(E3758=0,"",F3758/E3758-1)</f>
        <v/>
      </c>
      <c r="I3758" t="inlineStr"/>
    </row>
    <row r="3759">
      <c r="A3759" t="inlineStr">
        <is>
          <t>Textiles &amp; apparel</t>
        </is>
      </c>
      <c r="B3759" t="inlineStr">
        <is>
          <t>52</t>
        </is>
      </c>
      <c r="C3759" t="inlineStr">
        <is>
          <t>52051190</t>
        </is>
      </c>
      <c r="D3759" t="inlineStr">
        <is>
          <t>OTHERS-OF-SNGL YRN OF UNCMBD FBRS MEASURNG 714.29 DCTX/MORE(NT EXCDNG 14 MTRC NO)</t>
        </is>
      </c>
      <c r="E3759" s="3" t="n">
        <v>0.03</v>
      </c>
      <c r="F3759" s="3" t="n">
        <v>0.03</v>
      </c>
      <c r="G3759" s="3">
        <f>F3759-E3759</f>
        <v/>
      </c>
      <c r="H3759" s="4">
        <f>IF(E3759=0,"",F3759/E3759-1)</f>
        <v/>
      </c>
      <c r="I3759" t="inlineStr"/>
    </row>
    <row r="3760">
      <c r="A3760" t="inlineStr">
        <is>
          <t>Textiles &amp; apparel</t>
        </is>
      </c>
      <c r="B3760" t="inlineStr">
        <is>
          <t>52</t>
        </is>
      </c>
      <c r="C3760" t="inlineStr">
        <is>
          <t>52051510</t>
        </is>
      </c>
      <c r="D3760" t="inlineStr">
        <is>
          <t>GREY</t>
        </is>
      </c>
      <c r="E3760" s="3" t="n">
        <v>0</v>
      </c>
      <c r="F3760" s="3" t="n">
        <v>0.03</v>
      </c>
      <c r="G3760" s="3">
        <f>F3760-E3760</f>
        <v/>
      </c>
      <c r="H3760" s="4">
        <f>IF(E3760=0,"",F3760/E3760-1)</f>
        <v/>
      </c>
      <c r="I3760" t="inlineStr"/>
    </row>
    <row r="3761">
      <c r="A3761" t="inlineStr">
        <is>
          <t>Textiles &amp; apparel</t>
        </is>
      </c>
      <c r="B3761" t="inlineStr">
        <is>
          <t>52</t>
        </is>
      </c>
      <c r="C3761" t="inlineStr">
        <is>
          <t>52101190</t>
        </is>
      </c>
      <c r="D3761" t="inlineStr">
        <is>
          <t>OTHERS-OF-UNBLEACHED PLAIN WEAVE MXD COTTON FABRICS WEGHING&lt;= 200 G/SM</t>
        </is>
      </c>
      <c r="E3761" s="3" t="n">
        <v>0.02</v>
      </c>
      <c r="F3761" s="3" t="n">
        <v>0.03</v>
      </c>
      <c r="G3761" s="3">
        <f>F3761-E3761</f>
        <v/>
      </c>
      <c r="H3761" s="4">
        <f>IF(E3761=0,"",F3761/E3761-1)</f>
        <v/>
      </c>
      <c r="I3761" t="inlineStr"/>
    </row>
    <row r="3762">
      <c r="A3762" t="inlineStr">
        <is>
          <t>Textiles &amp; apparel</t>
        </is>
      </c>
      <c r="B3762" t="inlineStr">
        <is>
          <t>54</t>
        </is>
      </c>
      <c r="C3762" t="inlineStr">
        <is>
          <t>54041920</t>
        </is>
      </c>
      <c r="D3762" t="inlineStr">
        <is>
          <t>STRIP AND THE LIKE OF SYNTHETIC FIBRE MATERIAL</t>
        </is>
      </c>
      <c r="E3762" s="3" t="n">
        <v>0</v>
      </c>
      <c r="F3762" s="3" t="n">
        <v>0.03</v>
      </c>
      <c r="G3762" s="3">
        <f>F3762-E3762</f>
        <v/>
      </c>
      <c r="H3762" s="4">
        <f>IF(E3762=0,"",F3762/E3762-1)</f>
        <v/>
      </c>
      <c r="I3762" t="inlineStr"/>
    </row>
    <row r="3763">
      <c r="A3763" t="inlineStr">
        <is>
          <t>Textiles &amp; apparel</t>
        </is>
      </c>
      <c r="B3763" t="inlineStr">
        <is>
          <t>54</t>
        </is>
      </c>
      <c r="C3763" t="inlineStr">
        <is>
          <t>54071046</t>
        </is>
      </c>
      <c r="D3763" t="inlineStr">
        <is>
          <t>PRINTED POLYESTER SUITNGS</t>
        </is>
      </c>
      <c r="E3763" s="3" t="n">
        <v>0.23</v>
      </c>
      <c r="F3763" s="3" t="n">
        <v>0.03</v>
      </c>
      <c r="G3763" s="3">
        <f>F3763-E3763</f>
        <v/>
      </c>
      <c r="H3763" s="4">
        <f>IF(E3763=0,"",F3763/E3763-1)</f>
        <v/>
      </c>
      <c r="I3763" t="inlineStr"/>
    </row>
    <row r="3764">
      <c r="A3764" t="inlineStr">
        <is>
          <t>Textiles &amp; apparel</t>
        </is>
      </c>
      <c r="B3764" t="inlineStr">
        <is>
          <t>54</t>
        </is>
      </c>
      <c r="C3764" t="inlineStr">
        <is>
          <t>54078490</t>
        </is>
      </c>
      <c r="D3764" t="inlineStr">
        <is>
          <t>OTHERS-OF-WOVN FBRCS,PRNTD,CONTAINING&lt;85% BY WT OFSYNTHTC FILAMNTS,MIXD MANLY/SOLY WTH COTON</t>
        </is>
      </c>
      <c r="E3764" s="3" t="n">
        <v>0.01</v>
      </c>
      <c r="F3764" s="3" t="n">
        <v>0.03</v>
      </c>
      <c r="G3764" s="3">
        <f>F3764-E3764</f>
        <v/>
      </c>
      <c r="H3764" s="4">
        <f>IF(E3764=0,"",F3764/E3764-1)</f>
        <v/>
      </c>
      <c r="I3764" t="inlineStr"/>
    </row>
    <row r="3765">
      <c r="A3765" t="inlineStr">
        <is>
          <t>Textiles &amp; apparel</t>
        </is>
      </c>
      <c r="B3765" t="inlineStr">
        <is>
          <t>55</t>
        </is>
      </c>
      <c r="C3765" t="inlineStr">
        <is>
          <t>55011100</t>
        </is>
      </c>
      <c r="D3765" t="inlineStr">
        <is>
          <t>OF ARAMIDS(OF NYLON OR OTHER POLYAMIDES:)</t>
        </is>
      </c>
      <c r="E3765" s="3" t="n">
        <v>0</v>
      </c>
      <c r="F3765" s="3" t="n">
        <v>0.03</v>
      </c>
      <c r="G3765" s="3">
        <f>F3765-E3765</f>
        <v/>
      </c>
      <c r="H3765" s="4">
        <f>IF(E3765=0,"",F3765/E3765-1)</f>
        <v/>
      </c>
      <c r="I3765" t="inlineStr"/>
    </row>
    <row r="3766">
      <c r="A3766" t="inlineStr">
        <is>
          <t>Textiles &amp; apparel</t>
        </is>
      </c>
      <c r="B3766" t="inlineStr">
        <is>
          <t>55</t>
        </is>
      </c>
      <c r="C3766" t="inlineStr">
        <is>
          <t>55131110</t>
        </is>
      </c>
      <c r="D3766" t="inlineStr">
        <is>
          <t>UNBLCHD WOVN POLYSTR STPL FBRC,PLAN WEVN</t>
        </is>
      </c>
      <c r="E3766" s="3" t="n">
        <v>0</v>
      </c>
      <c r="F3766" s="3" t="n">
        <v>0.03</v>
      </c>
      <c r="G3766" s="3">
        <f>F3766-E3766</f>
        <v/>
      </c>
      <c r="H3766" s="4">
        <f>IF(E3766=0,"",F3766/E3766-1)</f>
        <v/>
      </c>
      <c r="I3766" t="inlineStr"/>
    </row>
    <row r="3767">
      <c r="A3767" t="inlineStr">
        <is>
          <t>Textiles &amp; apparel</t>
        </is>
      </c>
      <c r="B3767" t="inlineStr">
        <is>
          <t>57</t>
        </is>
      </c>
      <c r="C3767" t="inlineStr">
        <is>
          <t>57019039</t>
        </is>
      </c>
      <c r="D3767" t="inlineStr">
        <is>
          <t>OTHERS-OF-CRPTS AND FLR CVRNGS KNOTTD OF OTR TXTL MTRL</t>
        </is>
      </c>
      <c r="E3767" s="3" t="n">
        <v>0.05</v>
      </c>
      <c r="F3767" s="3" t="n">
        <v>0.03</v>
      </c>
      <c r="G3767" s="3">
        <f>F3767-E3767</f>
        <v/>
      </c>
      <c r="H3767" s="4">
        <f>IF(E3767=0,"",F3767/E3767-1)</f>
        <v/>
      </c>
      <c r="I3767" t="inlineStr"/>
    </row>
    <row r="3768">
      <c r="A3768" t="inlineStr">
        <is>
          <t>Textiles &amp; apparel</t>
        </is>
      </c>
      <c r="B3768" t="inlineStr">
        <is>
          <t>57</t>
        </is>
      </c>
      <c r="C3768" t="inlineStr">
        <is>
          <t>57024210</t>
        </is>
      </c>
      <c r="D3768" t="inlineStr">
        <is>
          <t>CARPETS,CARPETING AND RUGS</t>
        </is>
      </c>
      <c r="E3768" s="3" t="n">
        <v>0</v>
      </c>
      <c r="F3768" s="3" t="n">
        <v>0.03</v>
      </c>
      <c r="G3768" s="3">
        <f>F3768-E3768</f>
        <v/>
      </c>
      <c r="H3768" s="4">
        <f>IF(E3768=0,"",F3768/E3768-1)</f>
        <v/>
      </c>
      <c r="I3768" t="inlineStr"/>
    </row>
    <row r="3769">
      <c r="A3769" t="inlineStr">
        <is>
          <t>Textiles &amp; apparel</t>
        </is>
      </c>
      <c r="B3769" t="inlineStr">
        <is>
          <t>57</t>
        </is>
      </c>
      <c r="C3769" t="inlineStr">
        <is>
          <t>57029290</t>
        </is>
      </c>
      <c r="D3769" t="inlineStr">
        <is>
          <t>OTHR TXTL FLR CVRNGS OF MAN-MADE TXTL, NT PILE CONSTRTN</t>
        </is>
      </c>
      <c r="E3769" s="3" t="n">
        <v>0</v>
      </c>
      <c r="F3769" s="3" t="n">
        <v>0.03</v>
      </c>
      <c r="G3769" s="3">
        <f>F3769-E3769</f>
        <v/>
      </c>
      <c r="H3769" s="4">
        <f>IF(E3769=0,"",F3769/E3769-1)</f>
        <v/>
      </c>
      <c r="I3769" t="inlineStr"/>
    </row>
    <row r="3770">
      <c r="A3770" t="inlineStr">
        <is>
          <t>Textiles &amp; apparel</t>
        </is>
      </c>
      <c r="B3770" t="inlineStr">
        <is>
          <t>57</t>
        </is>
      </c>
      <c r="C3770" t="inlineStr">
        <is>
          <t>57050039</t>
        </is>
      </c>
      <c r="D3770" t="inlineStr">
        <is>
          <t>OTHR CARPETS OF JUTE</t>
        </is>
      </c>
      <c r="E3770" s="3" t="n">
        <v>0.01</v>
      </c>
      <c r="F3770" s="3" t="n">
        <v>0.03</v>
      </c>
      <c r="G3770" s="3">
        <f>F3770-E3770</f>
        <v/>
      </c>
      <c r="H3770" s="4">
        <f>IF(E3770=0,"",F3770/E3770-1)</f>
        <v/>
      </c>
      <c r="I3770" t="inlineStr"/>
    </row>
    <row r="3771">
      <c r="A3771" t="inlineStr">
        <is>
          <t>Textiles &amp; apparel</t>
        </is>
      </c>
      <c r="B3771" t="inlineStr">
        <is>
          <t>58</t>
        </is>
      </c>
      <c r="C3771" t="inlineStr">
        <is>
          <t>58071020</t>
        </is>
      </c>
      <c r="D3771" t="inlineStr">
        <is>
          <t>LABEL BADGES ETC OF MAN-MADE FIBRE WOVEN</t>
        </is>
      </c>
      <c r="E3771" s="3" t="n">
        <v>0.02</v>
      </c>
      <c r="F3771" s="3" t="n">
        <v>0.03</v>
      </c>
      <c r="G3771" s="3">
        <f>F3771-E3771</f>
        <v/>
      </c>
      <c r="H3771" s="4">
        <f>IF(E3771=0,"",F3771/E3771-1)</f>
        <v/>
      </c>
      <c r="I3771" t="inlineStr"/>
    </row>
    <row r="3772">
      <c r="A3772" t="inlineStr">
        <is>
          <t>Textiles &amp; apparel</t>
        </is>
      </c>
      <c r="B3772" t="inlineStr">
        <is>
          <t>59</t>
        </is>
      </c>
      <c r="C3772" t="inlineStr">
        <is>
          <t>59100020</t>
        </is>
      </c>
      <c r="D3772" t="inlineStr">
        <is>
          <t>RUBBERISED COTTON BELTING</t>
        </is>
      </c>
      <c r="E3772" s="3" t="n">
        <v>0</v>
      </c>
      <c r="F3772" s="3" t="n">
        <v>0.03</v>
      </c>
      <c r="G3772" s="3">
        <f>F3772-E3772</f>
        <v/>
      </c>
      <c r="H3772" s="4">
        <f>IF(E3772=0,"",F3772/E3772-1)</f>
        <v/>
      </c>
      <c r="I3772" t="inlineStr"/>
    </row>
    <row r="3773">
      <c r="A3773" t="inlineStr">
        <is>
          <t>Textiles &amp; apparel</t>
        </is>
      </c>
      <c r="B3773" t="inlineStr">
        <is>
          <t>61</t>
        </is>
      </c>
      <c r="C3773" t="inlineStr">
        <is>
          <t>61043300</t>
        </is>
      </c>
      <c r="D3773" t="inlineStr">
        <is>
          <t>JACKETS OF SYNTHETIC FIBRES</t>
        </is>
      </c>
      <c r="E3773" s="3" t="n">
        <v>0</v>
      </c>
      <c r="F3773" s="3" t="n">
        <v>0.03</v>
      </c>
      <c r="G3773" s="3">
        <f>F3773-E3773</f>
        <v/>
      </c>
      <c r="H3773" s="4">
        <f>IF(E3773=0,"",F3773/E3773-1)</f>
        <v/>
      </c>
      <c r="I3773" t="inlineStr"/>
    </row>
    <row r="3774">
      <c r="A3774" t="inlineStr">
        <is>
          <t>Textiles &amp; apparel</t>
        </is>
      </c>
      <c r="B3774" t="inlineStr">
        <is>
          <t>61</t>
        </is>
      </c>
      <c r="C3774" t="inlineStr">
        <is>
          <t>61045300</t>
        </is>
      </c>
      <c r="D3774" t="inlineStr">
        <is>
          <t>SKIRTS AND DIVIDED SKIRTS OF SYNTHTC FIBRES</t>
        </is>
      </c>
      <c r="E3774" s="3" t="n">
        <v>0.05</v>
      </c>
      <c r="F3774" s="3" t="n">
        <v>0.03</v>
      </c>
      <c r="G3774" s="3">
        <f>F3774-E3774</f>
        <v/>
      </c>
      <c r="H3774" s="4">
        <f>IF(E3774=0,"",F3774/E3774-1)</f>
        <v/>
      </c>
      <c r="I3774" t="inlineStr"/>
    </row>
    <row r="3775">
      <c r="A3775" t="inlineStr">
        <is>
          <t>Textiles &amp; apparel</t>
        </is>
      </c>
      <c r="B3775" t="inlineStr">
        <is>
          <t>61</t>
        </is>
      </c>
      <c r="C3775" t="inlineStr">
        <is>
          <t>61079990</t>
        </is>
      </c>
      <c r="D3775" t="inlineStr">
        <is>
          <t>BATHROBS, DRESNS GOWN ETC OF SYN FIBRES</t>
        </is>
      </c>
      <c r="E3775" s="3" t="n">
        <v>0.02</v>
      </c>
      <c r="F3775" s="3" t="n">
        <v>0.03</v>
      </c>
      <c r="G3775" s="3">
        <f>F3775-E3775</f>
        <v/>
      </c>
      <c r="H3775" s="4">
        <f>IF(E3775=0,"",F3775/E3775-1)</f>
        <v/>
      </c>
      <c r="I3775" t="inlineStr"/>
    </row>
    <row r="3776">
      <c r="A3776" t="inlineStr">
        <is>
          <t>Textiles &amp; apparel</t>
        </is>
      </c>
      <c r="B3776" t="inlineStr">
        <is>
          <t>61</t>
        </is>
      </c>
      <c r="C3776" t="inlineStr">
        <is>
          <t>61082210</t>
        </is>
      </c>
      <c r="D3776" t="inlineStr">
        <is>
          <t>BRIEFS AND PANTIES OF SYN FIBRES</t>
        </is>
      </c>
      <c r="E3776" s="3" t="n">
        <v>0</v>
      </c>
      <c r="F3776" s="3" t="n">
        <v>0.03</v>
      </c>
      <c r="G3776" s="3">
        <f>F3776-E3776</f>
        <v/>
      </c>
      <c r="H3776" s="4">
        <f>IF(E3776=0,"",F3776/E3776-1)</f>
        <v/>
      </c>
      <c r="I3776" t="inlineStr"/>
    </row>
    <row r="3777">
      <c r="A3777" t="inlineStr">
        <is>
          <t>Textiles &amp; apparel</t>
        </is>
      </c>
      <c r="B3777" t="inlineStr">
        <is>
          <t>62</t>
        </is>
      </c>
      <c r="C3777" t="inlineStr">
        <is>
          <t>62061090</t>
        </is>
      </c>
      <c r="D3777" t="inlineStr">
        <is>
          <t>WOMEN/GRLS BLOUSES,SHRTS AND SHRT-BLOUSES OF OTHR FIBRES</t>
        </is>
      </c>
      <c r="E3777" s="3" t="n">
        <v>0.03</v>
      </c>
      <c r="F3777" s="3" t="n">
        <v>0.03</v>
      </c>
      <c r="G3777" s="3">
        <f>F3777-E3777</f>
        <v/>
      </c>
      <c r="H3777" s="4">
        <f>IF(E3777=0,"",F3777/E3777-1)</f>
        <v/>
      </c>
      <c r="I3777" t="inlineStr"/>
    </row>
    <row r="3778">
      <c r="A3778" t="inlineStr">
        <is>
          <t>Textiles &amp; apparel</t>
        </is>
      </c>
      <c r="B3778" t="inlineStr">
        <is>
          <t>62</t>
        </is>
      </c>
      <c r="C3778" t="inlineStr">
        <is>
          <t>62071100</t>
        </is>
      </c>
      <c r="D3778" t="inlineStr">
        <is>
          <t>UNDERPANTS AND BRIEFS OF COTTON</t>
        </is>
      </c>
      <c r="E3778" s="3" t="n">
        <v>0.09</v>
      </c>
      <c r="F3778" s="3" t="n">
        <v>0.03</v>
      </c>
      <c r="G3778" s="3">
        <f>F3778-E3778</f>
        <v/>
      </c>
      <c r="H3778" s="4">
        <f>IF(E3778=0,"",F3778/E3778-1)</f>
        <v/>
      </c>
      <c r="I3778" t="inlineStr"/>
    </row>
    <row r="3779">
      <c r="A3779" t="inlineStr">
        <is>
          <t>Textiles &amp; apparel</t>
        </is>
      </c>
      <c r="B3779" t="inlineStr">
        <is>
          <t>62</t>
        </is>
      </c>
      <c r="C3779" t="inlineStr">
        <is>
          <t>62089190</t>
        </is>
      </c>
      <c r="D3779" t="inlineStr">
        <is>
          <t>GRMNTS OTHR THN DRESSING GOWNS AND BATHROBES OF COTTON</t>
        </is>
      </c>
      <c r="E3779" s="3" t="n">
        <v>0.3</v>
      </c>
      <c r="F3779" s="3" t="n">
        <v>0.03</v>
      </c>
      <c r="G3779" s="3">
        <f>F3779-E3779</f>
        <v/>
      </c>
      <c r="H3779" s="4">
        <f>IF(E3779=0,"",F3779/E3779-1)</f>
        <v/>
      </c>
      <c r="I3779" t="inlineStr"/>
    </row>
    <row r="3780">
      <c r="A3780" t="inlineStr">
        <is>
          <t>Textiles &amp; apparel</t>
        </is>
      </c>
      <c r="B3780" t="inlineStr">
        <is>
          <t>63</t>
        </is>
      </c>
      <c r="C3780" t="inlineStr">
        <is>
          <t>63049249</t>
        </is>
      </c>
      <c r="D3780" t="inlineStr">
        <is>
          <t>OTHER TABLE CLOTH AND TABLE COVERS</t>
        </is>
      </c>
      <c r="E3780" s="3" t="n">
        <v>0.02</v>
      </c>
      <c r="F3780" s="3" t="n">
        <v>0.03</v>
      </c>
      <c r="G3780" s="3">
        <f>F3780-E3780</f>
        <v/>
      </c>
      <c r="H3780" s="4">
        <f>IF(E3780=0,"",F3780/E3780-1)</f>
        <v/>
      </c>
      <c r="I3780" t="inlineStr"/>
    </row>
    <row r="3781">
      <c r="A3781" t="inlineStr">
        <is>
          <t>Textiles &amp; apparel</t>
        </is>
      </c>
      <c r="B3781" t="inlineStr">
        <is>
          <t>52</t>
        </is>
      </c>
      <c r="C3781" t="inlineStr">
        <is>
          <t>52071000</t>
        </is>
      </c>
      <c r="D3781" t="inlineStr">
        <is>
          <t>COTON YARN CONTNG COTON&gt;=85% BY WT PUT UP FOR RETAIL SALE</t>
        </is>
      </c>
      <c r="E3781" s="3" t="n">
        <v>0</v>
      </c>
      <c r="F3781" s="3" t="n">
        <v>0.02</v>
      </c>
      <c r="G3781" s="3">
        <f>F3781-E3781</f>
        <v/>
      </c>
      <c r="H3781" s="4">
        <f>IF(E3781=0,"",F3781/E3781-1)</f>
        <v/>
      </c>
      <c r="I3781" t="inlineStr"/>
    </row>
    <row r="3782">
      <c r="A3782" t="inlineStr">
        <is>
          <t>Textiles &amp; apparel</t>
        </is>
      </c>
      <c r="B3782" t="inlineStr">
        <is>
          <t>52</t>
        </is>
      </c>
      <c r="C3782" t="inlineStr">
        <is>
          <t>52083220</t>
        </is>
      </c>
      <c r="D3782" t="inlineStr">
        <is>
          <t>SAREE</t>
        </is>
      </c>
      <c r="E3782" s="3" t="n">
        <v>0.1</v>
      </c>
      <c r="F3782" s="3" t="n">
        <v>0.02</v>
      </c>
      <c r="G3782" s="3">
        <f>F3782-E3782</f>
        <v/>
      </c>
      <c r="H3782" s="4">
        <f>IF(E3782=0,"",F3782/E3782-1)</f>
        <v/>
      </c>
      <c r="I3782" t="inlineStr"/>
    </row>
    <row r="3783">
      <c r="A3783" t="inlineStr">
        <is>
          <t>Textiles &amp; apparel</t>
        </is>
      </c>
      <c r="B3783" t="inlineStr">
        <is>
          <t>52</t>
        </is>
      </c>
      <c r="C3783" t="inlineStr">
        <is>
          <t>52093290</t>
        </is>
      </c>
      <c r="D3783" t="inlineStr">
        <is>
          <t>OTHERS-OF-DYED 3/4 THREAD TWILL INCLDNG CROSS TWILL COTTON FABRICS WEIGHING&gt;200 GM PER SQM</t>
        </is>
      </c>
      <c r="E3783" s="3" t="n">
        <v>2.12</v>
      </c>
      <c r="F3783" s="3" t="n">
        <v>0.02</v>
      </c>
      <c r="G3783" s="3">
        <f>F3783-E3783</f>
        <v/>
      </c>
      <c r="H3783" s="4">
        <f>IF(E3783=0,"",F3783/E3783-1)</f>
        <v/>
      </c>
      <c r="I3783" t="inlineStr"/>
    </row>
    <row r="3784">
      <c r="A3784" t="inlineStr">
        <is>
          <t>Textiles &amp; apparel</t>
        </is>
      </c>
      <c r="B3784" t="inlineStr">
        <is>
          <t>52</t>
        </is>
      </c>
      <c r="C3784" t="inlineStr">
        <is>
          <t>52102110</t>
        </is>
      </c>
      <c r="D3784" t="inlineStr">
        <is>
          <t>SHIRTING FABRICS</t>
        </is>
      </c>
      <c r="E3784" s="3" t="n">
        <v>0.01</v>
      </c>
      <c r="F3784" s="3" t="n">
        <v>0.02</v>
      </c>
      <c r="G3784" s="3">
        <f>F3784-E3784</f>
        <v/>
      </c>
      <c r="H3784" s="4">
        <f>IF(E3784=0,"",F3784/E3784-1)</f>
        <v/>
      </c>
      <c r="I3784" t="inlineStr"/>
    </row>
    <row r="3785">
      <c r="A3785" t="inlineStr">
        <is>
          <t>Textiles &amp; apparel</t>
        </is>
      </c>
      <c r="B3785" t="inlineStr">
        <is>
          <t>52</t>
        </is>
      </c>
      <c r="C3785" t="inlineStr">
        <is>
          <t>52102910</t>
        </is>
      </c>
      <c r="D3785" t="inlineStr">
        <is>
          <t>DHOTI AND SAREE,ZARI BORDERED</t>
        </is>
      </c>
      <c r="E3785" s="3" t="n">
        <v>0</v>
      </c>
      <c r="F3785" s="3" t="n">
        <v>0.02</v>
      </c>
      <c r="G3785" s="3">
        <f>F3785-E3785</f>
        <v/>
      </c>
      <c r="H3785" s="4">
        <f>IF(E3785=0,"",F3785/E3785-1)</f>
        <v/>
      </c>
      <c r="I3785" t="inlineStr"/>
    </row>
    <row r="3786">
      <c r="A3786" t="inlineStr">
        <is>
          <t>Textiles &amp; apparel</t>
        </is>
      </c>
      <c r="B3786" t="inlineStr">
        <is>
          <t>52</t>
        </is>
      </c>
      <c r="C3786" t="inlineStr">
        <is>
          <t>52103110</t>
        </is>
      </c>
      <c r="D3786" t="inlineStr">
        <is>
          <t>SHIRTING FABRICS</t>
        </is>
      </c>
      <c r="E3786" s="3" t="n">
        <v>0.05</v>
      </c>
      <c r="F3786" s="3" t="n">
        <v>0.02</v>
      </c>
      <c r="G3786" s="3">
        <f>F3786-E3786</f>
        <v/>
      </c>
      <c r="H3786" s="4">
        <f>IF(E3786=0,"",F3786/E3786-1)</f>
        <v/>
      </c>
      <c r="I3786" t="inlineStr"/>
    </row>
    <row r="3787">
      <c r="A3787" t="inlineStr">
        <is>
          <t>Textiles &amp; apparel</t>
        </is>
      </c>
      <c r="B3787" t="inlineStr">
        <is>
          <t>54</t>
        </is>
      </c>
      <c r="C3787" t="inlineStr">
        <is>
          <t>54071011</t>
        </is>
      </c>
      <c r="D3787" t="inlineStr">
        <is>
          <t>UNBLECHD PARACHUTE FABRICS</t>
        </is>
      </c>
      <c r="E3787" s="3" t="n">
        <v>0</v>
      </c>
      <c r="F3787" s="3" t="n">
        <v>0.02</v>
      </c>
      <c r="G3787" s="3">
        <f>F3787-E3787</f>
        <v/>
      </c>
      <c r="H3787" s="4">
        <f>IF(E3787=0,"",F3787/E3787-1)</f>
        <v/>
      </c>
      <c r="I3787" t="inlineStr"/>
    </row>
    <row r="3788">
      <c r="A3788" t="inlineStr">
        <is>
          <t>Textiles &amp; apparel</t>
        </is>
      </c>
      <c r="B3788" t="inlineStr">
        <is>
          <t>54</t>
        </is>
      </c>
      <c r="C3788" t="inlineStr">
        <is>
          <t>54071036</t>
        </is>
      </c>
      <c r="D3788" t="inlineStr">
        <is>
          <t>DYED POLYESTER SUITNGS</t>
        </is>
      </c>
      <c r="E3788" s="3" t="n">
        <v>0.01</v>
      </c>
      <c r="F3788" s="3" t="n">
        <v>0.02</v>
      </c>
      <c r="G3788" s="3">
        <f>F3788-E3788</f>
        <v/>
      </c>
      <c r="H3788" s="4">
        <f>IF(E3788=0,"",F3788/E3788-1)</f>
        <v/>
      </c>
      <c r="I3788" t="inlineStr"/>
    </row>
    <row r="3789">
      <c r="A3789" t="inlineStr">
        <is>
          <t>Textiles &amp; apparel</t>
        </is>
      </c>
      <c r="B3789" t="inlineStr">
        <is>
          <t>54</t>
        </is>
      </c>
      <c r="C3789" t="inlineStr">
        <is>
          <t>54072030</t>
        </is>
      </c>
      <c r="D3789" t="inlineStr">
        <is>
          <t>DYED WVEN FBRCS FROM STRIP/THE LIKE</t>
        </is>
      </c>
      <c r="E3789" s="3" t="n">
        <v>1.82</v>
      </c>
      <c r="F3789" s="3" t="n">
        <v>0.02</v>
      </c>
      <c r="G3789" s="3">
        <f>F3789-E3789</f>
        <v/>
      </c>
      <c r="H3789" s="4">
        <f>IF(E3789=0,"",F3789/E3789-1)</f>
        <v/>
      </c>
      <c r="I3789" t="inlineStr"/>
    </row>
    <row r="3790">
      <c r="A3790" t="inlineStr">
        <is>
          <t>Textiles &amp; apparel</t>
        </is>
      </c>
      <c r="B3790" t="inlineStr">
        <is>
          <t>54</t>
        </is>
      </c>
      <c r="C3790" t="inlineStr">
        <is>
          <t>54075410</t>
        </is>
      </c>
      <c r="D3790" t="inlineStr">
        <is>
          <t>TERYLEN AND DACRON SAREE</t>
        </is>
      </c>
      <c r="E3790" s="3" t="n">
        <v>0.01</v>
      </c>
      <c r="F3790" s="3" t="n">
        <v>0.02</v>
      </c>
      <c r="G3790" s="3">
        <f>F3790-E3790</f>
        <v/>
      </c>
      <c r="H3790" s="4">
        <f>IF(E3790=0,"",F3790/E3790-1)</f>
        <v/>
      </c>
      <c r="I3790" t="inlineStr"/>
    </row>
    <row r="3791">
      <c r="A3791" t="inlineStr">
        <is>
          <t>Textiles &amp; apparel</t>
        </is>
      </c>
      <c r="B3791" t="inlineStr">
        <is>
          <t>54</t>
        </is>
      </c>
      <c r="C3791" t="inlineStr">
        <is>
          <t>54082219</t>
        </is>
      </c>
      <c r="D3791" t="inlineStr">
        <is>
          <t>OTHR FBRCS OF RAYON ,DYED</t>
        </is>
      </c>
      <c r="E3791" s="3" t="n">
        <v>0.11</v>
      </c>
      <c r="F3791" s="3" t="n">
        <v>0.02</v>
      </c>
      <c r="G3791" s="3">
        <f>F3791-E3791</f>
        <v/>
      </c>
      <c r="H3791" s="4">
        <f>IF(E3791=0,"",F3791/E3791-1)</f>
        <v/>
      </c>
      <c r="I3791" t="inlineStr"/>
    </row>
    <row r="3792">
      <c r="A3792" t="inlineStr">
        <is>
          <t>Textiles &amp; apparel</t>
        </is>
      </c>
      <c r="B3792" t="inlineStr">
        <is>
          <t>56</t>
        </is>
      </c>
      <c r="C3792" t="inlineStr">
        <is>
          <t>56012190</t>
        </is>
      </c>
      <c r="D3792" t="inlineStr">
        <is>
          <t>WADDING AND ARTCLS OF WADDNG N.E.S.OF COTTON</t>
        </is>
      </c>
      <c r="E3792" s="3" t="n">
        <v>0.21</v>
      </c>
      <c r="F3792" s="3" t="n">
        <v>0.02</v>
      </c>
      <c r="G3792" s="3">
        <f>F3792-E3792</f>
        <v/>
      </c>
      <c r="H3792" s="4">
        <f>IF(E3792=0,"",F3792/E3792-1)</f>
        <v/>
      </c>
      <c r="I3792" t="inlineStr"/>
    </row>
    <row r="3793">
      <c r="A3793" t="inlineStr">
        <is>
          <t>Textiles &amp; apparel</t>
        </is>
      </c>
      <c r="B3793" t="inlineStr">
        <is>
          <t>57</t>
        </is>
      </c>
      <c r="C3793" t="inlineStr">
        <is>
          <t>57022020</t>
        </is>
      </c>
      <c r="D3793" t="inlineStr">
        <is>
          <t>COIR CRPTS AND OTHR ROGS</t>
        </is>
      </c>
      <c r="E3793" s="3" t="n">
        <v>0.06</v>
      </c>
      <c r="F3793" s="3" t="n">
        <v>0.02</v>
      </c>
      <c r="G3793" s="3">
        <f>F3793-E3793</f>
        <v/>
      </c>
      <c r="H3793" s="4">
        <f>IF(E3793=0,"",F3793/E3793-1)</f>
        <v/>
      </c>
      <c r="I3793" t="inlineStr"/>
    </row>
    <row r="3794">
      <c r="A3794" t="inlineStr">
        <is>
          <t>Textiles &amp; apparel</t>
        </is>
      </c>
      <c r="B3794" t="inlineStr">
        <is>
          <t>57</t>
        </is>
      </c>
      <c r="C3794" t="inlineStr">
        <is>
          <t>57024230</t>
        </is>
      </c>
      <c r="D3794" t="inlineStr">
        <is>
          <t>CARPETS, RUGS AND MATS OF HANDLOOM</t>
        </is>
      </c>
      <c r="E3794" s="3" t="n">
        <v>0.44</v>
      </c>
      <c r="F3794" s="3" t="n">
        <v>0.02</v>
      </c>
      <c r="G3794" s="3">
        <f>F3794-E3794</f>
        <v/>
      </c>
      <c r="H3794" s="4">
        <f>IF(E3794=0,"",F3794/E3794-1)</f>
        <v/>
      </c>
      <c r="I3794" t="inlineStr"/>
    </row>
    <row r="3795">
      <c r="A3795" t="inlineStr">
        <is>
          <t>Textiles &amp; apparel</t>
        </is>
      </c>
      <c r="B3795" t="inlineStr">
        <is>
          <t>57</t>
        </is>
      </c>
      <c r="C3795" t="inlineStr">
        <is>
          <t>57050029</t>
        </is>
      </c>
      <c r="D3795" t="inlineStr">
        <is>
          <t>OTHR TXTL FLR CVRNGS, W/N MADE UP</t>
        </is>
      </c>
      <c r="E3795" s="3" t="n">
        <v>0</v>
      </c>
      <c r="F3795" s="3" t="n">
        <v>0.02</v>
      </c>
      <c r="G3795" s="3">
        <f>F3795-E3795</f>
        <v/>
      </c>
      <c r="H3795" s="4">
        <f>IF(E3795=0,"",F3795/E3795-1)</f>
        <v/>
      </c>
      <c r="I3795" t="inlineStr"/>
    </row>
    <row r="3796">
      <c r="A3796" t="inlineStr">
        <is>
          <t>Textiles &amp; apparel</t>
        </is>
      </c>
      <c r="B3796" t="inlineStr">
        <is>
          <t>58</t>
        </is>
      </c>
      <c r="C3796" t="inlineStr">
        <is>
          <t>58042990</t>
        </is>
      </c>
      <c r="D3796" t="inlineStr">
        <is>
          <t>MECHNCLLY MADE LACE OF OTHR TXTL</t>
        </is>
      </c>
      <c r="E3796" s="3" t="n">
        <v>0</v>
      </c>
      <c r="F3796" s="3" t="n">
        <v>0.02</v>
      </c>
      <c r="G3796" s="3">
        <f>F3796-E3796</f>
        <v/>
      </c>
      <c r="H3796" s="4">
        <f>IF(E3796=0,"",F3796/E3796-1)</f>
        <v/>
      </c>
      <c r="I3796" t="inlineStr"/>
    </row>
    <row r="3797">
      <c r="A3797" t="inlineStr">
        <is>
          <t>Textiles &amp; apparel</t>
        </is>
      </c>
      <c r="B3797" t="inlineStr">
        <is>
          <t>58</t>
        </is>
      </c>
      <c r="C3797" t="inlineStr">
        <is>
          <t>58043000</t>
        </is>
      </c>
      <c r="D3797" t="inlineStr">
        <is>
          <t>HAND MADE LACE</t>
        </is>
      </c>
      <c r="E3797" s="3" t="n">
        <v>0.02</v>
      </c>
      <c r="F3797" s="3" t="n">
        <v>0.02</v>
      </c>
      <c r="G3797" s="3">
        <f>F3797-E3797</f>
        <v/>
      </c>
      <c r="H3797" s="4">
        <f>IF(E3797=0,"",F3797/E3797-1)</f>
        <v/>
      </c>
      <c r="I3797" t="inlineStr"/>
    </row>
    <row r="3798">
      <c r="A3798" t="inlineStr">
        <is>
          <t>Textiles &amp; apparel</t>
        </is>
      </c>
      <c r="B3798" t="inlineStr">
        <is>
          <t>58</t>
        </is>
      </c>
      <c r="C3798" t="inlineStr">
        <is>
          <t>58061000</t>
        </is>
      </c>
      <c r="D3798" t="inlineStr">
        <is>
          <t>NARROW WVN PILE FBRCS(INCL TERRY TWLLNG AND SMLR TERRY FBRCS)AND CHENILLE FABRICS</t>
        </is>
      </c>
      <c r="E3798" s="3" t="n">
        <v>0.01</v>
      </c>
      <c r="F3798" s="3" t="n">
        <v>0.02</v>
      </c>
      <c r="G3798" s="3">
        <f>F3798-E3798</f>
        <v/>
      </c>
      <c r="H3798" s="4">
        <f>IF(E3798=0,"",F3798/E3798-1)</f>
        <v/>
      </c>
      <c r="I3798" t="inlineStr"/>
    </row>
    <row r="3799">
      <c r="A3799" t="inlineStr">
        <is>
          <t>Textiles &amp; apparel</t>
        </is>
      </c>
      <c r="B3799" t="inlineStr">
        <is>
          <t>58</t>
        </is>
      </c>
      <c r="C3799" t="inlineStr">
        <is>
          <t>58063120</t>
        </is>
      </c>
      <c r="D3799" t="inlineStr">
        <is>
          <t>NEWAR COTTON</t>
        </is>
      </c>
      <c r="E3799" s="3" t="n">
        <v>0.01</v>
      </c>
      <c r="F3799" s="3" t="n">
        <v>0.02</v>
      </c>
      <c r="G3799" s="3">
        <f>F3799-E3799</f>
        <v/>
      </c>
      <c r="H3799" s="4">
        <f>IF(E3799=0,"",F3799/E3799-1)</f>
        <v/>
      </c>
      <c r="I3799" t="inlineStr"/>
    </row>
    <row r="3800">
      <c r="A3800" t="inlineStr">
        <is>
          <t>Textiles &amp; apparel</t>
        </is>
      </c>
      <c r="B3800" t="inlineStr">
        <is>
          <t>58</t>
        </is>
      </c>
      <c r="C3800" t="inlineStr">
        <is>
          <t>58063990</t>
        </is>
      </c>
      <c r="D3800" t="inlineStr">
        <is>
          <t>OTHERS-OF-OTHR NARROW WVN FBRCS OF OTHR TXTL MATRLS</t>
        </is>
      </c>
      <c r="E3800" s="3" t="n">
        <v>0.01</v>
      </c>
      <c r="F3800" s="3" t="n">
        <v>0.02</v>
      </c>
      <c r="G3800" s="3">
        <f>F3800-E3800</f>
        <v/>
      </c>
      <c r="H3800" s="4">
        <f>IF(E3800=0,"",F3800/E3800-1)</f>
        <v/>
      </c>
      <c r="I3800" t="inlineStr"/>
    </row>
    <row r="3801">
      <c r="A3801" t="inlineStr">
        <is>
          <t>Textiles &amp; apparel</t>
        </is>
      </c>
      <c r="B3801" t="inlineStr">
        <is>
          <t>59</t>
        </is>
      </c>
      <c r="C3801" t="inlineStr">
        <is>
          <t>59019090</t>
        </is>
      </c>
      <c r="D3801" t="inlineStr">
        <is>
          <t>OTHERS-OF-TRACNG CLTH PREPARD PAINTNG CANVASBUCKRAM AND SMLR STFFND TXTL FBRCS OF A KINDUSED FOR HAT FOUNDATIONS ETC</t>
        </is>
      </c>
      <c r="E3801" s="3" t="n">
        <v>0</v>
      </c>
      <c r="F3801" s="3" t="n">
        <v>0.02</v>
      </c>
      <c r="G3801" s="3">
        <f>F3801-E3801</f>
        <v/>
      </c>
      <c r="H3801" s="4">
        <f>IF(E3801=0,"",F3801/E3801-1)</f>
        <v/>
      </c>
      <c r="I3801" t="inlineStr"/>
    </row>
    <row r="3802">
      <c r="A3802" t="inlineStr">
        <is>
          <t>Textiles &amp; apparel</t>
        </is>
      </c>
      <c r="B3802" t="inlineStr">
        <is>
          <t>59</t>
        </is>
      </c>
      <c r="C3802" t="inlineStr">
        <is>
          <t>59113190</t>
        </is>
      </c>
      <c r="D3802" t="inlineStr">
        <is>
          <t>OTHERS-OF-TXTL FBRCS AND FLTS,ENDLESS/FITTD WTH LINKNGDEVICES USD IN PAPER MAKNG/SMLR MACHINESWEIGHING LESS THAN 650 G/M2</t>
        </is>
      </c>
      <c r="E3802" s="3" t="n">
        <v>0.08</v>
      </c>
      <c r="F3802" s="3" t="n">
        <v>0.02</v>
      </c>
      <c r="G3802" s="3">
        <f>F3802-E3802</f>
        <v/>
      </c>
      <c r="H3802" s="4">
        <f>IF(E3802=0,"",F3802/E3802-1)</f>
        <v/>
      </c>
      <c r="I3802" t="inlineStr"/>
    </row>
    <row r="3803">
      <c r="A3803" t="inlineStr">
        <is>
          <t>Textiles &amp; apparel</t>
        </is>
      </c>
      <c r="B3803" t="inlineStr">
        <is>
          <t>61</t>
        </is>
      </c>
      <c r="C3803" t="inlineStr">
        <is>
          <t>61043200</t>
        </is>
      </c>
      <c r="D3803" t="inlineStr">
        <is>
          <t>JACKETS OF COTTON</t>
        </is>
      </c>
      <c r="E3803" s="3" t="n">
        <v>0</v>
      </c>
      <c r="F3803" s="3" t="n">
        <v>0.02</v>
      </c>
      <c r="G3803" s="3">
        <f>F3803-E3803</f>
        <v/>
      </c>
      <c r="H3803" s="4">
        <f>IF(E3803=0,"",F3803/E3803-1)</f>
        <v/>
      </c>
      <c r="I3803" t="inlineStr"/>
    </row>
    <row r="3804">
      <c r="A3804" t="inlineStr">
        <is>
          <t>Textiles &amp; apparel</t>
        </is>
      </c>
      <c r="B3804" t="inlineStr">
        <is>
          <t>61</t>
        </is>
      </c>
      <c r="C3804" t="inlineStr">
        <is>
          <t>61159910</t>
        </is>
      </c>
      <c r="D3804" t="inlineStr">
        <is>
          <t>OTHR HOSIERY OF ARTIFICIAL FIBRES</t>
        </is>
      </c>
      <c r="E3804" s="3" t="n">
        <v>0</v>
      </c>
      <c r="F3804" s="3" t="n">
        <v>0.02</v>
      </c>
      <c r="G3804" s="3">
        <f>F3804-E3804</f>
        <v/>
      </c>
      <c r="H3804" s="4">
        <f>IF(E3804=0,"",F3804/E3804-1)</f>
        <v/>
      </c>
      <c r="I3804" t="inlineStr"/>
    </row>
    <row r="3805">
      <c r="A3805" t="inlineStr">
        <is>
          <t>Textiles &amp; apparel</t>
        </is>
      </c>
      <c r="B3805" t="inlineStr">
        <is>
          <t>61</t>
        </is>
      </c>
      <c r="C3805" t="inlineStr">
        <is>
          <t>61171040</t>
        </is>
      </c>
      <c r="D3805" t="inlineStr">
        <is>
          <t>SHWL, SCRV, MUFLR ETC OF MAN-MADE FIBRES</t>
        </is>
      </c>
      <c r="E3805" s="3" t="n">
        <v>0</v>
      </c>
      <c r="F3805" s="3" t="n">
        <v>0.02</v>
      </c>
      <c r="G3805" s="3">
        <f>F3805-E3805</f>
        <v/>
      </c>
      <c r="H3805" s="4">
        <f>IF(E3805=0,"",F3805/E3805-1)</f>
        <v/>
      </c>
      <c r="I3805" t="inlineStr"/>
    </row>
    <row r="3806">
      <c r="A3806" t="inlineStr">
        <is>
          <t>Textiles &amp; apparel</t>
        </is>
      </c>
      <c r="B3806" t="inlineStr">
        <is>
          <t>61</t>
        </is>
      </c>
      <c r="C3806" t="inlineStr">
        <is>
          <t>61171090</t>
        </is>
      </c>
      <c r="D3806" t="inlineStr">
        <is>
          <t>SHWL, SCRV, MUFLR ETC OF OTHR FIBRES</t>
        </is>
      </c>
      <c r="E3806" s="3" t="n">
        <v>0</v>
      </c>
      <c r="F3806" s="3" t="n">
        <v>0.02</v>
      </c>
      <c r="G3806" s="3">
        <f>F3806-E3806</f>
        <v/>
      </c>
      <c r="H3806" s="4">
        <f>IF(E3806=0,"",F3806/E3806-1)</f>
        <v/>
      </c>
      <c r="I3806" t="inlineStr"/>
    </row>
    <row r="3807">
      <c r="A3807" t="inlineStr">
        <is>
          <t>Textiles &amp; apparel</t>
        </is>
      </c>
      <c r="B3807" t="inlineStr">
        <is>
          <t>61</t>
        </is>
      </c>
      <c r="C3807" t="inlineStr">
        <is>
          <t>61178090</t>
        </is>
      </c>
      <c r="D3807" t="inlineStr">
        <is>
          <t>OTHR ACSSRS OF OTHR FIBRES</t>
        </is>
      </c>
      <c r="E3807" s="3" t="n">
        <v>0.04</v>
      </c>
      <c r="F3807" s="3" t="n">
        <v>0.02</v>
      </c>
      <c r="G3807" s="3">
        <f>F3807-E3807</f>
        <v/>
      </c>
      <c r="H3807" s="4">
        <f>IF(E3807=0,"",F3807/E3807-1)</f>
        <v/>
      </c>
      <c r="I3807" t="inlineStr"/>
    </row>
    <row r="3808">
      <c r="A3808" t="inlineStr">
        <is>
          <t>Textiles &amp; apparel</t>
        </is>
      </c>
      <c r="B3808" t="inlineStr">
        <is>
          <t>62</t>
        </is>
      </c>
      <c r="C3808" t="inlineStr">
        <is>
          <t>62044190</t>
        </is>
      </c>
      <c r="D3808" t="inlineStr">
        <is>
          <t>OTHER DRESSES INCL UNIFORM DRESS</t>
        </is>
      </c>
      <c r="E3808" s="3" t="n">
        <v>0</v>
      </c>
      <c r="F3808" s="3" t="n">
        <v>0.02</v>
      </c>
      <c r="G3808" s="3">
        <f>F3808-E3808</f>
        <v/>
      </c>
      <c r="H3808" s="4">
        <f>IF(E3808=0,"",F3808/E3808-1)</f>
        <v/>
      </c>
      <c r="I3808" t="inlineStr"/>
    </row>
    <row r="3809">
      <c r="A3809" t="inlineStr">
        <is>
          <t>Textiles &amp; apparel</t>
        </is>
      </c>
      <c r="B3809" t="inlineStr">
        <is>
          <t>62</t>
        </is>
      </c>
      <c r="C3809" t="inlineStr">
        <is>
          <t>62046919</t>
        </is>
      </c>
      <c r="D3809" t="inlineStr">
        <is>
          <t>TROUSERS BIB AND BRACE OVERALLS BREECHES AND SHORTS OF SLK EXCL SLK-SEQND/BDED/EMBRDRD</t>
        </is>
      </c>
      <c r="E3809" s="3" t="n">
        <v>0</v>
      </c>
      <c r="F3809" s="3" t="n">
        <v>0.02</v>
      </c>
      <c r="G3809" s="3">
        <f>F3809-E3809</f>
        <v/>
      </c>
      <c r="H3809" s="4">
        <f>IF(E3809=0,"",F3809/E3809-1)</f>
        <v/>
      </c>
      <c r="I3809" t="inlineStr"/>
    </row>
    <row r="3810">
      <c r="A3810" t="inlineStr">
        <is>
          <t>Textiles &amp; apparel</t>
        </is>
      </c>
      <c r="B3810" t="inlineStr">
        <is>
          <t>62</t>
        </is>
      </c>
      <c r="C3810" t="inlineStr">
        <is>
          <t>62081990</t>
        </is>
      </c>
      <c r="D3810" t="inlineStr">
        <is>
          <t>SLIPS, PETICOATS OF OTHR TXTL MTRL</t>
        </is>
      </c>
      <c r="E3810" s="3" t="n">
        <v>0.04</v>
      </c>
      <c r="F3810" s="3" t="n">
        <v>0.02</v>
      </c>
      <c r="G3810" s="3">
        <f>F3810-E3810</f>
        <v/>
      </c>
      <c r="H3810" s="4">
        <f>IF(E3810=0,"",F3810/E3810-1)</f>
        <v/>
      </c>
      <c r="I3810" t="inlineStr"/>
    </row>
    <row r="3811">
      <c r="A3811" t="inlineStr">
        <is>
          <t>Textiles &amp; apparel</t>
        </is>
      </c>
      <c r="B3811" t="inlineStr">
        <is>
          <t>62</t>
        </is>
      </c>
      <c r="C3811" t="inlineStr">
        <is>
          <t>62139090</t>
        </is>
      </c>
      <c r="D3811" t="inlineStr">
        <is>
          <t>OTHERS-OF-Handkerchiefs, of other textile materials :</t>
        </is>
      </c>
      <c r="E3811" s="3" t="n">
        <v>0</v>
      </c>
      <c r="F3811" s="3" t="n">
        <v>0.02</v>
      </c>
      <c r="G3811" s="3">
        <f>F3811-E3811</f>
        <v/>
      </c>
      <c r="H3811" s="4">
        <f>IF(E3811=0,"",F3811/E3811-1)</f>
        <v/>
      </c>
      <c r="I3811" t="inlineStr"/>
    </row>
    <row r="3812">
      <c r="A3812" t="inlineStr">
        <is>
          <t>Textiles &amp; apparel</t>
        </is>
      </c>
      <c r="B3812" t="inlineStr">
        <is>
          <t>62</t>
        </is>
      </c>
      <c r="C3812" t="inlineStr">
        <is>
          <t>62151090</t>
        </is>
      </c>
      <c r="D3812" t="inlineStr">
        <is>
          <t>OF SILK OR SILK WASTE: OTHER</t>
        </is>
      </c>
      <c r="E3812" s="3" t="n">
        <v>0.02</v>
      </c>
      <c r="F3812" s="3" t="n">
        <v>0.02</v>
      </c>
      <c r="G3812" s="3">
        <f>F3812-E3812</f>
        <v/>
      </c>
      <c r="H3812" s="4">
        <f>IF(E3812=0,"",F3812/E3812-1)</f>
        <v/>
      </c>
      <c r="I3812" t="inlineStr"/>
    </row>
    <row r="3813">
      <c r="A3813" t="inlineStr">
        <is>
          <t>Textiles &amp; apparel</t>
        </is>
      </c>
      <c r="B3813" t="inlineStr">
        <is>
          <t>62</t>
        </is>
      </c>
      <c r="C3813" t="inlineStr">
        <is>
          <t>62160090</t>
        </is>
      </c>
      <c r="D3813" t="inlineStr">
        <is>
          <t>GLOVE,MITTER AND MITTS OF OTHR TXTL MATRIALS</t>
        </is>
      </c>
      <c r="E3813" s="3" t="n">
        <v>0</v>
      </c>
      <c r="F3813" s="3" t="n">
        <v>0.02</v>
      </c>
      <c r="G3813" s="3">
        <f>F3813-E3813</f>
        <v/>
      </c>
      <c r="H3813" s="4">
        <f>IF(E3813=0,"",F3813/E3813-1)</f>
        <v/>
      </c>
      <c r="I3813" t="inlineStr"/>
    </row>
    <row r="3814">
      <c r="A3814" t="inlineStr">
        <is>
          <t>Textiles &amp; apparel</t>
        </is>
      </c>
      <c r="B3814" t="inlineStr">
        <is>
          <t>62</t>
        </is>
      </c>
      <c r="C3814" t="inlineStr">
        <is>
          <t>62171090</t>
        </is>
      </c>
      <c r="D3814" t="inlineStr">
        <is>
          <t>STOKNGS,SOCKS AND SOCKTTS ETC OF OTHR FIBRES</t>
        </is>
      </c>
      <c r="E3814" s="3" t="n">
        <v>0.11</v>
      </c>
      <c r="F3814" s="3" t="n">
        <v>0.02</v>
      </c>
      <c r="G3814" s="3">
        <f>F3814-E3814</f>
        <v/>
      </c>
      <c r="H3814" s="4">
        <f>IF(E3814=0,"",F3814/E3814-1)</f>
        <v/>
      </c>
      <c r="I3814" t="inlineStr"/>
    </row>
    <row r="3815">
      <c r="A3815" t="inlineStr">
        <is>
          <t>Textiles &amp; apparel</t>
        </is>
      </c>
      <c r="B3815" t="inlineStr">
        <is>
          <t>62</t>
        </is>
      </c>
      <c r="C3815" t="inlineStr">
        <is>
          <t>62179010</t>
        </is>
      </c>
      <c r="D3815" t="inlineStr">
        <is>
          <t>COTTON CUFFS AND THE LIKE OF COTTON</t>
        </is>
      </c>
      <c r="E3815" s="3" t="n">
        <v>0</v>
      </c>
      <c r="F3815" s="3" t="n">
        <v>0.02</v>
      </c>
      <c r="G3815" s="3">
        <f>F3815-E3815</f>
        <v/>
      </c>
      <c r="H3815" s="4">
        <f>IF(E3815=0,"",F3815/E3815-1)</f>
        <v/>
      </c>
      <c r="I3815" t="inlineStr"/>
    </row>
    <row r="3816">
      <c r="A3816" t="inlineStr">
        <is>
          <t>Textiles &amp; apparel</t>
        </is>
      </c>
      <c r="B3816" t="inlineStr">
        <is>
          <t>63</t>
        </is>
      </c>
      <c r="C3816" t="inlineStr">
        <is>
          <t>63023900</t>
        </is>
      </c>
      <c r="D3816" t="inlineStr">
        <is>
          <t>OTHR BED LINEN OF OTHR TEXTILE MATERIALS</t>
        </is>
      </c>
      <c r="E3816" s="3" t="n">
        <v>0</v>
      </c>
      <c r="F3816" s="3" t="n">
        <v>0.02</v>
      </c>
      <c r="G3816" s="3">
        <f>F3816-E3816</f>
        <v/>
      </c>
      <c r="H3816" s="4">
        <f>IF(E3816=0,"",F3816/E3816-1)</f>
        <v/>
      </c>
      <c r="I3816" t="inlineStr"/>
    </row>
    <row r="3817">
      <c r="A3817" t="inlineStr">
        <is>
          <t>Textiles &amp; apparel</t>
        </is>
      </c>
      <c r="B3817" t="inlineStr">
        <is>
          <t>63</t>
        </is>
      </c>
      <c r="C3817" t="inlineStr">
        <is>
          <t>63025190</t>
        </is>
      </c>
      <c r="D3817" t="inlineStr">
        <is>
          <t>OTHER TABLE LINEN: OF COTTON, OTHER THAN HANDLOOM</t>
        </is>
      </c>
      <c r="E3817" s="3" t="n">
        <v>0</v>
      </c>
      <c r="F3817" s="3" t="n">
        <v>0.02</v>
      </c>
      <c r="G3817" s="3">
        <f>F3817-E3817</f>
        <v/>
      </c>
      <c r="H3817" s="4">
        <f>IF(E3817=0,"",F3817/E3817-1)</f>
        <v/>
      </c>
      <c r="I3817" t="inlineStr"/>
    </row>
    <row r="3818">
      <c r="A3818" t="inlineStr">
        <is>
          <t>Textiles &amp; apparel</t>
        </is>
      </c>
      <c r="B3818" t="inlineStr">
        <is>
          <t>63</t>
        </is>
      </c>
      <c r="C3818" t="inlineStr">
        <is>
          <t>63041930</t>
        </is>
      </c>
      <c r="D3818" t="inlineStr">
        <is>
          <t>BEDSHEETS AND BED COVERS OF MAN-MADE FIBRES</t>
        </is>
      </c>
      <c r="E3818" s="3" t="n">
        <v>0.01</v>
      </c>
      <c r="F3818" s="3" t="n">
        <v>0.02</v>
      </c>
      <c r="G3818" s="3">
        <f>F3818-E3818</f>
        <v/>
      </c>
      <c r="H3818" s="4">
        <f>IF(E3818=0,"",F3818/E3818-1)</f>
        <v/>
      </c>
      <c r="I3818" t="inlineStr"/>
    </row>
    <row r="3819">
      <c r="A3819" t="inlineStr">
        <is>
          <t>Textiles &amp; apparel</t>
        </is>
      </c>
      <c r="B3819" t="inlineStr">
        <is>
          <t>63</t>
        </is>
      </c>
      <c r="C3819" t="inlineStr">
        <is>
          <t>63042000</t>
        </is>
      </c>
      <c r="D3819" t="inlineStr">
        <is>
          <t>Bed nets specified in Sub-heading Note 1 to this Chapter</t>
        </is>
      </c>
      <c r="E3819" s="3" t="n">
        <v>0</v>
      </c>
      <c r="F3819" s="3" t="n">
        <v>0.02</v>
      </c>
      <c r="G3819" s="3">
        <f>F3819-E3819</f>
        <v/>
      </c>
      <c r="H3819" s="4">
        <f>IF(E3819=0,"",F3819/E3819-1)</f>
        <v/>
      </c>
      <c r="I3819" t="inlineStr"/>
    </row>
    <row r="3820">
      <c r="A3820" t="inlineStr">
        <is>
          <t>Textiles &amp; apparel</t>
        </is>
      </c>
      <c r="B3820" t="inlineStr">
        <is>
          <t>63</t>
        </is>
      </c>
      <c r="C3820" t="inlineStr">
        <is>
          <t>63052000</t>
        </is>
      </c>
      <c r="D3820" t="inlineStr">
        <is>
          <t>SACKS AND BAGS OF COTTON</t>
        </is>
      </c>
      <c r="E3820" s="3" t="n">
        <v>0</v>
      </c>
      <c r="F3820" s="3" t="n">
        <v>0.02</v>
      </c>
      <c r="G3820" s="3">
        <f>F3820-E3820</f>
        <v/>
      </c>
      <c r="H3820" s="4">
        <f>IF(E3820=0,"",F3820/E3820-1)</f>
        <v/>
      </c>
      <c r="I3820" t="inlineStr"/>
    </row>
    <row r="3821">
      <c r="A3821" t="inlineStr">
        <is>
          <t>Textiles &amp; apparel</t>
        </is>
      </c>
      <c r="B3821" t="inlineStr">
        <is>
          <t>50</t>
        </is>
      </c>
      <c r="C3821" t="inlineStr">
        <is>
          <t>50050011</t>
        </is>
      </c>
      <c r="D3821" t="inlineStr">
        <is>
          <t>YRN SPN FRM SLK WST OTHR THN NOIL SLK CONTNG &gt;=85% BY WT OF SLK WST.</t>
        </is>
      </c>
      <c r="E3821" s="3" t="n">
        <v>0</v>
      </c>
      <c r="F3821" s="3" t="n">
        <v>0.01</v>
      </c>
      <c r="G3821" s="3">
        <f>F3821-E3821</f>
        <v/>
      </c>
      <c r="H3821" s="4">
        <f>IF(E3821=0,"",F3821/E3821-1)</f>
        <v/>
      </c>
      <c r="I3821" t="inlineStr"/>
    </row>
    <row r="3822">
      <c r="A3822" t="inlineStr">
        <is>
          <t>Textiles &amp; apparel</t>
        </is>
      </c>
      <c r="B3822" t="inlineStr">
        <is>
          <t>50</t>
        </is>
      </c>
      <c r="C3822" t="inlineStr">
        <is>
          <t>50060090</t>
        </is>
      </c>
      <c r="D3822" t="inlineStr">
        <is>
          <t>OTHERS-OF-SLK YRN AND YRN SPUN FROM SLK WAST PUT UP FOR RETAIL SALE,SLK-WORM GUT</t>
        </is>
      </c>
      <c r="E3822" s="3" t="n">
        <v>0.01</v>
      </c>
      <c r="F3822" s="3" t="n">
        <v>0.01</v>
      </c>
      <c r="G3822" s="3">
        <f>F3822-E3822</f>
        <v/>
      </c>
      <c r="H3822" s="4">
        <f>IF(E3822=0,"",F3822/E3822-1)</f>
        <v/>
      </c>
      <c r="I3822" t="inlineStr"/>
    </row>
    <row r="3823">
      <c r="A3823" t="inlineStr">
        <is>
          <t>Textiles &amp; apparel</t>
        </is>
      </c>
      <c r="B3823" t="inlineStr">
        <is>
          <t>50</t>
        </is>
      </c>
      <c r="C3823" t="inlineStr">
        <is>
          <t>50079010</t>
        </is>
      </c>
      <c r="D3823" t="inlineStr">
        <is>
          <t>OTHER WOVEN FABRICS OF HANDLOOM</t>
        </is>
      </c>
      <c r="E3823" s="3" t="n">
        <v>0</v>
      </c>
      <c r="F3823" s="3" t="n">
        <v>0.01</v>
      </c>
      <c r="G3823" s="3">
        <f>F3823-E3823</f>
        <v/>
      </c>
      <c r="H3823" s="4">
        <f>IF(E3823=0,"",F3823/E3823-1)</f>
        <v/>
      </c>
      <c r="I3823" t="inlineStr"/>
    </row>
    <row r="3824">
      <c r="A3824" t="inlineStr">
        <is>
          <t>Textiles &amp; apparel</t>
        </is>
      </c>
      <c r="B3824" t="inlineStr">
        <is>
          <t>51</t>
        </is>
      </c>
      <c r="C3824" t="inlineStr">
        <is>
          <t>51112030</t>
        </is>
      </c>
      <c r="D3824" t="inlineStr">
        <is>
          <t>OTHER WOVEN FABRICS,DYED</t>
        </is>
      </c>
      <c r="E3824" s="3" t="n">
        <v>0</v>
      </c>
      <c r="F3824" s="3" t="n">
        <v>0.01</v>
      </c>
      <c r="G3824" s="3">
        <f>F3824-E3824</f>
        <v/>
      </c>
      <c r="H3824" s="4">
        <f>IF(E3824=0,"",F3824/E3824-1)</f>
        <v/>
      </c>
      <c r="I3824" t="inlineStr"/>
    </row>
    <row r="3825">
      <c r="A3825" t="inlineStr">
        <is>
          <t>Textiles &amp; apparel</t>
        </is>
      </c>
      <c r="B3825" t="inlineStr">
        <is>
          <t>52</t>
        </is>
      </c>
      <c r="C3825" t="inlineStr">
        <is>
          <t>52042030</t>
        </is>
      </c>
      <c r="D3825" t="inlineStr">
        <is>
          <t>EMBROIDERY COTTON THREAD</t>
        </is>
      </c>
      <c r="E3825" s="3" t="n">
        <v>0</v>
      </c>
      <c r="F3825" s="3" t="n">
        <v>0.01</v>
      </c>
      <c r="G3825" s="3">
        <f>F3825-E3825</f>
        <v/>
      </c>
      <c r="H3825" s="4">
        <f>IF(E3825=0,"",F3825/E3825-1)</f>
        <v/>
      </c>
      <c r="I3825" t="inlineStr"/>
    </row>
    <row r="3826">
      <c r="A3826" t="inlineStr">
        <is>
          <t>Textiles &amp; apparel</t>
        </is>
      </c>
      <c r="B3826" t="inlineStr">
        <is>
          <t>52</t>
        </is>
      </c>
      <c r="C3826" t="inlineStr">
        <is>
          <t>52051130</t>
        </is>
      </c>
      <c r="D3826" t="inlineStr">
        <is>
          <t>DYED</t>
        </is>
      </c>
      <c r="E3826" s="3" t="n">
        <v>0.01</v>
      </c>
      <c r="F3826" s="3" t="n">
        <v>0.01</v>
      </c>
      <c r="G3826" s="3">
        <f>F3826-E3826</f>
        <v/>
      </c>
      <c r="H3826" s="4">
        <f>IF(E3826=0,"",F3826/E3826-1)</f>
        <v/>
      </c>
      <c r="I3826" t="inlineStr"/>
    </row>
    <row r="3827">
      <c r="A3827" t="inlineStr">
        <is>
          <t>Textiles &amp; apparel</t>
        </is>
      </c>
      <c r="B3827" t="inlineStr">
        <is>
          <t>52</t>
        </is>
      </c>
      <c r="C3827" t="inlineStr">
        <is>
          <t>52082120</t>
        </is>
      </c>
      <c r="D3827" t="inlineStr">
        <is>
          <t>SAREE</t>
        </is>
      </c>
      <c r="E3827" s="3" t="n">
        <v>0.03</v>
      </c>
      <c r="F3827" s="3" t="n">
        <v>0.01</v>
      </c>
      <c r="G3827" s="3">
        <f>F3827-E3827</f>
        <v/>
      </c>
      <c r="H3827" s="4">
        <f>IF(E3827=0,"",F3827/E3827-1)</f>
        <v/>
      </c>
      <c r="I3827" t="inlineStr"/>
    </row>
    <row r="3828">
      <c r="A3828" t="inlineStr">
        <is>
          <t>Textiles &amp; apparel</t>
        </is>
      </c>
      <c r="B3828" t="inlineStr">
        <is>
          <t>52</t>
        </is>
      </c>
      <c r="C3828" t="inlineStr">
        <is>
          <t>52083130</t>
        </is>
      </c>
      <c r="D3828" t="inlineStr">
        <is>
          <t>SHIRTING FBRCS</t>
        </is>
      </c>
      <c r="E3828" s="3" t="n">
        <v>0.02</v>
      </c>
      <c r="F3828" s="3" t="n">
        <v>0.01</v>
      </c>
      <c r="G3828" s="3">
        <f>F3828-E3828</f>
        <v/>
      </c>
      <c r="H3828" s="4">
        <f>IF(E3828=0,"",F3828/E3828-1)</f>
        <v/>
      </c>
      <c r="I3828" t="inlineStr"/>
    </row>
    <row r="3829">
      <c r="A3829" t="inlineStr">
        <is>
          <t>Textiles &amp; apparel</t>
        </is>
      </c>
      <c r="B3829" t="inlineStr">
        <is>
          <t>52</t>
        </is>
      </c>
      <c r="C3829" t="inlineStr">
        <is>
          <t>52083390</t>
        </is>
      </c>
      <c r="D3829" t="inlineStr">
        <is>
          <t>OTHERS-OF-COTN FABRICS CONTNG&gt;=85% BY WT OF COTN, DYED,3/4 THRED TWILL INCL CROSS TWILL,WEIGHING NOT MORE THN 200 G/M2</t>
        </is>
      </c>
      <c r="E3829" s="3" t="n">
        <v>0</v>
      </c>
      <c r="F3829" s="3" t="n">
        <v>0.01</v>
      </c>
      <c r="G3829" s="3">
        <f>F3829-E3829</f>
        <v/>
      </c>
      <c r="H3829" s="4">
        <f>IF(E3829=0,"",F3829/E3829-1)</f>
        <v/>
      </c>
      <c r="I3829" t="inlineStr"/>
    </row>
    <row r="3830">
      <c r="A3830" t="inlineStr">
        <is>
          <t>Textiles &amp; apparel</t>
        </is>
      </c>
      <c r="B3830" t="inlineStr">
        <is>
          <t>52</t>
        </is>
      </c>
      <c r="C3830" t="inlineStr">
        <is>
          <t>52084130</t>
        </is>
      </c>
      <c r="D3830" t="inlineStr">
        <is>
          <t>SHIRTING FABRICS</t>
        </is>
      </c>
      <c r="E3830" s="3" t="n">
        <v>0.01</v>
      </c>
      <c r="F3830" s="3" t="n">
        <v>0.01</v>
      </c>
      <c r="G3830" s="3">
        <f>F3830-E3830</f>
        <v/>
      </c>
      <c r="H3830" s="4">
        <f>IF(E3830=0,"",F3830/E3830-1)</f>
        <v/>
      </c>
      <c r="I3830" t="inlineStr"/>
    </row>
    <row r="3831">
      <c r="A3831" t="inlineStr">
        <is>
          <t>Textiles &amp; apparel</t>
        </is>
      </c>
      <c r="B3831" t="inlineStr">
        <is>
          <t>52</t>
        </is>
      </c>
      <c r="C3831" t="inlineStr">
        <is>
          <t>52094200</t>
        </is>
      </c>
      <c r="D3831" t="inlineStr">
        <is>
          <t>DENIM</t>
        </is>
      </c>
      <c r="E3831" s="3" t="n">
        <v>0.03</v>
      </c>
      <c r="F3831" s="3" t="n">
        <v>0.01</v>
      </c>
      <c r="G3831" s="3">
        <f>F3831-E3831</f>
        <v/>
      </c>
      <c r="H3831" s="4">
        <f>IF(E3831=0,"",F3831/E3831-1)</f>
        <v/>
      </c>
      <c r="I3831" t="inlineStr"/>
    </row>
    <row r="3832">
      <c r="A3832" t="inlineStr">
        <is>
          <t>Textiles &amp; apparel</t>
        </is>
      </c>
      <c r="B3832" t="inlineStr">
        <is>
          <t>52</t>
        </is>
      </c>
      <c r="C3832" t="inlineStr">
        <is>
          <t>52101900</t>
        </is>
      </c>
      <c r="D3832" t="inlineStr">
        <is>
          <t>OTHER MIXD COTN FABRICS, UNBLEACHED WEGHNGNOT MORE THAN 200 GM PER SQM</t>
        </is>
      </c>
      <c r="E3832" s="3" t="n">
        <v>0</v>
      </c>
      <c r="F3832" s="3" t="n">
        <v>0.01</v>
      </c>
      <c r="G3832" s="3">
        <f>F3832-E3832</f>
        <v/>
      </c>
      <c r="H3832" s="4">
        <f>IF(E3832=0,"",F3832/E3832-1)</f>
        <v/>
      </c>
      <c r="I3832" t="inlineStr"/>
    </row>
    <row r="3833">
      <c r="A3833" t="inlineStr">
        <is>
          <t>Textiles &amp; apparel</t>
        </is>
      </c>
      <c r="B3833" t="inlineStr">
        <is>
          <t>52</t>
        </is>
      </c>
      <c r="C3833" t="inlineStr">
        <is>
          <t>52102990</t>
        </is>
      </c>
      <c r="D3833" t="inlineStr">
        <is>
          <t>OTHERS-OF-OTHER MXD COTN FABRICS,BLEACHED WEGHNGNOT MORE THN 200 GM PER SQM</t>
        </is>
      </c>
      <c r="E3833" s="3" t="n">
        <v>0.03</v>
      </c>
      <c r="F3833" s="3" t="n">
        <v>0.01</v>
      </c>
      <c r="G3833" s="3">
        <f>F3833-E3833</f>
        <v/>
      </c>
      <c r="H3833" s="4">
        <f>IF(E3833=0,"",F3833/E3833-1)</f>
        <v/>
      </c>
      <c r="I3833" t="inlineStr"/>
    </row>
    <row r="3834">
      <c r="A3834" t="inlineStr">
        <is>
          <t>Textiles &amp; apparel</t>
        </is>
      </c>
      <c r="B3834" t="inlineStr">
        <is>
          <t>52</t>
        </is>
      </c>
      <c r="C3834" t="inlineStr">
        <is>
          <t>52103990</t>
        </is>
      </c>
      <c r="D3834" t="inlineStr">
        <is>
          <t>OTHERS-OF-OTHER FABRICS :</t>
        </is>
      </c>
      <c r="E3834" s="3" t="n">
        <v>0.02</v>
      </c>
      <c r="F3834" s="3" t="n">
        <v>0.01</v>
      </c>
      <c r="G3834" s="3">
        <f>F3834-E3834</f>
        <v/>
      </c>
      <c r="H3834" s="4">
        <f>IF(E3834=0,"",F3834/E3834-1)</f>
        <v/>
      </c>
      <c r="I3834" t="inlineStr"/>
    </row>
    <row r="3835">
      <c r="A3835" t="inlineStr">
        <is>
          <t>Textiles &amp; apparel</t>
        </is>
      </c>
      <c r="B3835" t="inlineStr">
        <is>
          <t>52</t>
        </is>
      </c>
      <c r="C3835" t="inlineStr">
        <is>
          <t>52113190</t>
        </is>
      </c>
      <c r="D3835" t="inlineStr">
        <is>
          <t>OTHERS-OF-PLAIN WEAVE,DYED,MXD COTN FABRICS WEGHING MORE THAN 200 GM PER SQM</t>
        </is>
      </c>
      <c r="E3835" s="3" t="n">
        <v>0.04</v>
      </c>
      <c r="F3835" s="3" t="n">
        <v>0.01</v>
      </c>
      <c r="G3835" s="3">
        <f>F3835-E3835</f>
        <v/>
      </c>
      <c r="H3835" s="4">
        <f>IF(E3835=0,"",F3835/E3835-1)</f>
        <v/>
      </c>
      <c r="I3835" t="inlineStr"/>
    </row>
    <row r="3836">
      <c r="A3836" t="inlineStr">
        <is>
          <t>Textiles &amp; apparel</t>
        </is>
      </c>
      <c r="B3836" t="inlineStr">
        <is>
          <t>54</t>
        </is>
      </c>
      <c r="C3836" t="inlineStr">
        <is>
          <t>54026300</t>
        </is>
      </c>
      <c r="D3836" t="inlineStr">
        <is>
          <t>OTHER YARN OF POLYPROPYLENE MULTPL OR CABLD</t>
        </is>
      </c>
      <c r="E3836" s="3" t="n">
        <v>0</v>
      </c>
      <c r="F3836" s="3" t="n">
        <v>0.01</v>
      </c>
      <c r="G3836" s="3">
        <f>F3836-E3836</f>
        <v/>
      </c>
      <c r="H3836" s="4">
        <f>IF(E3836=0,"",F3836/E3836-1)</f>
        <v/>
      </c>
      <c r="I3836" t="inlineStr"/>
    </row>
    <row r="3837">
      <c r="A3837" t="inlineStr">
        <is>
          <t>Textiles &amp; apparel</t>
        </is>
      </c>
      <c r="B3837" t="inlineStr">
        <is>
          <t>54</t>
        </is>
      </c>
      <c r="C3837" t="inlineStr">
        <is>
          <t>54071029</t>
        </is>
      </c>
      <c r="D3837" t="inlineStr">
        <is>
          <t>BLECHD OTHR POLYESTER FABRCS</t>
        </is>
      </c>
      <c r="E3837" s="3" t="n">
        <v>0</v>
      </c>
      <c r="F3837" s="3" t="n">
        <v>0.01</v>
      </c>
      <c r="G3837" s="3">
        <f>F3837-E3837</f>
        <v/>
      </c>
      <c r="H3837" s="4">
        <f>IF(E3837=0,"",F3837/E3837-1)</f>
        <v/>
      </c>
      <c r="I3837" t="inlineStr"/>
    </row>
    <row r="3838">
      <c r="A3838" t="inlineStr">
        <is>
          <t>Textiles &amp; apparel</t>
        </is>
      </c>
      <c r="B3838" t="inlineStr">
        <is>
          <t>54</t>
        </is>
      </c>
      <c r="C3838" t="inlineStr">
        <is>
          <t>54071092</t>
        </is>
      </c>
      <c r="D3838" t="inlineStr">
        <is>
          <t>OTHR TENT FBRCS</t>
        </is>
      </c>
      <c r="E3838" s="3" t="n">
        <v>0</v>
      </c>
      <c r="F3838" s="3" t="n">
        <v>0.01</v>
      </c>
      <c r="G3838" s="3">
        <f>F3838-E3838</f>
        <v/>
      </c>
      <c r="H3838" s="4">
        <f>IF(E3838=0,"",F3838/E3838-1)</f>
        <v/>
      </c>
      <c r="I3838" t="inlineStr"/>
    </row>
    <row r="3839">
      <c r="A3839" t="inlineStr">
        <is>
          <t>Textiles &amp; apparel</t>
        </is>
      </c>
      <c r="B3839" t="inlineStr">
        <is>
          <t>54</t>
        </is>
      </c>
      <c r="C3839" t="inlineStr">
        <is>
          <t>54078220</t>
        </is>
      </c>
      <c r="D3839" t="inlineStr">
        <is>
          <t>NYLON SAREES</t>
        </is>
      </c>
      <c r="E3839" s="3" t="n">
        <v>0</v>
      </c>
      <c r="F3839" s="3" t="n">
        <v>0.01</v>
      </c>
      <c r="G3839" s="3">
        <f>F3839-E3839</f>
        <v/>
      </c>
      <c r="H3839" s="4">
        <f>IF(E3839=0,"",F3839/E3839-1)</f>
        <v/>
      </c>
      <c r="I3839" t="inlineStr"/>
    </row>
    <row r="3840">
      <c r="A3840" t="inlineStr">
        <is>
          <t>Textiles &amp; apparel</t>
        </is>
      </c>
      <c r="B3840" t="inlineStr">
        <is>
          <t>54</t>
        </is>
      </c>
      <c r="C3840" t="inlineStr">
        <is>
          <t>54079300</t>
        </is>
      </c>
      <c r="D3840" t="inlineStr">
        <is>
          <t>OTHR SYNTHTIC WOVN FABRCS OF YARNS OF DIFFERENT COLOURS</t>
        </is>
      </c>
      <c r="E3840" s="3" t="n">
        <v>0.01</v>
      </c>
      <c r="F3840" s="3" t="n">
        <v>0.01</v>
      </c>
      <c r="G3840" s="3">
        <f>F3840-E3840</f>
        <v/>
      </c>
      <c r="H3840" s="4">
        <f>IF(E3840=0,"",F3840/E3840-1)</f>
        <v/>
      </c>
      <c r="I3840" t="inlineStr"/>
    </row>
    <row r="3841">
      <c r="A3841" t="inlineStr">
        <is>
          <t>Textiles &amp; apparel</t>
        </is>
      </c>
      <c r="B3841" t="inlineStr">
        <is>
          <t>54</t>
        </is>
      </c>
      <c r="C3841" t="inlineStr">
        <is>
          <t>54083490</t>
        </is>
      </c>
      <c r="D3841" t="inlineStr">
        <is>
          <t>OTHER ARTIPCL PRINTD FBRCS</t>
        </is>
      </c>
      <c r="E3841" s="3" t="n">
        <v>0</v>
      </c>
      <c r="F3841" s="3" t="n">
        <v>0.01</v>
      </c>
      <c r="G3841" s="3">
        <f>F3841-E3841</f>
        <v/>
      </c>
      <c r="H3841" s="4">
        <f>IF(E3841=0,"",F3841/E3841-1)</f>
        <v/>
      </c>
      <c r="I3841" t="inlineStr"/>
    </row>
    <row r="3842">
      <c r="A3842" t="inlineStr">
        <is>
          <t>Textiles &amp; apparel</t>
        </is>
      </c>
      <c r="B3842" t="inlineStr">
        <is>
          <t>55</t>
        </is>
      </c>
      <c r="C3842" t="inlineStr">
        <is>
          <t>55131120</t>
        </is>
      </c>
      <c r="D3842" t="inlineStr">
        <is>
          <t>BLCHD WOVN POLYSTR STPL FBRC,PLAN WEVN</t>
        </is>
      </c>
      <c r="E3842" s="3" t="n">
        <v>0</v>
      </c>
      <c r="F3842" s="3" t="n">
        <v>0.01</v>
      </c>
      <c r="G3842" s="3">
        <f>F3842-E3842</f>
        <v/>
      </c>
      <c r="H3842" s="4">
        <f>IF(E3842=0,"",F3842/E3842-1)</f>
        <v/>
      </c>
      <c r="I3842" t="inlineStr"/>
    </row>
    <row r="3843">
      <c r="A3843" t="inlineStr">
        <is>
          <t>Textiles &amp; apparel</t>
        </is>
      </c>
      <c r="B3843" t="inlineStr">
        <is>
          <t>55</t>
        </is>
      </c>
      <c r="C3843" t="inlineStr">
        <is>
          <t>55134100</t>
        </is>
      </c>
      <c r="D3843" t="inlineStr">
        <is>
          <t>WOVEN FABRICS OF POLYSTER STAPLE FIBRES, PLAIN WEAVE,PRINTED</t>
        </is>
      </c>
      <c r="E3843" s="3" t="n">
        <v>0</v>
      </c>
      <c r="F3843" s="3" t="n">
        <v>0.01</v>
      </c>
      <c r="G3843" s="3">
        <f>F3843-E3843</f>
        <v/>
      </c>
      <c r="H3843" s="4">
        <f>IF(E3843=0,"",F3843/E3843-1)</f>
        <v/>
      </c>
      <c r="I3843" t="inlineStr"/>
    </row>
    <row r="3844">
      <c r="A3844" t="inlineStr">
        <is>
          <t>Textiles &amp; apparel</t>
        </is>
      </c>
      <c r="B3844" t="inlineStr">
        <is>
          <t>55</t>
        </is>
      </c>
      <c r="C3844" t="inlineStr">
        <is>
          <t>55151190</t>
        </is>
      </c>
      <c r="D3844" t="inlineStr">
        <is>
          <t>FBRC OF POLSTR,MXD WTH VISCOS RYON,OTHRS</t>
        </is>
      </c>
      <c r="E3844" s="3" t="n">
        <v>3.62</v>
      </c>
      <c r="F3844" s="3" t="n">
        <v>0.01</v>
      </c>
      <c r="G3844" s="3">
        <f>F3844-E3844</f>
        <v/>
      </c>
      <c r="H3844" s="4">
        <f>IF(E3844=0,"",F3844/E3844-1)</f>
        <v/>
      </c>
      <c r="I3844" t="inlineStr"/>
    </row>
    <row r="3845">
      <c r="A3845" t="inlineStr">
        <is>
          <t>Textiles &amp; apparel</t>
        </is>
      </c>
      <c r="B3845" t="inlineStr">
        <is>
          <t>55</t>
        </is>
      </c>
      <c r="C3845" t="inlineStr">
        <is>
          <t>55151990</t>
        </is>
      </c>
      <c r="D3845" t="inlineStr">
        <is>
          <t>FBRC OF POLSTR , MXD WTH OTHR FIBRS, OTHR</t>
        </is>
      </c>
      <c r="E3845" s="3" t="n">
        <v>0</v>
      </c>
      <c r="F3845" s="3" t="n">
        <v>0.01</v>
      </c>
      <c r="G3845" s="3">
        <f>F3845-E3845</f>
        <v/>
      </c>
      <c r="H3845" s="4">
        <f>IF(E3845=0,"",F3845/E3845-1)</f>
        <v/>
      </c>
      <c r="I3845" t="inlineStr"/>
    </row>
    <row r="3846">
      <c r="A3846" t="inlineStr">
        <is>
          <t>Textiles &amp; apparel</t>
        </is>
      </c>
      <c r="B3846" t="inlineStr">
        <is>
          <t>55</t>
        </is>
      </c>
      <c r="C3846" t="inlineStr">
        <is>
          <t>55152130</t>
        </is>
      </c>
      <c r="D3846" t="inlineStr">
        <is>
          <t>FBRC OF ACRYLC/MODACRYLC, MXD WTH MAN- MADEFILMNT. DYED</t>
        </is>
      </c>
      <c r="E3846" s="3" t="n">
        <v>0</v>
      </c>
      <c r="F3846" s="3" t="n">
        <v>0.01</v>
      </c>
      <c r="G3846" s="3">
        <f>F3846-E3846</f>
        <v/>
      </c>
      <c r="H3846" s="4">
        <f>IF(E3846=0,"",F3846/E3846-1)</f>
        <v/>
      </c>
      <c r="I3846" t="inlineStr"/>
    </row>
    <row r="3847">
      <c r="A3847" t="inlineStr">
        <is>
          <t>Textiles &amp; apparel</t>
        </is>
      </c>
      <c r="B3847" t="inlineStr">
        <is>
          <t>56</t>
        </is>
      </c>
      <c r="C3847" t="inlineStr">
        <is>
          <t>56022100</t>
        </is>
      </c>
      <c r="D3847" t="inlineStr">
        <is>
          <t>FELT,NOT IMPREGNATED,COATED,COVERED/ LAMINATED,OF WOOL/FINE ANIMAL HAIR</t>
        </is>
      </c>
      <c r="E3847" s="3" t="n">
        <v>0</v>
      </c>
      <c r="F3847" s="3" t="n">
        <v>0.01</v>
      </c>
      <c r="G3847" s="3">
        <f>F3847-E3847</f>
        <v/>
      </c>
      <c r="H3847" s="4">
        <f>IF(E3847=0,"",F3847/E3847-1)</f>
        <v/>
      </c>
      <c r="I3847" t="inlineStr"/>
    </row>
    <row r="3848">
      <c r="A3848" t="inlineStr">
        <is>
          <t>Textiles &amp; apparel</t>
        </is>
      </c>
      <c r="B3848" t="inlineStr">
        <is>
          <t>56</t>
        </is>
      </c>
      <c r="C3848" t="inlineStr">
        <is>
          <t>56022990</t>
        </is>
      </c>
      <c r="D3848" t="inlineStr">
        <is>
          <t>OTHER TEXTILE FELT</t>
        </is>
      </c>
      <c r="E3848" s="3" t="n">
        <v>0</v>
      </c>
      <c r="F3848" s="3" t="n">
        <v>0.01</v>
      </c>
      <c r="G3848" s="3">
        <f>F3848-E3848</f>
        <v/>
      </c>
      <c r="H3848" s="4">
        <f>IF(E3848=0,"",F3848/E3848-1)</f>
        <v/>
      </c>
      <c r="I3848" t="inlineStr"/>
    </row>
    <row r="3849">
      <c r="A3849" t="inlineStr">
        <is>
          <t>Textiles &amp; apparel</t>
        </is>
      </c>
      <c r="B3849" t="inlineStr">
        <is>
          <t>56</t>
        </is>
      </c>
      <c r="C3849" t="inlineStr">
        <is>
          <t>56075020</t>
        </is>
      </c>
      <c r="D3849" t="inlineStr">
        <is>
          <t>NYLON TYRE CORD</t>
        </is>
      </c>
      <c r="E3849" s="3" t="n">
        <v>0</v>
      </c>
      <c r="F3849" s="3" t="n">
        <v>0.01</v>
      </c>
      <c r="G3849" s="3">
        <f>F3849-E3849</f>
        <v/>
      </c>
      <c r="H3849" s="4">
        <f>IF(E3849=0,"",F3849/E3849-1)</f>
        <v/>
      </c>
      <c r="I3849" t="inlineStr"/>
    </row>
    <row r="3850">
      <c r="A3850" t="inlineStr">
        <is>
          <t>Textiles &amp; apparel</t>
        </is>
      </c>
      <c r="B3850" t="inlineStr">
        <is>
          <t>56</t>
        </is>
      </c>
      <c r="C3850" t="inlineStr">
        <is>
          <t>56081900</t>
        </is>
      </c>
      <c r="D3850" t="inlineStr">
        <is>
          <t>OTHER KNOTTED NETTING OF TWINE,CORDAGE OR ROPE OF MAN-MADE TEXTILE MATERIALS</t>
        </is>
      </c>
      <c r="E3850" s="3" t="n">
        <v>1.6</v>
      </c>
      <c r="F3850" s="3" t="n">
        <v>0.01</v>
      </c>
      <c r="G3850" s="3">
        <f>F3850-E3850</f>
        <v/>
      </c>
      <c r="H3850" s="4">
        <f>IF(E3850=0,"",F3850/E3850-1)</f>
        <v/>
      </c>
      <c r="I3850" t="inlineStr"/>
    </row>
    <row r="3851">
      <c r="A3851" t="inlineStr">
        <is>
          <t>Textiles &amp; apparel</t>
        </is>
      </c>
      <c r="B3851" t="inlineStr">
        <is>
          <t>57</t>
        </is>
      </c>
      <c r="C3851" t="inlineStr">
        <is>
          <t>57011090</t>
        </is>
      </c>
      <c r="D3851" t="inlineStr">
        <is>
          <t>OTHERS-OF-CARPETS AND OTHER TEXTILE FLOOR COVERINGS OF WOOL OR FINE ANIMAL HAIR, KNOTTED</t>
        </is>
      </c>
      <c r="E3851" s="3" t="n">
        <v>0.29</v>
      </c>
      <c r="F3851" s="3" t="n">
        <v>0.01</v>
      </c>
      <c r="G3851" s="3">
        <f>F3851-E3851</f>
        <v/>
      </c>
      <c r="H3851" s="4">
        <f>IF(E3851=0,"",F3851/E3851-1)</f>
        <v/>
      </c>
      <c r="I3851" t="inlineStr"/>
    </row>
    <row r="3852">
      <c r="A3852" t="inlineStr">
        <is>
          <t>Textiles &amp; apparel</t>
        </is>
      </c>
      <c r="B3852" t="inlineStr">
        <is>
          <t>57</t>
        </is>
      </c>
      <c r="C3852" t="inlineStr">
        <is>
          <t>57019019</t>
        </is>
      </c>
      <c r="D3852" t="inlineStr">
        <is>
          <t>OTHERS-OF-CRPTS AND FLR CVRNGS KNOTTD OF OTR TXTL MTRL</t>
        </is>
      </c>
      <c r="E3852" s="3" t="n">
        <v>0.03</v>
      </c>
      <c r="F3852" s="3" t="n">
        <v>0.01</v>
      </c>
      <c r="G3852" s="3">
        <f>F3852-E3852</f>
        <v/>
      </c>
      <c r="H3852" s="4">
        <f>IF(E3852=0,"",F3852/E3852-1)</f>
        <v/>
      </c>
      <c r="I3852" t="inlineStr"/>
    </row>
    <row r="3853">
      <c r="A3853" t="inlineStr">
        <is>
          <t>Textiles &amp; apparel</t>
        </is>
      </c>
      <c r="B3853" t="inlineStr">
        <is>
          <t>57</t>
        </is>
      </c>
      <c r="C3853" t="inlineStr">
        <is>
          <t>57023190</t>
        </is>
      </c>
      <c r="D3853" t="inlineStr">
        <is>
          <t>OTHR FLR CVRNGS OF WOOL/FINE ANML HAIR</t>
        </is>
      </c>
      <c r="E3853" s="3" t="n">
        <v>0.03</v>
      </c>
      <c r="F3853" s="3" t="n">
        <v>0.01</v>
      </c>
      <c r="G3853" s="3">
        <f>F3853-E3853</f>
        <v/>
      </c>
      <c r="H3853" s="4">
        <f>IF(E3853=0,"",F3853/E3853-1)</f>
        <v/>
      </c>
      <c r="I3853" t="inlineStr"/>
    </row>
    <row r="3854">
      <c r="A3854" t="inlineStr">
        <is>
          <t>Textiles &amp; apparel</t>
        </is>
      </c>
      <c r="B3854" t="inlineStr">
        <is>
          <t>57</t>
        </is>
      </c>
      <c r="C3854" t="inlineStr">
        <is>
          <t>57024910</t>
        </is>
      </c>
      <c r="D3854" t="inlineStr">
        <is>
          <t>CRPTS ETC (NT DURRIES OF COTTON)</t>
        </is>
      </c>
      <c r="E3854" s="3" t="n">
        <v>0</v>
      </c>
      <c r="F3854" s="3" t="n">
        <v>0.01</v>
      </c>
      <c r="G3854" s="3">
        <f>F3854-E3854</f>
        <v/>
      </c>
      <c r="H3854" s="4">
        <f>IF(E3854=0,"",F3854/E3854-1)</f>
        <v/>
      </c>
      <c r="I3854" t="inlineStr"/>
    </row>
    <row r="3855">
      <c r="A3855" t="inlineStr">
        <is>
          <t>Textiles &amp; apparel</t>
        </is>
      </c>
      <c r="B3855" t="inlineStr">
        <is>
          <t>57</t>
        </is>
      </c>
      <c r="C3855" t="inlineStr">
        <is>
          <t>57024990</t>
        </is>
      </c>
      <c r="D3855" t="inlineStr">
        <is>
          <t>OTHR FLR CVRNGS</t>
        </is>
      </c>
      <c r="E3855" s="3" t="n">
        <v>0</v>
      </c>
      <c r="F3855" s="3" t="n">
        <v>0.01</v>
      </c>
      <c r="G3855" s="3">
        <f>F3855-E3855</f>
        <v/>
      </c>
      <c r="H3855" s="4">
        <f>IF(E3855=0,"",F3855/E3855-1)</f>
        <v/>
      </c>
      <c r="I3855" t="inlineStr"/>
    </row>
    <row r="3856">
      <c r="A3856" t="inlineStr">
        <is>
          <t>Textiles &amp; apparel</t>
        </is>
      </c>
      <c r="B3856" t="inlineStr">
        <is>
          <t>57</t>
        </is>
      </c>
      <c r="C3856" t="inlineStr">
        <is>
          <t>57029910</t>
        </is>
      </c>
      <c r="D3856" t="inlineStr">
        <is>
          <t>CARPETS ETC OF COTTON (NT DURRIES)</t>
        </is>
      </c>
      <c r="E3856" s="3" t="n">
        <v>0</v>
      </c>
      <c r="F3856" s="3" t="n">
        <v>0.01</v>
      </c>
      <c r="G3856" s="3">
        <f>F3856-E3856</f>
        <v/>
      </c>
      <c r="H3856" s="4">
        <f>IF(E3856=0,"",F3856/E3856-1)</f>
        <v/>
      </c>
      <c r="I3856" t="inlineStr"/>
    </row>
    <row r="3857">
      <c r="A3857" t="inlineStr">
        <is>
          <t>Textiles &amp; apparel</t>
        </is>
      </c>
      <c r="B3857" t="inlineStr">
        <is>
          <t>57</t>
        </is>
      </c>
      <c r="C3857" t="inlineStr">
        <is>
          <t>57029990</t>
        </is>
      </c>
      <c r="D3857" t="inlineStr">
        <is>
          <t>OTHR FLR CVRNGS OF OTHR TXTL, NT PILE CONSTRTN</t>
        </is>
      </c>
      <c r="E3857" s="3" t="n">
        <v>0</v>
      </c>
      <c r="F3857" s="3" t="n">
        <v>0.01</v>
      </c>
      <c r="G3857" s="3">
        <f>F3857-E3857</f>
        <v/>
      </c>
      <c r="H3857" s="4">
        <f>IF(E3857=0,"",F3857/E3857-1)</f>
        <v/>
      </c>
      <c r="I3857" t="inlineStr"/>
    </row>
    <row r="3858">
      <c r="A3858" t="inlineStr">
        <is>
          <t>Textiles &amp; apparel</t>
        </is>
      </c>
      <c r="B3858" t="inlineStr">
        <is>
          <t>57</t>
        </is>
      </c>
      <c r="C3858" t="inlineStr">
        <is>
          <t>57031090</t>
        </is>
      </c>
      <c r="D3858" t="inlineStr">
        <is>
          <t>OTHERS-OF-OF WOOL OR FINE ANIMAL HAIR:</t>
        </is>
      </c>
      <c r="E3858" s="3" t="n">
        <v>0.09</v>
      </c>
      <c r="F3858" s="3" t="n">
        <v>0.01</v>
      </c>
      <c r="G3858" s="3">
        <f>F3858-E3858</f>
        <v/>
      </c>
      <c r="H3858" s="4">
        <f>IF(E3858=0,"",F3858/E3858-1)</f>
        <v/>
      </c>
      <c r="I3858" t="inlineStr"/>
    </row>
    <row r="3859">
      <c r="A3859" t="inlineStr">
        <is>
          <t>Textiles &amp; apparel</t>
        </is>
      </c>
      <c r="B3859" t="inlineStr">
        <is>
          <t>58</t>
        </is>
      </c>
      <c r="C3859" t="inlineStr">
        <is>
          <t>58012210</t>
        </is>
      </c>
      <c r="D3859" t="inlineStr">
        <is>
          <t>SOLELY OF COTTON</t>
        </is>
      </c>
      <c r="E3859" s="3" t="n">
        <v>0</v>
      </c>
      <c r="F3859" s="3" t="n">
        <v>0.01</v>
      </c>
      <c r="G3859" s="3">
        <f>F3859-E3859</f>
        <v/>
      </c>
      <c r="H3859" s="4">
        <f>IF(E3859=0,"",F3859/E3859-1)</f>
        <v/>
      </c>
      <c r="I3859" t="inlineStr"/>
    </row>
    <row r="3860">
      <c r="A3860" t="inlineStr">
        <is>
          <t>Textiles &amp; apparel</t>
        </is>
      </c>
      <c r="B3860" t="inlineStr">
        <is>
          <t>58</t>
        </is>
      </c>
      <c r="C3860" t="inlineStr">
        <is>
          <t>58050090</t>
        </is>
      </c>
      <c r="D3860" t="inlineStr">
        <is>
          <t>TAPESTRIES OF OTHRS</t>
        </is>
      </c>
      <c r="E3860" s="3" t="n">
        <v>0</v>
      </c>
      <c r="F3860" s="3" t="n">
        <v>0.01</v>
      </c>
      <c r="G3860" s="3">
        <f>F3860-E3860</f>
        <v/>
      </c>
      <c r="H3860" s="4">
        <f>IF(E3860=0,"",F3860/E3860-1)</f>
        <v/>
      </c>
      <c r="I3860" t="inlineStr"/>
    </row>
    <row r="3861">
      <c r="A3861" t="inlineStr">
        <is>
          <t>Textiles &amp; apparel</t>
        </is>
      </c>
      <c r="B3861" t="inlineStr">
        <is>
          <t>58</t>
        </is>
      </c>
      <c r="C3861" t="inlineStr">
        <is>
          <t>58062000</t>
        </is>
      </c>
      <c r="D3861" t="inlineStr">
        <is>
          <t>OTHR NARROW WVN FBRCS CNTNG BY WT 5% OR MORE OF ELASTOMRC YRN/RUBR THRD</t>
        </is>
      </c>
      <c r="E3861" s="3" t="n">
        <v>0.26</v>
      </c>
      <c r="F3861" s="3" t="n">
        <v>0.01</v>
      </c>
      <c r="G3861" s="3">
        <f>F3861-E3861</f>
        <v/>
      </c>
      <c r="H3861" s="4">
        <f>IF(E3861=0,"",F3861/E3861-1)</f>
        <v/>
      </c>
      <c r="I3861" t="inlineStr"/>
    </row>
    <row r="3862">
      <c r="A3862" t="inlineStr">
        <is>
          <t>Textiles &amp; apparel</t>
        </is>
      </c>
      <c r="B3862" t="inlineStr">
        <is>
          <t>58</t>
        </is>
      </c>
      <c r="C3862" t="inlineStr">
        <is>
          <t>58071010</t>
        </is>
      </c>
      <c r="D3862" t="inlineStr">
        <is>
          <t>WVN LABELS BADGES AND THE LIKE OF COTTON</t>
        </is>
      </c>
      <c r="E3862" s="3" t="n">
        <v>0</v>
      </c>
      <c r="F3862" s="3" t="n">
        <v>0.01</v>
      </c>
      <c r="G3862" s="3">
        <f>F3862-E3862</f>
        <v/>
      </c>
      <c r="H3862" s="4">
        <f>IF(E3862=0,"",F3862/E3862-1)</f>
        <v/>
      </c>
      <c r="I3862" t="inlineStr"/>
    </row>
    <row r="3863">
      <c r="A3863" t="inlineStr">
        <is>
          <t>Textiles &amp; apparel</t>
        </is>
      </c>
      <c r="B3863" t="inlineStr">
        <is>
          <t>58</t>
        </is>
      </c>
      <c r="C3863" t="inlineStr">
        <is>
          <t>58071090</t>
        </is>
      </c>
      <c r="D3863" t="inlineStr">
        <is>
          <t>WVN LABLS BADGS ETC OF OTHER TXTL MATRLS</t>
        </is>
      </c>
      <c r="E3863" s="3" t="n">
        <v>0.01</v>
      </c>
      <c r="F3863" s="3" t="n">
        <v>0.01</v>
      </c>
      <c r="G3863" s="3">
        <f>F3863-E3863</f>
        <v/>
      </c>
      <c r="H3863" s="4">
        <f>IF(E3863=0,"",F3863/E3863-1)</f>
        <v/>
      </c>
      <c r="I3863" t="inlineStr"/>
    </row>
    <row r="3864">
      <c r="A3864" t="inlineStr">
        <is>
          <t>Textiles &amp; apparel</t>
        </is>
      </c>
      <c r="B3864" t="inlineStr">
        <is>
          <t>58</t>
        </is>
      </c>
      <c r="C3864" t="inlineStr">
        <is>
          <t>58079090</t>
        </is>
      </c>
      <c r="D3864" t="inlineStr">
        <is>
          <t>OTHR LABELS BADGES AND SMLR ARTXLS</t>
        </is>
      </c>
      <c r="E3864" s="3" t="n">
        <v>0</v>
      </c>
      <c r="F3864" s="3" t="n">
        <v>0.01</v>
      </c>
      <c r="G3864" s="3">
        <f>F3864-E3864</f>
        <v/>
      </c>
      <c r="H3864" s="4">
        <f>IF(E3864=0,"",F3864/E3864-1)</f>
        <v/>
      </c>
      <c r="I3864" t="inlineStr"/>
    </row>
    <row r="3865">
      <c r="A3865" t="inlineStr">
        <is>
          <t>Textiles &amp; apparel</t>
        </is>
      </c>
      <c r="B3865" t="inlineStr">
        <is>
          <t>58</t>
        </is>
      </c>
      <c r="C3865" t="inlineStr">
        <is>
          <t>58089090</t>
        </is>
      </c>
      <c r="D3865" t="inlineStr">
        <is>
          <t>OTHERS-OF-ORNMNTL TRMMNGS, TASELS,POMPONS AND THE LIKE</t>
        </is>
      </c>
      <c r="E3865" s="3" t="n">
        <v>0</v>
      </c>
      <c r="F3865" s="3" t="n">
        <v>0.01</v>
      </c>
      <c r="G3865" s="3">
        <f>F3865-E3865</f>
        <v/>
      </c>
      <c r="H3865" s="4">
        <f>IF(E3865=0,"",F3865/E3865-1)</f>
        <v/>
      </c>
      <c r="I3865" t="inlineStr"/>
    </row>
    <row r="3866">
      <c r="A3866" t="inlineStr">
        <is>
          <t>Textiles &amp; apparel</t>
        </is>
      </c>
      <c r="B3866" t="inlineStr">
        <is>
          <t>58</t>
        </is>
      </c>
      <c r="C3866" t="inlineStr">
        <is>
          <t>58109190</t>
        </is>
      </c>
      <c r="D3866" t="inlineStr">
        <is>
          <t>OTHER EMBROIDERY OF COTTON-OTHER</t>
        </is>
      </c>
      <c r="E3866" s="3" t="n">
        <v>0.02</v>
      </c>
      <c r="F3866" s="3" t="n">
        <v>0.01</v>
      </c>
      <c r="G3866" s="3">
        <f>F3866-E3866</f>
        <v/>
      </c>
      <c r="H3866" s="4">
        <f>IF(E3866=0,"",F3866/E3866-1)</f>
        <v/>
      </c>
      <c r="I3866" t="inlineStr"/>
    </row>
    <row r="3867">
      <c r="A3867" t="inlineStr">
        <is>
          <t>Textiles &amp; apparel</t>
        </is>
      </c>
      <c r="B3867" t="inlineStr">
        <is>
          <t>58</t>
        </is>
      </c>
      <c r="C3867" t="inlineStr">
        <is>
          <t>58109290</t>
        </is>
      </c>
      <c r="D3867" t="inlineStr">
        <is>
          <t>OTHER EMBROIDERY OF MANMADE FIBRE</t>
        </is>
      </c>
      <c r="E3867" s="3" t="n">
        <v>0</v>
      </c>
      <c r="F3867" s="3" t="n">
        <v>0.01</v>
      </c>
      <c r="G3867" s="3">
        <f>F3867-E3867</f>
        <v/>
      </c>
      <c r="H3867" s="4">
        <f>IF(E3867=0,"",F3867/E3867-1)</f>
        <v/>
      </c>
      <c r="I3867" t="inlineStr"/>
    </row>
    <row r="3868">
      <c r="A3868" t="inlineStr">
        <is>
          <t>Textiles &amp; apparel</t>
        </is>
      </c>
      <c r="B3868" t="inlineStr">
        <is>
          <t>59</t>
        </is>
      </c>
      <c r="C3868" t="inlineStr">
        <is>
          <t>59031010</t>
        </is>
      </c>
      <c r="D3868" t="inlineStr">
        <is>
          <t>IMITAION LEATHER CLOTH OF COTTON LAMINATED PLTD ETC WITH PVC</t>
        </is>
      </c>
      <c r="E3868" s="3" t="n">
        <v>0.01</v>
      </c>
      <c r="F3868" s="3" t="n">
        <v>0.01</v>
      </c>
      <c r="G3868" s="3">
        <f>F3868-E3868</f>
        <v/>
      </c>
      <c r="H3868" s="4">
        <f>IF(E3868=0,"",F3868/E3868-1)</f>
        <v/>
      </c>
      <c r="I3868" t="inlineStr"/>
    </row>
    <row r="3869">
      <c r="A3869" t="inlineStr">
        <is>
          <t>Textiles &amp; apparel</t>
        </is>
      </c>
      <c r="B3869" t="inlineStr">
        <is>
          <t>59</t>
        </is>
      </c>
      <c r="C3869" t="inlineStr">
        <is>
          <t>59119010</t>
        </is>
      </c>
      <c r="D3869" t="inlineStr">
        <is>
          <t>PAPER MAKERS FELT(WOVEN)</t>
        </is>
      </c>
      <c r="E3869" s="3" t="n">
        <v>0</v>
      </c>
      <c r="F3869" s="3" t="n">
        <v>0.01</v>
      </c>
      <c r="G3869" s="3">
        <f>F3869-E3869</f>
        <v/>
      </c>
      <c r="H3869" s="4">
        <f>IF(E3869=0,"",F3869/E3869-1)</f>
        <v/>
      </c>
      <c r="I3869" t="inlineStr"/>
    </row>
    <row r="3870">
      <c r="A3870" t="inlineStr">
        <is>
          <t>Textiles &amp; apparel</t>
        </is>
      </c>
      <c r="B3870" t="inlineStr">
        <is>
          <t>60</t>
        </is>
      </c>
      <c r="C3870" t="inlineStr">
        <is>
          <t>60039000</t>
        </is>
      </c>
      <c r="D3870" t="inlineStr">
        <is>
          <t>FBRCS OF OTHR FIBRES</t>
        </is>
      </c>
      <c r="E3870" s="3" t="n">
        <v>0</v>
      </c>
      <c r="F3870" s="3" t="n">
        <v>0.01</v>
      </c>
      <c r="G3870" s="3">
        <f>F3870-E3870</f>
        <v/>
      </c>
      <c r="H3870" s="4">
        <f>IF(E3870=0,"",F3870/E3870-1)</f>
        <v/>
      </c>
      <c r="I3870" t="inlineStr"/>
    </row>
    <row r="3871">
      <c r="A3871" t="inlineStr">
        <is>
          <t>Textiles &amp; apparel</t>
        </is>
      </c>
      <c r="B3871" t="inlineStr">
        <is>
          <t>60</t>
        </is>
      </c>
      <c r="C3871" t="inlineStr">
        <is>
          <t>60063200</t>
        </is>
      </c>
      <c r="D3871" t="inlineStr">
        <is>
          <t>OTHR KNITD OR CROCHETD FBRCS OF SYN FIBRS, DYED</t>
        </is>
      </c>
      <c r="E3871" s="3" t="n">
        <v>0</v>
      </c>
      <c r="F3871" s="3" t="n">
        <v>0.01</v>
      </c>
      <c r="G3871" s="3">
        <f>F3871-E3871</f>
        <v/>
      </c>
      <c r="H3871" s="4">
        <f>IF(E3871=0,"",F3871/E3871-1)</f>
        <v/>
      </c>
      <c r="I3871" t="inlineStr"/>
    </row>
    <row r="3872">
      <c r="A3872" t="inlineStr">
        <is>
          <t>Textiles &amp; apparel</t>
        </is>
      </c>
      <c r="B3872" t="inlineStr">
        <is>
          <t>61</t>
        </is>
      </c>
      <c r="C3872" t="inlineStr">
        <is>
          <t>61041910</t>
        </is>
      </c>
      <c r="D3872" t="inlineStr">
        <is>
          <t>SUITS OF SILK</t>
        </is>
      </c>
      <c r="E3872" s="3" t="n">
        <v>0</v>
      </c>
      <c r="F3872" s="3" t="n">
        <v>0.01</v>
      </c>
      <c r="G3872" s="3">
        <f>F3872-E3872</f>
        <v/>
      </c>
      <c r="H3872" s="4">
        <f>IF(E3872=0,"",F3872/E3872-1)</f>
        <v/>
      </c>
      <c r="I3872" t="inlineStr"/>
    </row>
    <row r="3873">
      <c r="A3873" t="inlineStr">
        <is>
          <t>Textiles &amp; apparel</t>
        </is>
      </c>
      <c r="B3873" t="inlineStr">
        <is>
          <t>61</t>
        </is>
      </c>
      <c r="C3873" t="inlineStr">
        <is>
          <t>61042920</t>
        </is>
      </c>
      <c r="D3873" t="inlineStr">
        <is>
          <t>ENSEMBLES OF ARTIFICIAL FIBRES</t>
        </is>
      </c>
      <c r="E3873" s="3" t="n">
        <v>0</v>
      </c>
      <c r="F3873" s="3" t="n">
        <v>0.01</v>
      </c>
      <c r="G3873" s="3">
        <f>F3873-E3873</f>
        <v/>
      </c>
      <c r="H3873" s="4">
        <f>IF(E3873=0,"",F3873/E3873-1)</f>
        <v/>
      </c>
      <c r="I3873" t="inlineStr"/>
    </row>
    <row r="3874">
      <c r="A3874" t="inlineStr">
        <is>
          <t>Textiles &amp; apparel</t>
        </is>
      </c>
      <c r="B3874" t="inlineStr">
        <is>
          <t>61</t>
        </is>
      </c>
      <c r="C3874" t="inlineStr">
        <is>
          <t>61046920</t>
        </is>
      </c>
      <c r="D3874" t="inlineStr">
        <is>
          <t>TROUSERS, BIB AND BRACE OVERALLS ETC OF ARTIFICIAL FIBRES</t>
        </is>
      </c>
      <c r="E3874" s="3" t="n">
        <v>0</v>
      </c>
      <c r="F3874" s="3" t="n">
        <v>0.01</v>
      </c>
      <c r="G3874" s="3">
        <f>F3874-E3874</f>
        <v/>
      </c>
      <c r="H3874" s="4">
        <f>IF(E3874=0,"",F3874/E3874-1)</f>
        <v/>
      </c>
      <c r="I3874" t="inlineStr"/>
    </row>
    <row r="3875">
      <c r="A3875" t="inlineStr">
        <is>
          <t>Textiles &amp; apparel</t>
        </is>
      </c>
      <c r="B3875" t="inlineStr">
        <is>
          <t>61</t>
        </is>
      </c>
      <c r="C3875" t="inlineStr">
        <is>
          <t>61082220</t>
        </is>
      </c>
      <c r="D3875" t="inlineStr">
        <is>
          <t>BRIEFS AND PANTIES OF ARTIFICIAL FIBRES</t>
        </is>
      </c>
      <c r="E3875" s="3" t="n">
        <v>0</v>
      </c>
      <c r="F3875" s="3" t="n">
        <v>0.01</v>
      </c>
      <c r="G3875" s="3">
        <f>F3875-E3875</f>
        <v/>
      </c>
      <c r="H3875" s="4">
        <f>IF(E3875=0,"",F3875/E3875-1)</f>
        <v/>
      </c>
      <c r="I3875" t="inlineStr"/>
    </row>
    <row r="3876">
      <c r="A3876" t="inlineStr">
        <is>
          <t>Textiles &amp; apparel</t>
        </is>
      </c>
      <c r="B3876" t="inlineStr">
        <is>
          <t>61</t>
        </is>
      </c>
      <c r="C3876" t="inlineStr">
        <is>
          <t>61119020</t>
        </is>
      </c>
      <c r="D3876" t="inlineStr">
        <is>
          <t>BABIES GRMNTS AND CLOTNG ACCESORIS OF ARTIFICIAL FIBRES</t>
        </is>
      </c>
      <c r="E3876" s="3" t="n">
        <v>0</v>
      </c>
      <c r="F3876" s="3" t="n">
        <v>0.01</v>
      </c>
      <c r="G3876" s="3">
        <f>F3876-E3876</f>
        <v/>
      </c>
      <c r="H3876" s="4">
        <f>IF(E3876=0,"",F3876/E3876-1)</f>
        <v/>
      </c>
      <c r="I3876" t="inlineStr"/>
    </row>
    <row r="3877">
      <c r="A3877" t="inlineStr">
        <is>
          <t>Textiles &amp; apparel</t>
        </is>
      </c>
      <c r="B3877" t="inlineStr">
        <is>
          <t>61</t>
        </is>
      </c>
      <c r="C3877" t="inlineStr">
        <is>
          <t>61122030</t>
        </is>
      </c>
      <c r="D3877" t="inlineStr">
        <is>
          <t>SKI SUITS OF COTTON</t>
        </is>
      </c>
      <c r="E3877" s="3" t="n">
        <v>0</v>
      </c>
      <c r="F3877" s="3" t="n">
        <v>0.01</v>
      </c>
      <c r="G3877" s="3">
        <f>F3877-E3877</f>
        <v/>
      </c>
      <c r="H3877" s="4">
        <f>IF(E3877=0,"",F3877/E3877-1)</f>
        <v/>
      </c>
      <c r="I3877" t="inlineStr"/>
    </row>
    <row r="3878">
      <c r="A3878" t="inlineStr">
        <is>
          <t>Textiles &amp; apparel</t>
        </is>
      </c>
      <c r="B3878" t="inlineStr">
        <is>
          <t>61</t>
        </is>
      </c>
      <c r="C3878" t="inlineStr">
        <is>
          <t>61122090</t>
        </is>
      </c>
      <c r="D3878" t="inlineStr">
        <is>
          <t>SKI SUITS OF OTHER FIBRES</t>
        </is>
      </c>
      <c r="E3878" s="3" t="n">
        <v>0</v>
      </c>
      <c r="F3878" s="3" t="n">
        <v>0.01</v>
      </c>
      <c r="G3878" s="3">
        <f>F3878-E3878</f>
        <v/>
      </c>
      <c r="H3878" s="4">
        <f>IF(E3878=0,"",F3878/E3878-1)</f>
        <v/>
      </c>
      <c r="I3878" t="inlineStr"/>
    </row>
    <row r="3879">
      <c r="A3879" t="inlineStr">
        <is>
          <t>Textiles &amp; apparel</t>
        </is>
      </c>
      <c r="B3879" t="inlineStr">
        <is>
          <t>61</t>
        </is>
      </c>
      <c r="C3879" t="inlineStr">
        <is>
          <t>61159600</t>
        </is>
      </c>
      <c r="D3879" t="inlineStr">
        <is>
          <t>OTHER HOSIERY GOODS OF SYNTHETIC FIBRES</t>
        </is>
      </c>
      <c r="E3879" s="3" t="n">
        <v>0.63</v>
      </c>
      <c r="F3879" s="3" t="n">
        <v>0.01</v>
      </c>
      <c r="G3879" s="3">
        <f>F3879-E3879</f>
        <v/>
      </c>
      <c r="H3879" s="4">
        <f>IF(E3879=0,"",F3879/E3879-1)</f>
        <v/>
      </c>
      <c r="I3879" t="inlineStr"/>
    </row>
    <row r="3880">
      <c r="A3880" t="inlineStr">
        <is>
          <t>Textiles &amp; apparel</t>
        </is>
      </c>
      <c r="B3880" t="inlineStr">
        <is>
          <t>61</t>
        </is>
      </c>
      <c r="C3880" t="inlineStr">
        <is>
          <t>61169990</t>
        </is>
      </c>
      <c r="D3880" t="inlineStr">
        <is>
          <t>OTHR GLOVES ETC OF OTHR TXTL FIBRES</t>
        </is>
      </c>
      <c r="E3880" s="3" t="n">
        <v>0.09</v>
      </c>
      <c r="F3880" s="3" t="n">
        <v>0.01</v>
      </c>
      <c r="G3880" s="3">
        <f>F3880-E3880</f>
        <v/>
      </c>
      <c r="H3880" s="4">
        <f>IF(E3880=0,"",F3880/E3880-1)</f>
        <v/>
      </c>
      <c r="I3880" t="inlineStr"/>
    </row>
    <row r="3881">
      <c r="A3881" t="inlineStr">
        <is>
          <t>Textiles &amp; apparel</t>
        </is>
      </c>
      <c r="B3881" t="inlineStr">
        <is>
          <t>62</t>
        </is>
      </c>
      <c r="C3881" t="inlineStr">
        <is>
          <t>62012090</t>
        </is>
      </c>
      <c r="D3881" t="inlineStr">
        <is>
          <t>OTHERS-OF-OF WOOL/FINE ANIMAL HAIR</t>
        </is>
      </c>
      <c r="E3881" s="3" t="n">
        <v>0</v>
      </c>
      <c r="F3881" s="3" t="n">
        <v>0.01</v>
      </c>
      <c r="G3881" s="3">
        <f>F3881-E3881</f>
        <v/>
      </c>
      <c r="H3881" s="4">
        <f>IF(E3881=0,"",F3881/E3881-1)</f>
        <v/>
      </c>
      <c r="I3881" t="inlineStr"/>
    </row>
    <row r="3882">
      <c r="A3882" t="inlineStr">
        <is>
          <t>Textiles &amp; apparel</t>
        </is>
      </c>
      <c r="B3882" t="inlineStr">
        <is>
          <t>62</t>
        </is>
      </c>
      <c r="C3882" t="inlineStr">
        <is>
          <t>62042991</t>
        </is>
      </c>
      <c r="D3882" t="inlineStr">
        <is>
          <t>OTHR ENSEMBLES OF OTHR TXTL MATRALS OTHR THAN SILK-EMBROIDERED WITH LUCKNOW CHIKAN CRAFT</t>
        </is>
      </c>
      <c r="E3882" s="3" t="n">
        <v>0</v>
      </c>
      <c r="F3882" s="3" t="n">
        <v>0.01</v>
      </c>
      <c r="G3882" s="3">
        <f>F3882-E3882</f>
        <v/>
      </c>
      <c r="H3882" s="4">
        <f>IF(E3882=0,"",F3882/E3882-1)</f>
        <v/>
      </c>
      <c r="I3882" t="inlineStr"/>
    </row>
    <row r="3883">
      <c r="A3883" t="inlineStr">
        <is>
          <t>Textiles &amp; apparel</t>
        </is>
      </c>
      <c r="B3883" t="inlineStr">
        <is>
          <t>62</t>
        </is>
      </c>
      <c r="C3883" t="inlineStr">
        <is>
          <t>62044210</t>
        </is>
      </c>
      <c r="D3883" t="inlineStr">
        <is>
          <t>HOUSE COATS AND LIKE DRESSES OF COTTON</t>
        </is>
      </c>
      <c r="E3883" s="3" t="n">
        <v>0</v>
      </c>
      <c r="F3883" s="3" t="n">
        <v>0.01</v>
      </c>
      <c r="G3883" s="3">
        <f>F3883-E3883</f>
        <v/>
      </c>
      <c r="H3883" s="4">
        <f>IF(E3883=0,"",F3883/E3883-1)</f>
        <v/>
      </c>
      <c r="I3883" t="inlineStr"/>
    </row>
    <row r="3884">
      <c r="A3884" t="inlineStr">
        <is>
          <t>Textiles &amp; apparel</t>
        </is>
      </c>
      <c r="B3884" t="inlineStr">
        <is>
          <t>62</t>
        </is>
      </c>
      <c r="C3884" t="inlineStr">
        <is>
          <t>62082920</t>
        </is>
      </c>
      <c r="D3884" t="inlineStr">
        <is>
          <t>NIGHTDRESSES AND PYJAMAS OF WOOL</t>
        </is>
      </c>
      <c r="E3884" s="3" t="n">
        <v>0</v>
      </c>
      <c r="F3884" s="3" t="n">
        <v>0.01</v>
      </c>
      <c r="G3884" s="3">
        <f>F3884-E3884</f>
        <v/>
      </c>
      <c r="H3884" s="4">
        <f>IF(E3884=0,"",F3884/E3884-1)</f>
        <v/>
      </c>
      <c r="I3884" t="inlineStr"/>
    </row>
    <row r="3885">
      <c r="A3885" t="inlineStr">
        <is>
          <t>Textiles &amp; apparel</t>
        </is>
      </c>
      <c r="B3885" t="inlineStr">
        <is>
          <t>62</t>
        </is>
      </c>
      <c r="C3885" t="inlineStr">
        <is>
          <t>62092010</t>
        </is>
      </c>
      <c r="D3885" t="inlineStr">
        <is>
          <t>HANDLOOM</t>
        </is>
      </c>
      <c r="E3885" s="3" t="n">
        <v>0</v>
      </c>
      <c r="F3885" s="3" t="n">
        <v>0.01</v>
      </c>
      <c r="G3885" s="3">
        <f>F3885-E3885</f>
        <v/>
      </c>
      <c r="H3885" s="4">
        <f>IF(E3885=0,"",F3885/E3885-1)</f>
        <v/>
      </c>
      <c r="I3885" t="inlineStr"/>
    </row>
    <row r="3886">
      <c r="A3886" t="inlineStr">
        <is>
          <t>Textiles &amp; apparel</t>
        </is>
      </c>
      <c r="B3886" t="inlineStr">
        <is>
          <t>62</t>
        </is>
      </c>
      <c r="C3886" t="inlineStr">
        <is>
          <t>62101010</t>
        </is>
      </c>
      <c r="D3886" t="inlineStr">
        <is>
          <t>GARMENTS,MADE UP OF FABRICS OF HEADING NO.5602 OR 5603 - PERSONAL PROTECTIVE GARMENTS FOR SURGICAL/MEDICAL USE</t>
        </is>
      </c>
      <c r="E3886" s="3" t="n">
        <v>0.72</v>
      </c>
      <c r="F3886" s="3" t="n">
        <v>0.01</v>
      </c>
      <c r="G3886" s="3">
        <f>F3886-E3886</f>
        <v/>
      </c>
      <c r="H3886" s="4">
        <f>IF(E3886=0,"",F3886/E3886-1)</f>
        <v/>
      </c>
      <c r="I3886" t="inlineStr"/>
    </row>
    <row r="3887">
      <c r="A3887" t="inlineStr">
        <is>
          <t>Textiles &amp; apparel</t>
        </is>
      </c>
      <c r="B3887" t="inlineStr">
        <is>
          <t>62</t>
        </is>
      </c>
      <c r="C3887" t="inlineStr">
        <is>
          <t>62102010</t>
        </is>
      </c>
      <c r="D3887" t="inlineStr">
        <is>
          <t>OUTER GARMENTS,MENS AND BOYS OF RUBBERISED TEXTILE FABRICS</t>
        </is>
      </c>
      <c r="E3887" s="3" t="n">
        <v>0</v>
      </c>
      <c r="F3887" s="3" t="n">
        <v>0.01</v>
      </c>
      <c r="G3887" s="3">
        <f>F3887-E3887</f>
        <v/>
      </c>
      <c r="H3887" s="4">
        <f>IF(E3887=0,"",F3887/E3887-1)</f>
        <v/>
      </c>
      <c r="I3887" t="inlineStr"/>
    </row>
    <row r="3888">
      <c r="A3888" t="inlineStr">
        <is>
          <t>Textiles &amp; apparel</t>
        </is>
      </c>
      <c r="B3888" t="inlineStr">
        <is>
          <t>62</t>
        </is>
      </c>
      <c r="C3888" t="inlineStr">
        <is>
          <t>62102030</t>
        </is>
      </c>
      <c r="D3888" t="inlineStr">
        <is>
          <t>OUTER GARMENTS,MENS AND BOYS OF TEXTILE FABRICS,OTHERWISE IMPREGNATED OR COATED</t>
        </is>
      </c>
      <c r="E3888" s="3" t="n">
        <v>0</v>
      </c>
      <c r="F3888" s="3" t="n">
        <v>0.01</v>
      </c>
      <c r="G3888" s="3">
        <f>F3888-E3888</f>
        <v/>
      </c>
      <c r="H3888" s="4">
        <f>IF(E3888=0,"",F3888/E3888-1)</f>
        <v/>
      </c>
      <c r="I3888" t="inlineStr"/>
    </row>
    <row r="3889">
      <c r="A3889" t="inlineStr">
        <is>
          <t>Textiles &amp; apparel</t>
        </is>
      </c>
      <c r="B3889" t="inlineStr">
        <is>
          <t>62</t>
        </is>
      </c>
      <c r="C3889" t="inlineStr">
        <is>
          <t>62103090</t>
        </is>
      </c>
      <c r="D3889" t="inlineStr">
        <is>
          <t>OTHR OUTER GRMNTS FOR WOMENS AND GIRLS</t>
        </is>
      </c>
      <c r="E3889" s="3" t="n">
        <v>0</v>
      </c>
      <c r="F3889" s="3" t="n">
        <v>0.01</v>
      </c>
      <c r="G3889" s="3">
        <f>F3889-E3889</f>
        <v/>
      </c>
      <c r="H3889" s="4">
        <f>IF(E3889=0,"",F3889/E3889-1)</f>
        <v/>
      </c>
      <c r="I3889" t="inlineStr"/>
    </row>
    <row r="3890">
      <c r="A3890" t="inlineStr">
        <is>
          <t>Textiles &amp; apparel</t>
        </is>
      </c>
      <c r="B3890" t="inlineStr">
        <is>
          <t>62</t>
        </is>
      </c>
      <c r="C3890" t="inlineStr">
        <is>
          <t>62113919</t>
        </is>
      </c>
      <c r="D3890" t="inlineStr">
        <is>
          <t>OF SILK: OTHER</t>
        </is>
      </c>
      <c r="E3890" s="3" t="n">
        <v>0.06</v>
      </c>
      <c r="F3890" s="3" t="n">
        <v>0.01</v>
      </c>
      <c r="G3890" s="3">
        <f>F3890-E3890</f>
        <v/>
      </c>
      <c r="H3890" s="4">
        <f>IF(E3890=0,"",F3890/E3890-1)</f>
        <v/>
      </c>
      <c r="I3890" t="inlineStr"/>
    </row>
    <row r="3891">
      <c r="A3891" t="inlineStr">
        <is>
          <t>Textiles &amp; apparel</t>
        </is>
      </c>
      <c r="B3891" t="inlineStr">
        <is>
          <t>62</t>
        </is>
      </c>
      <c r="C3891" t="inlineStr">
        <is>
          <t>62114310</t>
        </is>
      </c>
      <c r="D3891" t="inlineStr">
        <is>
          <t>OTHER GARMENTS OF MAN-MADE FIBRES - EMBROIDERED WITH LUCKNOW CHIKAN CRAFT</t>
        </is>
      </c>
      <c r="E3891" s="3" t="n">
        <v>0.16</v>
      </c>
      <c r="F3891" s="3" t="n">
        <v>0.01</v>
      </c>
      <c r="G3891" s="3">
        <f>F3891-E3891</f>
        <v/>
      </c>
      <c r="H3891" s="4">
        <f>IF(E3891=0,"",F3891/E3891-1)</f>
        <v/>
      </c>
      <c r="I3891" t="inlineStr"/>
    </row>
    <row r="3892">
      <c r="A3892" t="inlineStr">
        <is>
          <t>Textiles &amp; apparel</t>
        </is>
      </c>
      <c r="B3892" t="inlineStr">
        <is>
          <t>62</t>
        </is>
      </c>
      <c r="C3892" t="inlineStr">
        <is>
          <t>62141010</t>
        </is>
      </c>
      <c r="D3892" t="inlineStr">
        <is>
          <t>SCARVES OF SILK MEASURING 60 CM OR LESS OTHER THAN HAND PRINTED</t>
        </is>
      </c>
      <c r="E3892" s="3" t="n">
        <v>0</v>
      </c>
      <c r="F3892" s="3" t="n">
        <v>0.01</v>
      </c>
      <c r="G3892" s="3">
        <f>F3892-E3892</f>
        <v/>
      </c>
      <c r="H3892" s="4">
        <f>IF(E3892=0,"",F3892/E3892-1)</f>
        <v/>
      </c>
      <c r="I3892" t="inlineStr"/>
    </row>
    <row r="3893">
      <c r="A3893" t="inlineStr">
        <is>
          <t>Textiles &amp; apparel</t>
        </is>
      </c>
      <c r="B3893" t="inlineStr">
        <is>
          <t>63</t>
        </is>
      </c>
      <c r="C3893" t="inlineStr">
        <is>
          <t>63019090</t>
        </is>
      </c>
      <c r="D3893" t="inlineStr">
        <is>
          <t>OTHER BLANKETS AND TRAVELLING RUGS,</t>
        </is>
      </c>
      <c r="E3893" s="3" t="n">
        <v>0.01</v>
      </c>
      <c r="F3893" s="3" t="n">
        <v>0.01</v>
      </c>
      <c r="G3893" s="3">
        <f>F3893-E3893</f>
        <v/>
      </c>
      <c r="H3893" s="4">
        <f>IF(E3893=0,"",F3893/E3893-1)</f>
        <v/>
      </c>
      <c r="I3893" t="inlineStr"/>
    </row>
    <row r="3894">
      <c r="A3894" t="inlineStr">
        <is>
          <t>Textiles &amp; apparel</t>
        </is>
      </c>
      <c r="B3894" t="inlineStr">
        <is>
          <t>63</t>
        </is>
      </c>
      <c r="C3894" t="inlineStr">
        <is>
          <t>63021010</t>
        </is>
      </c>
      <c r="D3894" t="inlineStr">
        <is>
          <t>BED LINEN,KNTED/CRCHTD OF COTTON</t>
        </is>
      </c>
      <c r="E3894" s="3" t="n">
        <v>0</v>
      </c>
      <c r="F3894" s="3" t="n">
        <v>0.01</v>
      </c>
      <c r="G3894" s="3">
        <f>F3894-E3894</f>
        <v/>
      </c>
      <c r="H3894" s="4">
        <f>IF(E3894=0,"",F3894/E3894-1)</f>
        <v/>
      </c>
      <c r="I3894" t="inlineStr"/>
    </row>
    <row r="3895">
      <c r="A3895" t="inlineStr">
        <is>
          <t>Textiles &amp; apparel</t>
        </is>
      </c>
      <c r="B3895" t="inlineStr">
        <is>
          <t>63</t>
        </is>
      </c>
      <c r="C3895" t="inlineStr">
        <is>
          <t>63029300</t>
        </is>
      </c>
      <c r="D3895" t="inlineStr">
        <is>
          <t>OTHER LINEN OF MAN MADE FIBRES</t>
        </is>
      </c>
      <c r="E3895" s="3" t="n">
        <v>0.01</v>
      </c>
      <c r="F3895" s="3" t="n">
        <v>0.01</v>
      </c>
      <c r="G3895" s="3">
        <f>F3895-E3895</f>
        <v/>
      </c>
      <c r="H3895" s="4">
        <f>IF(E3895=0,"",F3895/E3895-1)</f>
        <v/>
      </c>
      <c r="I3895" t="inlineStr"/>
    </row>
    <row r="3896">
      <c r="A3896" t="inlineStr">
        <is>
          <t>Textiles &amp; apparel</t>
        </is>
      </c>
      <c r="B3896" t="inlineStr">
        <is>
          <t>63</t>
        </is>
      </c>
      <c r="C3896" t="inlineStr">
        <is>
          <t>63049239</t>
        </is>
      </c>
      <c r="D3896" t="inlineStr">
        <is>
          <t>OTHER PILLOW CASES AND PILLOW SLIPS</t>
        </is>
      </c>
      <c r="E3896" s="3" t="n">
        <v>0</v>
      </c>
      <c r="F3896" s="3" t="n">
        <v>0.01</v>
      </c>
      <c r="G3896" s="3">
        <f>F3896-E3896</f>
        <v/>
      </c>
      <c r="H3896" s="4">
        <f>IF(E3896=0,"",F3896/E3896-1)</f>
        <v/>
      </c>
      <c r="I3896" t="inlineStr"/>
    </row>
    <row r="3897">
      <c r="A3897" t="inlineStr">
        <is>
          <t>Textiles &amp; apparel</t>
        </is>
      </c>
      <c r="B3897" t="inlineStr">
        <is>
          <t>63</t>
        </is>
      </c>
      <c r="C3897" t="inlineStr">
        <is>
          <t>63049299</t>
        </is>
      </c>
      <c r="D3897" t="inlineStr">
        <is>
          <t>OTHER FURNISHING ACRICLES</t>
        </is>
      </c>
      <c r="E3897" s="3" t="n">
        <v>0.08</v>
      </c>
      <c r="F3897" s="3" t="n">
        <v>0.01</v>
      </c>
      <c r="G3897" s="3">
        <f>F3897-E3897</f>
        <v/>
      </c>
      <c r="H3897" s="4">
        <f>IF(E3897=0,"",F3897/E3897-1)</f>
        <v/>
      </c>
      <c r="I3897" t="inlineStr"/>
    </row>
    <row r="3898">
      <c r="A3898" t="inlineStr">
        <is>
          <t>Textiles &amp; apparel</t>
        </is>
      </c>
      <c r="B3898" t="inlineStr">
        <is>
          <t>63</t>
        </is>
      </c>
      <c r="C3898" t="inlineStr">
        <is>
          <t>63071020</t>
        </is>
      </c>
      <c r="D3898" t="inlineStr">
        <is>
          <t>FLOOR-CLOTH AND THE LIKE OF MANMADE FIBRE</t>
        </is>
      </c>
      <c r="E3898" s="3" t="n">
        <v>0.01</v>
      </c>
      <c r="F3898" s="3" t="n">
        <v>0.01</v>
      </c>
      <c r="G3898" s="3">
        <f>F3898-E3898</f>
        <v/>
      </c>
      <c r="H3898" s="4">
        <f>IF(E3898=0,"",F3898/E3898-1)</f>
        <v/>
      </c>
      <c r="I3898" t="inlineStr"/>
    </row>
    <row r="3899">
      <c r="A3899" t="inlineStr">
        <is>
          <t>Textiles &amp; apparel</t>
        </is>
      </c>
      <c r="B3899" t="inlineStr">
        <is>
          <t>63</t>
        </is>
      </c>
      <c r="C3899" t="inlineStr">
        <is>
          <t>63072010</t>
        </is>
      </c>
      <c r="D3899" t="inlineStr">
        <is>
          <t>LIFE JACKETS AND LIFE BELTS OF COTTON</t>
        </is>
      </c>
      <c r="E3899" s="3" t="n">
        <v>0</v>
      </c>
      <c r="F3899" s="3" t="n">
        <v>0.01</v>
      </c>
      <c r="G3899" s="3">
        <f>F3899-E3899</f>
        <v/>
      </c>
      <c r="H3899" s="4">
        <f>IF(E3899=0,"",F3899/E3899-1)</f>
        <v/>
      </c>
      <c r="I3899" t="inlineStr"/>
    </row>
    <row r="3900">
      <c r="A3900" t="inlineStr">
        <is>
          <t>Textiles &amp; apparel</t>
        </is>
      </c>
      <c r="B3900" t="inlineStr">
        <is>
          <t>63</t>
        </is>
      </c>
      <c r="C3900" t="inlineStr">
        <is>
          <t>63101020</t>
        </is>
      </c>
      <c r="D3900" t="inlineStr">
        <is>
          <t>COTTON RAGS,NEW OR USED</t>
        </is>
      </c>
      <c r="E3900" s="3" t="n">
        <v>0.01</v>
      </c>
      <c r="F3900" s="3" t="n">
        <v>0.01</v>
      </c>
      <c r="G3900" s="3">
        <f>F3900-E3900</f>
        <v/>
      </c>
      <c r="H3900" s="4">
        <f>IF(E3900=0,"",F3900/E3900-1)</f>
        <v/>
      </c>
      <c r="I3900" t="inlineStr"/>
    </row>
    <row r="3901">
      <c r="A3901" t="inlineStr">
        <is>
          <t>Textiles &amp; apparel</t>
        </is>
      </c>
      <c r="B3901" t="inlineStr">
        <is>
          <t>50</t>
        </is>
      </c>
      <c r="C3901" t="inlineStr">
        <is>
          <t>50071000</t>
        </is>
      </c>
      <c r="D3901" t="inlineStr">
        <is>
          <t>WOVEN FABRICS OF NOIL SILK</t>
        </is>
      </c>
      <c r="E3901" s="3" t="n">
        <v>0.37</v>
      </c>
      <c r="F3901" s="3" t="n">
        <v>0</v>
      </c>
      <c r="G3901" s="3">
        <f>F3901-E3901</f>
        <v/>
      </c>
      <c r="H3901" s="4">
        <f>IF(E3901=0,"",F3901/E3901-1)</f>
        <v/>
      </c>
      <c r="I3901" t="inlineStr"/>
    </row>
    <row r="3902">
      <c r="A3902" t="inlineStr">
        <is>
          <t>Textiles &amp; apparel</t>
        </is>
      </c>
      <c r="B3902" t="inlineStr">
        <is>
          <t>51</t>
        </is>
      </c>
      <c r="C3902" t="inlineStr">
        <is>
          <t>51071020</t>
        </is>
      </c>
      <c r="D3902" t="inlineStr">
        <is>
          <t>WORSTED KNITTING YARN</t>
        </is>
      </c>
      <c r="E3902" s="3" t="n">
        <v>0.02</v>
      </c>
      <c r="F3902" s="3" t="n">
        <v>0</v>
      </c>
      <c r="G3902" s="3">
        <f>F3902-E3902</f>
        <v/>
      </c>
      <c r="H3902" s="4">
        <f>IF(E3902=0,"",F3902/E3902-1)</f>
        <v/>
      </c>
      <c r="I3902" t="inlineStr"/>
    </row>
    <row r="3903">
      <c r="A3903" t="inlineStr">
        <is>
          <t>Textiles &amp; apparel</t>
        </is>
      </c>
      <c r="B3903" t="inlineStr">
        <is>
          <t>52</t>
        </is>
      </c>
      <c r="C3903" t="inlineStr">
        <is>
          <t>52010011</t>
        </is>
      </c>
      <c r="D3903" t="inlineStr">
        <is>
          <t>BENGAL DESHI COTTON</t>
        </is>
      </c>
      <c r="E3903" s="3" t="n">
        <v>0</v>
      </c>
      <c r="F3903" s="3" t="n">
        <v>0</v>
      </c>
      <c r="G3903" s="3">
        <f>F3903-E3903</f>
        <v/>
      </c>
      <c r="H3903" s="4">
        <f>IF(E3903=0,"",F3903/E3903-1)</f>
        <v/>
      </c>
      <c r="I3903" t="inlineStr"/>
    </row>
    <row r="3904">
      <c r="A3904" t="inlineStr">
        <is>
          <t>Textiles &amp; apparel</t>
        </is>
      </c>
      <c r="B3904" t="inlineStr">
        <is>
          <t>52</t>
        </is>
      </c>
      <c r="C3904" t="inlineStr">
        <is>
          <t>52030000</t>
        </is>
      </c>
      <c r="D3904" t="inlineStr">
        <is>
          <t>COTTON CARDED OR COMBED</t>
        </is>
      </c>
      <c r="E3904" s="3" t="n">
        <v>0.01</v>
      </c>
      <c r="F3904" s="3" t="n">
        <v>0</v>
      </c>
      <c r="G3904" s="3">
        <f>F3904-E3904</f>
        <v/>
      </c>
      <c r="H3904" s="4">
        <f>IF(E3904=0,"",F3904/E3904-1)</f>
        <v/>
      </c>
      <c r="I3904" t="inlineStr"/>
    </row>
    <row r="3905">
      <c r="A3905" t="inlineStr">
        <is>
          <t>Textiles &amp; apparel</t>
        </is>
      </c>
      <c r="B3905" t="inlineStr">
        <is>
          <t>52</t>
        </is>
      </c>
      <c r="C3905" t="inlineStr">
        <is>
          <t>52041130</t>
        </is>
      </c>
      <c r="D3905" t="inlineStr">
        <is>
          <t>EMBROIDERY COTTON THREAD</t>
        </is>
      </c>
      <c r="E3905" s="3" t="n">
        <v>0</v>
      </c>
      <c r="F3905" s="3" t="n">
        <v>0</v>
      </c>
      <c r="G3905" s="3">
        <f>F3905-E3905</f>
        <v/>
      </c>
      <c r="H3905" s="4">
        <f>IF(E3905=0,"",F3905/E3905-1)</f>
        <v/>
      </c>
      <c r="I3905" t="inlineStr"/>
    </row>
    <row r="3906">
      <c r="A3906" t="inlineStr">
        <is>
          <t>Textiles &amp; apparel</t>
        </is>
      </c>
      <c r="B3906" t="inlineStr">
        <is>
          <t>52</t>
        </is>
      </c>
      <c r="C3906" t="inlineStr">
        <is>
          <t>52041140</t>
        </is>
      </c>
      <c r="D3906" t="inlineStr">
        <is>
          <t>COTON SEWING THREAD NOT CNTNG ANY SYNTHETIC STAPLE FIBRE</t>
        </is>
      </c>
      <c r="E3906" s="3" t="n">
        <v>0</v>
      </c>
      <c r="F3906" s="3" t="n">
        <v>0</v>
      </c>
      <c r="G3906" s="3">
        <f>F3906-E3906</f>
        <v/>
      </c>
      <c r="H3906" s="4">
        <f>IF(E3906=0,"",F3906/E3906-1)</f>
        <v/>
      </c>
      <c r="I3906" t="inlineStr"/>
    </row>
    <row r="3907">
      <c r="A3907" t="inlineStr">
        <is>
          <t>Textiles &amp; apparel</t>
        </is>
      </c>
      <c r="B3907" t="inlineStr">
        <is>
          <t>52</t>
        </is>
      </c>
      <c r="C3907" t="inlineStr">
        <is>
          <t>52041190</t>
        </is>
      </c>
      <c r="D3907" t="inlineStr">
        <is>
          <t>OTHERS-OF-SWNG THREAD CNTNG 85% OR MORE BY WEIGHT OFCOTTON NOT PUT UP FOR RETAIL SALE</t>
        </is>
      </c>
      <c r="E3907" s="3" t="n">
        <v>0</v>
      </c>
      <c r="F3907" s="3" t="n">
        <v>0</v>
      </c>
      <c r="G3907" s="3">
        <f>F3907-E3907</f>
        <v/>
      </c>
      <c r="H3907" s="4">
        <f>IF(E3907=0,"",F3907/E3907-1)</f>
        <v/>
      </c>
      <c r="I3907" t="inlineStr"/>
    </row>
    <row r="3908">
      <c r="A3908" t="inlineStr">
        <is>
          <t>Textiles &amp; apparel</t>
        </is>
      </c>
      <c r="B3908" t="inlineStr">
        <is>
          <t>52</t>
        </is>
      </c>
      <c r="C3908" t="inlineStr">
        <is>
          <t>52041900</t>
        </is>
      </c>
      <c r="D3908" t="inlineStr">
        <is>
          <t>SWNG THRD CONTNG LESS THN 85% BY WEIGHT OFCOTTON NOT PUT UP FOR RETAIL SALE</t>
        </is>
      </c>
      <c r="E3908" s="3" t="n">
        <v>0</v>
      </c>
      <c r="F3908" s="3" t="n">
        <v>0</v>
      </c>
      <c r="G3908" s="3">
        <f>F3908-E3908</f>
        <v/>
      </c>
      <c r="H3908" s="4">
        <f>IF(E3908=0,"",F3908/E3908-1)</f>
        <v/>
      </c>
      <c r="I3908" t="inlineStr"/>
    </row>
    <row r="3909">
      <c r="A3909" t="inlineStr">
        <is>
          <t>Textiles &amp; apparel</t>
        </is>
      </c>
      <c r="B3909" t="inlineStr">
        <is>
          <t>52</t>
        </is>
      </c>
      <c r="C3909" t="inlineStr">
        <is>
          <t>52042020</t>
        </is>
      </c>
      <c r="D3909" t="inlineStr">
        <is>
          <t>COTTON THREAD,DARNING</t>
        </is>
      </c>
      <c r="E3909" s="3" t="n">
        <v>0</v>
      </c>
      <c r="F3909" s="3" t="n">
        <v>0</v>
      </c>
      <c r="G3909" s="3">
        <f>F3909-E3909</f>
        <v/>
      </c>
      <c r="H3909" s="4">
        <f>IF(E3909=0,"",F3909/E3909-1)</f>
        <v/>
      </c>
      <c r="I3909" t="inlineStr"/>
    </row>
    <row r="3910">
      <c r="A3910" t="inlineStr">
        <is>
          <t>Textiles &amp; apparel</t>
        </is>
      </c>
      <c r="B3910" t="inlineStr">
        <is>
          <t>52</t>
        </is>
      </c>
      <c r="C3910" t="inlineStr">
        <is>
          <t>52042040</t>
        </is>
      </c>
      <c r="D3910" t="inlineStr">
        <is>
          <t>COTON SEWING THREAD NOT CNTNG ANY SYNTHETIC STAPLE FIBRE</t>
        </is>
      </c>
      <c r="E3910" s="3" t="n">
        <v>0</v>
      </c>
      <c r="F3910" s="3" t="n">
        <v>0</v>
      </c>
      <c r="G3910" s="3">
        <f>F3910-E3910</f>
        <v/>
      </c>
      <c r="H3910" s="4">
        <f>IF(E3910=0,"",F3910/E3910-1)</f>
        <v/>
      </c>
      <c r="I3910" t="inlineStr"/>
    </row>
    <row r="3911">
      <c r="A3911" t="inlineStr">
        <is>
          <t>Textiles &amp; apparel</t>
        </is>
      </c>
      <c r="B3911" t="inlineStr">
        <is>
          <t>52</t>
        </is>
      </c>
      <c r="C3911" t="inlineStr">
        <is>
          <t>52042090</t>
        </is>
      </c>
      <c r="D3911" t="inlineStr">
        <is>
          <t>OTHER COTTON SEWING THREAD</t>
        </is>
      </c>
      <c r="E3911" s="3" t="n">
        <v>0.03</v>
      </c>
      <c r="F3911" s="3" t="n">
        <v>0</v>
      </c>
      <c r="G3911" s="3">
        <f>F3911-E3911</f>
        <v/>
      </c>
      <c r="H3911" s="4">
        <f>IF(E3911=0,"",F3911/E3911-1)</f>
        <v/>
      </c>
      <c r="I3911" t="inlineStr"/>
    </row>
    <row r="3912">
      <c r="A3912" t="inlineStr">
        <is>
          <t>Textiles &amp; apparel</t>
        </is>
      </c>
      <c r="B3912" t="inlineStr">
        <is>
          <t>52</t>
        </is>
      </c>
      <c r="C3912" t="inlineStr">
        <is>
          <t>52051110</t>
        </is>
      </c>
      <c r="D3912" t="inlineStr">
        <is>
          <t>GREY</t>
        </is>
      </c>
      <c r="E3912" s="3" t="n">
        <v>0</v>
      </c>
      <c r="F3912" s="3" t="n">
        <v>0</v>
      </c>
      <c r="G3912" s="3">
        <f>F3912-E3912</f>
        <v/>
      </c>
      <c r="H3912" s="4">
        <f>IF(E3912=0,"",F3912/E3912-1)</f>
        <v/>
      </c>
      <c r="I3912" t="inlineStr"/>
    </row>
    <row r="3913">
      <c r="A3913" t="inlineStr">
        <is>
          <t>Textiles &amp; apparel</t>
        </is>
      </c>
      <c r="B3913" t="inlineStr">
        <is>
          <t>52</t>
        </is>
      </c>
      <c r="C3913" t="inlineStr">
        <is>
          <t>52054490</t>
        </is>
      </c>
      <c r="D3913" t="inlineStr">
        <is>
          <t>OTHERS-OF-MLTPL(FLDED)/CBLD YRN OF CMBD FBRSMEASURNG PER SNGL YRN&lt;192.31 BUT&gt;=125 DCTX(&gt;52 BUT &lt;=80 MTRC NO PER SNGL Y</t>
        </is>
      </c>
      <c r="E3913" s="3" t="n">
        <v>0.09</v>
      </c>
      <c r="F3913" s="3" t="n">
        <v>0</v>
      </c>
      <c r="G3913" s="3">
        <f>F3913-E3913</f>
        <v/>
      </c>
      <c r="H3913" s="4">
        <f>IF(E3913=0,"",F3913/E3913-1)</f>
        <v/>
      </c>
      <c r="I3913" t="inlineStr"/>
    </row>
    <row r="3914">
      <c r="A3914" t="inlineStr">
        <is>
          <t>Textiles &amp; apparel</t>
        </is>
      </c>
      <c r="B3914" t="inlineStr">
        <is>
          <t>52</t>
        </is>
      </c>
      <c r="C3914" t="inlineStr">
        <is>
          <t>52054890</t>
        </is>
      </c>
      <c r="D3914" t="inlineStr">
        <is>
          <t>OTHR</t>
        </is>
      </c>
      <c r="E3914" s="3" t="n">
        <v>0</v>
      </c>
      <c r="F3914" s="3" t="n">
        <v>0</v>
      </c>
      <c r="G3914" s="3">
        <f>F3914-E3914</f>
        <v/>
      </c>
      <c r="H3914" s="4">
        <f>IF(E3914=0,"",F3914/E3914-1)</f>
        <v/>
      </c>
      <c r="I3914" t="inlineStr"/>
    </row>
    <row r="3915">
      <c r="A3915" t="inlineStr">
        <is>
          <t>Textiles &amp; apparel</t>
        </is>
      </c>
      <c r="B3915" t="inlineStr">
        <is>
          <t>52</t>
        </is>
      </c>
      <c r="C3915" t="inlineStr">
        <is>
          <t>52061200</t>
        </is>
      </c>
      <c r="D3915" t="inlineStr">
        <is>
          <t>SNGL YRN OF UNCMBD FBRS MEASURNG&lt;714.29 BUT &gt;=232.56 DCTX(&gt;14 BUT &lt;=43 MTRC NO)</t>
        </is>
      </c>
      <c r="E3915" s="3" t="n">
        <v>0.03</v>
      </c>
      <c r="F3915" s="3" t="n">
        <v>0</v>
      </c>
      <c r="G3915" s="3">
        <f>F3915-E3915</f>
        <v/>
      </c>
      <c r="H3915" s="4">
        <f>IF(E3915=0,"",F3915/E3915-1)</f>
        <v/>
      </c>
      <c r="I3915" t="inlineStr"/>
    </row>
    <row r="3916">
      <c r="A3916" t="inlineStr">
        <is>
          <t>Textiles &amp; apparel</t>
        </is>
      </c>
      <c r="B3916" t="inlineStr">
        <is>
          <t>52</t>
        </is>
      </c>
      <c r="C3916" t="inlineStr">
        <is>
          <t>52079000</t>
        </is>
      </c>
      <c r="D3916" t="inlineStr">
        <is>
          <t>OTHER COTTON YARN PUT UP FOR RETAIL SALE</t>
        </is>
      </c>
      <c r="E3916" s="3" t="n">
        <v>0</v>
      </c>
      <c r="F3916" s="3" t="n">
        <v>0</v>
      </c>
      <c r="G3916" s="3">
        <f>F3916-E3916</f>
        <v/>
      </c>
      <c r="H3916" s="4">
        <f>IF(E3916=0,"",F3916/E3916-1)</f>
        <v/>
      </c>
      <c r="I3916" t="inlineStr"/>
    </row>
    <row r="3917">
      <c r="A3917" t="inlineStr">
        <is>
          <t>Textiles &amp; apparel</t>
        </is>
      </c>
      <c r="B3917" t="inlineStr">
        <is>
          <t>52</t>
        </is>
      </c>
      <c r="C3917" t="inlineStr">
        <is>
          <t>52081130</t>
        </is>
      </c>
      <c r="D3917" t="inlineStr">
        <is>
          <t>SHIRTING FABRICS</t>
        </is>
      </c>
      <c r="E3917" s="3" t="n">
        <v>0</v>
      </c>
      <c r="F3917" s="3" t="n">
        <v>0</v>
      </c>
      <c r="G3917" s="3">
        <f>F3917-E3917</f>
        <v/>
      </c>
      <c r="H3917" s="4">
        <f>IF(E3917=0,"",F3917/E3917-1)</f>
        <v/>
      </c>
      <c r="I3917" t="inlineStr"/>
    </row>
    <row r="3918">
      <c r="A3918" t="inlineStr">
        <is>
          <t>Textiles &amp; apparel</t>
        </is>
      </c>
      <c r="B3918" t="inlineStr">
        <is>
          <t>52</t>
        </is>
      </c>
      <c r="C3918" t="inlineStr">
        <is>
          <t>52081230</t>
        </is>
      </c>
      <c r="D3918" t="inlineStr">
        <is>
          <t>SHIRTING FABRICS</t>
        </is>
      </c>
      <c r="E3918" s="3" t="n">
        <v>0.02</v>
      </c>
      <c r="F3918" s="3" t="n">
        <v>0</v>
      </c>
      <c r="G3918" s="3">
        <f>F3918-E3918</f>
        <v/>
      </c>
      <c r="H3918" s="4">
        <f>IF(E3918=0,"",F3918/E3918-1)</f>
        <v/>
      </c>
      <c r="I3918" t="inlineStr"/>
    </row>
    <row r="3919">
      <c r="A3919" t="inlineStr">
        <is>
          <t>Textiles &amp; apparel</t>
        </is>
      </c>
      <c r="B3919" t="inlineStr">
        <is>
          <t>52</t>
        </is>
      </c>
      <c r="C3919" t="inlineStr">
        <is>
          <t>52081320</t>
        </is>
      </c>
      <c r="D3919" t="inlineStr">
        <is>
          <t>DOBBY FABRICS</t>
        </is>
      </c>
      <c r="E3919" s="3" t="n">
        <v>0</v>
      </c>
      <c r="F3919" s="3" t="n">
        <v>0</v>
      </c>
      <c r="G3919" s="3">
        <f>F3919-E3919</f>
        <v/>
      </c>
      <c r="H3919" s="4">
        <f>IF(E3919=0,"",F3919/E3919-1)</f>
        <v/>
      </c>
      <c r="I3919" t="inlineStr"/>
    </row>
    <row r="3920">
      <c r="A3920" t="inlineStr">
        <is>
          <t>Textiles &amp; apparel</t>
        </is>
      </c>
      <c r="B3920" t="inlineStr">
        <is>
          <t>52</t>
        </is>
      </c>
      <c r="C3920" t="inlineStr">
        <is>
          <t>52082140</t>
        </is>
      </c>
      <c r="D3920" t="inlineStr">
        <is>
          <t>SHIRTING FABRICS</t>
        </is>
      </c>
      <c r="E3920" s="3" t="n">
        <v>0</v>
      </c>
      <c r="F3920" s="3" t="n">
        <v>0</v>
      </c>
      <c r="G3920" s="3">
        <f>F3920-E3920</f>
        <v/>
      </c>
      <c r="H3920" s="4">
        <f>IF(E3920=0,"",F3920/E3920-1)</f>
        <v/>
      </c>
      <c r="I3920" t="inlineStr"/>
    </row>
    <row r="3921">
      <c r="A3921" t="inlineStr">
        <is>
          <t>Textiles &amp; apparel</t>
        </is>
      </c>
      <c r="B3921" t="inlineStr">
        <is>
          <t>52</t>
        </is>
      </c>
      <c r="C3921" t="inlineStr">
        <is>
          <t>52082290</t>
        </is>
      </c>
      <c r="D3921" t="inlineStr">
        <is>
          <t>OTHERS-OF-COTN FABRICS CONTNG &gt;=85% BY WT OF COTTON BLEACHD PLAIN WEAVE WEIGNG &gt; 100 G/M2</t>
        </is>
      </c>
      <c r="E3921" s="3" t="n">
        <v>0</v>
      </c>
      <c r="F3921" s="3" t="n">
        <v>0</v>
      </c>
      <c r="G3921" s="3">
        <f>F3921-E3921</f>
        <v/>
      </c>
      <c r="H3921" s="4">
        <f>IF(E3921=0,"",F3921/E3921-1)</f>
        <v/>
      </c>
      <c r="I3921" t="inlineStr"/>
    </row>
    <row r="3922">
      <c r="A3922" t="inlineStr">
        <is>
          <t>Textiles &amp; apparel</t>
        </is>
      </c>
      <c r="B3922" t="inlineStr">
        <is>
          <t>52</t>
        </is>
      </c>
      <c r="C3922" t="inlineStr">
        <is>
          <t>52082990</t>
        </is>
      </c>
      <c r="D3922" t="inlineStr">
        <is>
          <t>OTHERS-OF-OTHER FABRICS :</t>
        </is>
      </c>
      <c r="E3922" s="3" t="n">
        <v>0</v>
      </c>
      <c r="F3922" s="3" t="n">
        <v>0</v>
      </c>
      <c r="G3922" s="3">
        <f>F3922-E3922</f>
        <v/>
      </c>
      <c r="H3922" s="4">
        <f>IF(E3922=0,"",F3922/E3922-1)</f>
        <v/>
      </c>
      <c r="I3922" t="inlineStr"/>
    </row>
    <row r="3923">
      <c r="A3923" t="inlineStr">
        <is>
          <t>Textiles &amp; apparel</t>
        </is>
      </c>
      <c r="B3923" t="inlineStr">
        <is>
          <t>52</t>
        </is>
      </c>
      <c r="C3923" t="inlineStr">
        <is>
          <t>52084129</t>
        </is>
      </c>
      <c r="D3923" t="inlineStr">
        <is>
          <t>OTHER SAREES</t>
        </is>
      </c>
      <c r="E3923" s="3" t="n">
        <v>0</v>
      </c>
      <c r="F3923" s="3" t="n">
        <v>0</v>
      </c>
      <c r="G3923" s="3">
        <f>F3923-E3923</f>
        <v/>
      </c>
      <c r="H3923" s="4">
        <f>IF(E3923=0,"",F3923/E3923-1)</f>
        <v/>
      </c>
      <c r="I3923" t="inlineStr"/>
    </row>
    <row r="3924">
      <c r="A3924" t="inlineStr">
        <is>
          <t>Textiles &amp; apparel</t>
        </is>
      </c>
      <c r="B3924" t="inlineStr">
        <is>
          <t>52</t>
        </is>
      </c>
      <c r="C3924" t="inlineStr">
        <is>
          <t>52084190</t>
        </is>
      </c>
      <c r="D3924" t="inlineStr">
        <is>
          <t>OTHERS-OF-COTN FABRICS CONTNG &gt;=85% BY WT OF COTN PLAIN WEAVE, WEIGHING NOT MORE THAN 100 GMPER SQM OF YARN OF DIFFERENT COLOU</t>
        </is>
      </c>
      <c r="E3924" s="3" t="n">
        <v>0</v>
      </c>
      <c r="F3924" s="3" t="n">
        <v>0</v>
      </c>
      <c r="G3924" s="3">
        <f>F3924-E3924</f>
        <v/>
      </c>
      <c r="H3924" s="4">
        <f>IF(E3924=0,"",F3924/E3924-1)</f>
        <v/>
      </c>
      <c r="I3924" t="inlineStr"/>
    </row>
    <row r="3925">
      <c r="A3925" t="inlineStr">
        <is>
          <t>Textiles &amp; apparel</t>
        </is>
      </c>
      <c r="B3925" t="inlineStr">
        <is>
          <t>52</t>
        </is>
      </c>
      <c r="C3925" t="inlineStr">
        <is>
          <t>52084390</t>
        </is>
      </c>
      <c r="D3925" t="inlineStr">
        <is>
          <t>OTHERS-OF-COTN FABRICS COMTMG&gt;85% BY WT OF COTN 3-THREAD/4-THREAD TWILL IMCL CROSS TWILLOF YARN OF DIFF CLRS WEIGHNG &lt;=200 G</t>
        </is>
      </c>
      <c r="E3925" s="3" t="n">
        <v>0</v>
      </c>
      <c r="F3925" s="3" t="n">
        <v>0</v>
      </c>
      <c r="G3925" s="3">
        <f>F3925-E3925</f>
        <v/>
      </c>
      <c r="H3925" s="4">
        <f>IF(E3925=0,"",F3925/E3925-1)</f>
        <v/>
      </c>
      <c r="I3925" t="inlineStr"/>
    </row>
    <row r="3926">
      <c r="A3926" t="inlineStr">
        <is>
          <t>Textiles &amp; apparel</t>
        </is>
      </c>
      <c r="B3926" t="inlineStr">
        <is>
          <t>52</t>
        </is>
      </c>
      <c r="C3926" t="inlineStr">
        <is>
          <t>52085110</t>
        </is>
      </c>
      <c r="D3926" t="inlineStr">
        <is>
          <t>Lungi of Plain weave, weighing not more than 100 g/m2</t>
        </is>
      </c>
      <c r="E3926" s="3" t="n">
        <v>0.05</v>
      </c>
      <c r="F3926" s="3" t="n">
        <v>0</v>
      </c>
      <c r="G3926" s="3">
        <f>F3926-E3926</f>
        <v/>
      </c>
      <c r="H3926" s="4">
        <f>IF(E3926=0,"",F3926/E3926-1)</f>
        <v/>
      </c>
      <c r="I3926" t="inlineStr"/>
    </row>
    <row r="3927">
      <c r="A3927" t="inlineStr">
        <is>
          <t>Textiles &amp; apparel</t>
        </is>
      </c>
      <c r="B3927" t="inlineStr">
        <is>
          <t>52</t>
        </is>
      </c>
      <c r="C3927" t="inlineStr">
        <is>
          <t>52085120</t>
        </is>
      </c>
      <c r="D3927" t="inlineStr">
        <is>
          <t>Saari of Plain weave, weighing not more than 100 g/m2</t>
        </is>
      </c>
      <c r="E3927" s="3" t="n">
        <v>0.02</v>
      </c>
      <c r="F3927" s="3" t="n">
        <v>0</v>
      </c>
      <c r="G3927" s="3">
        <f>F3927-E3927</f>
        <v/>
      </c>
      <c r="H3927" s="4">
        <f>IF(E3927=0,"",F3927/E3927-1)</f>
        <v/>
      </c>
      <c r="I3927" t="inlineStr"/>
    </row>
    <row r="3928">
      <c r="A3928" t="inlineStr">
        <is>
          <t>Textiles &amp; apparel</t>
        </is>
      </c>
      <c r="B3928" t="inlineStr">
        <is>
          <t>52</t>
        </is>
      </c>
      <c r="C3928" t="inlineStr">
        <is>
          <t>52085230</t>
        </is>
      </c>
      <c r="D3928" t="inlineStr">
        <is>
          <t>Shirting Fabrics of Plain weave, weighing more than 100 g/m2</t>
        </is>
      </c>
      <c r="E3928" s="3" t="n">
        <v>0</v>
      </c>
      <c r="F3928" s="3" t="n">
        <v>0</v>
      </c>
      <c r="G3928" s="3">
        <f>F3928-E3928</f>
        <v/>
      </c>
      <c r="H3928" s="4">
        <f>IF(E3928=0,"",F3928/E3928-1)</f>
        <v/>
      </c>
      <c r="I3928" t="inlineStr"/>
    </row>
    <row r="3929">
      <c r="A3929" t="inlineStr">
        <is>
          <t>Textiles &amp; apparel</t>
        </is>
      </c>
      <c r="B3929" t="inlineStr">
        <is>
          <t>52</t>
        </is>
      </c>
      <c r="C3929" t="inlineStr">
        <is>
          <t>52091111</t>
        </is>
      </c>
      <c r="D3929" t="inlineStr">
        <is>
          <t>DHOTI,HANDLOOM</t>
        </is>
      </c>
      <c r="E3929" s="3" t="n">
        <v>0.03</v>
      </c>
      <c r="F3929" s="3" t="n">
        <v>0</v>
      </c>
      <c r="G3929" s="3">
        <f>F3929-E3929</f>
        <v/>
      </c>
      <c r="H3929" s="4">
        <f>IF(E3929=0,"",F3929/E3929-1)</f>
        <v/>
      </c>
      <c r="I3929" t="inlineStr"/>
    </row>
    <row r="3930">
      <c r="A3930" t="inlineStr">
        <is>
          <t>Textiles &amp; apparel</t>
        </is>
      </c>
      <c r="B3930" t="inlineStr">
        <is>
          <t>52</t>
        </is>
      </c>
      <c r="C3930" t="inlineStr">
        <is>
          <t>52092290</t>
        </is>
      </c>
      <c r="D3930" t="inlineStr">
        <is>
          <t>OTHERS-OF-BLECHD 3/4 THREAD TWILL INCL CROSS TWILLCOTTON FABRICS WEING MORE THN 200 GM PER SQM</t>
        </is>
      </c>
      <c r="E3930" s="3" t="n">
        <v>0</v>
      </c>
      <c r="F3930" s="3" t="n">
        <v>0</v>
      </c>
      <c r="G3930" s="3">
        <f>F3930-E3930</f>
        <v/>
      </c>
      <c r="H3930" s="4">
        <f>IF(E3930=0,"",F3930/E3930-1)</f>
        <v/>
      </c>
      <c r="I3930" t="inlineStr"/>
    </row>
    <row r="3931">
      <c r="A3931" t="inlineStr">
        <is>
          <t>Textiles &amp; apparel</t>
        </is>
      </c>
      <c r="B3931" t="inlineStr">
        <is>
          <t>52</t>
        </is>
      </c>
      <c r="C3931" t="inlineStr">
        <is>
          <t>52093210</t>
        </is>
      </c>
      <c r="D3931" t="inlineStr">
        <is>
          <t>SHIRTING FABRICS</t>
        </is>
      </c>
      <c r="E3931" s="3" t="n">
        <v>0.07000000000000001</v>
      </c>
      <c r="F3931" s="3" t="n">
        <v>0</v>
      </c>
      <c r="G3931" s="3">
        <f>F3931-E3931</f>
        <v/>
      </c>
      <c r="H3931" s="4">
        <f>IF(E3931=0,"",F3931/E3931-1)</f>
        <v/>
      </c>
      <c r="I3931" t="inlineStr"/>
    </row>
    <row r="3932">
      <c r="A3932" t="inlineStr">
        <is>
          <t>Textiles &amp; apparel</t>
        </is>
      </c>
      <c r="B3932" t="inlineStr">
        <is>
          <t>52</t>
        </is>
      </c>
      <c r="C3932" t="inlineStr">
        <is>
          <t>52093220</t>
        </is>
      </c>
      <c r="D3932" t="inlineStr">
        <is>
          <t>FURNISHING FABRICS ( EXCL PILE AND CHENILLE FABRICS )</t>
        </is>
      </c>
      <c r="E3932" s="3" t="n">
        <v>0</v>
      </c>
      <c r="F3932" s="3" t="n">
        <v>0</v>
      </c>
      <c r="G3932" s="3">
        <f>F3932-E3932</f>
        <v/>
      </c>
      <c r="H3932" s="4">
        <f>IF(E3932=0,"",F3932/E3932-1)</f>
        <v/>
      </c>
      <c r="I3932" t="inlineStr"/>
    </row>
    <row r="3933">
      <c r="A3933" t="inlineStr">
        <is>
          <t>Textiles &amp; apparel</t>
        </is>
      </c>
      <c r="B3933" t="inlineStr">
        <is>
          <t>52</t>
        </is>
      </c>
      <c r="C3933" t="inlineStr">
        <is>
          <t>52093230</t>
        </is>
      </c>
      <c r="D3933" t="inlineStr">
        <is>
          <t>DRILL</t>
        </is>
      </c>
      <c r="E3933" s="3" t="n">
        <v>0.08</v>
      </c>
      <c r="F3933" s="3" t="n">
        <v>0</v>
      </c>
      <c r="G3933" s="3">
        <f>F3933-E3933</f>
        <v/>
      </c>
      <c r="H3933" s="4">
        <f>IF(E3933=0,"",F3933/E3933-1)</f>
        <v/>
      </c>
      <c r="I3933" t="inlineStr"/>
    </row>
    <row r="3934">
      <c r="A3934" t="inlineStr">
        <is>
          <t>Textiles &amp; apparel</t>
        </is>
      </c>
      <c r="B3934" t="inlineStr">
        <is>
          <t>52</t>
        </is>
      </c>
      <c r="C3934" t="inlineStr">
        <is>
          <t>52094390</t>
        </is>
      </c>
      <c r="D3934" t="inlineStr">
        <is>
          <t>OTHERS-OF-OTHER FABRICS OF 3-THREAD OR 4-THREAD TWILL, INCLUDING CROSS TWILL :</t>
        </is>
      </c>
      <c r="E3934" s="3" t="n">
        <v>0</v>
      </c>
      <c r="F3934" s="3" t="n">
        <v>0</v>
      </c>
      <c r="G3934" s="3">
        <f>F3934-E3934</f>
        <v/>
      </c>
      <c r="H3934" s="4">
        <f>IF(E3934=0,"",F3934/E3934-1)</f>
        <v/>
      </c>
      <c r="I3934" t="inlineStr"/>
    </row>
    <row r="3935">
      <c r="A3935" t="inlineStr">
        <is>
          <t>Textiles &amp; apparel</t>
        </is>
      </c>
      <c r="B3935" t="inlineStr">
        <is>
          <t>52</t>
        </is>
      </c>
      <c r="C3935" t="inlineStr">
        <is>
          <t>52095290</t>
        </is>
      </c>
      <c r="D3935" t="inlineStr">
        <is>
          <t>OTHERS-OF-PRINTD 3/4 THRED TWILL INCLDNG CROSS TWILLCOTTON FABRICS WEIGHING&gt;200 G/SQM</t>
        </is>
      </c>
      <c r="E3935" s="3" t="n">
        <v>0.04</v>
      </c>
      <c r="F3935" s="3" t="n">
        <v>0</v>
      </c>
      <c r="G3935" s="3">
        <f>F3935-E3935</f>
        <v/>
      </c>
      <c r="H3935" s="4">
        <f>IF(E3935=0,"",F3935/E3935-1)</f>
        <v/>
      </c>
      <c r="I3935" t="inlineStr"/>
    </row>
    <row r="3936">
      <c r="A3936" t="inlineStr">
        <is>
          <t>Textiles &amp; apparel</t>
        </is>
      </c>
      <c r="B3936" t="inlineStr">
        <is>
          <t>52</t>
        </is>
      </c>
      <c r="C3936" t="inlineStr">
        <is>
          <t>52102190</t>
        </is>
      </c>
      <c r="D3936" t="inlineStr">
        <is>
          <t>OTHERS-OF-BLEACHD PLAIN WEAVE MXD COTN FABRICSWEGHING NOT MORE THN 200 GM PER SQM</t>
        </is>
      </c>
      <c r="E3936" s="3" t="n">
        <v>0.04</v>
      </c>
      <c r="F3936" s="3" t="n">
        <v>0</v>
      </c>
      <c r="G3936" s="3">
        <f>F3936-E3936</f>
        <v/>
      </c>
      <c r="H3936" s="4">
        <f>IF(E3936=0,"",F3936/E3936-1)</f>
        <v/>
      </c>
      <c r="I3936" t="inlineStr"/>
    </row>
    <row r="3937">
      <c r="A3937" t="inlineStr">
        <is>
          <t>Textiles &amp; apparel</t>
        </is>
      </c>
      <c r="B3937" t="inlineStr">
        <is>
          <t>52</t>
        </is>
      </c>
      <c r="C3937" t="inlineStr">
        <is>
          <t>52103150</t>
        </is>
      </c>
      <c r="D3937" t="inlineStr">
        <is>
          <t>SAREE</t>
        </is>
      </c>
      <c r="E3937" s="3" t="n">
        <v>0.01</v>
      </c>
      <c r="F3937" s="3" t="n">
        <v>0</v>
      </c>
      <c r="G3937" s="3">
        <f>F3937-E3937</f>
        <v/>
      </c>
      <c r="H3937" s="4">
        <f>IF(E3937=0,"",F3937/E3937-1)</f>
        <v/>
      </c>
      <c r="I3937" t="inlineStr"/>
    </row>
    <row r="3938">
      <c r="A3938" t="inlineStr">
        <is>
          <t>Textiles &amp; apparel</t>
        </is>
      </c>
      <c r="B3938" t="inlineStr">
        <is>
          <t>52</t>
        </is>
      </c>
      <c r="C3938" t="inlineStr">
        <is>
          <t>52103190</t>
        </is>
      </c>
      <c r="D3938" t="inlineStr">
        <is>
          <t>OTHERS-OF-DYED PLAIN WEAVE MXD COTN FABRICS WEIGHING NOT MORE THN 200 GM PER SQM</t>
        </is>
      </c>
      <c r="E3938" s="3" t="n">
        <v>0.03</v>
      </c>
      <c r="F3938" s="3" t="n">
        <v>0</v>
      </c>
      <c r="G3938" s="3">
        <f>F3938-E3938</f>
        <v/>
      </c>
      <c r="H3938" s="4">
        <f>IF(E3938=0,"",F3938/E3938-1)</f>
        <v/>
      </c>
      <c r="I3938" t="inlineStr"/>
    </row>
    <row r="3939">
      <c r="A3939" t="inlineStr">
        <is>
          <t>Textiles &amp; apparel</t>
        </is>
      </c>
      <c r="B3939" t="inlineStr">
        <is>
          <t>52</t>
        </is>
      </c>
      <c r="C3939" t="inlineStr">
        <is>
          <t>52103220</t>
        </is>
      </c>
      <c r="D3939" t="inlineStr">
        <is>
          <t>SHIRTING FABRICS</t>
        </is>
      </c>
      <c r="E3939" s="3" t="n">
        <v>0</v>
      </c>
      <c r="F3939" s="3" t="n">
        <v>0</v>
      </c>
      <c r="G3939" s="3">
        <f>F3939-E3939</f>
        <v/>
      </c>
      <c r="H3939" s="4">
        <f>IF(E3939=0,"",F3939/E3939-1)</f>
        <v/>
      </c>
      <c r="I3939" t="inlineStr"/>
    </row>
    <row r="3940">
      <c r="A3940" t="inlineStr">
        <is>
          <t>Textiles &amp; apparel</t>
        </is>
      </c>
      <c r="B3940" t="inlineStr">
        <is>
          <t>52</t>
        </is>
      </c>
      <c r="C3940" t="inlineStr">
        <is>
          <t>52104140</t>
        </is>
      </c>
      <c r="D3940" t="inlineStr">
        <is>
          <t>SUITINGS</t>
        </is>
      </c>
      <c r="E3940" s="3" t="n">
        <v>0.38</v>
      </c>
      <c r="F3940" s="3" t="n">
        <v>0</v>
      </c>
      <c r="G3940" s="3">
        <f>F3940-E3940</f>
        <v/>
      </c>
      <c r="H3940" s="4">
        <f>IF(E3940=0,"",F3940/E3940-1)</f>
        <v/>
      </c>
      <c r="I3940" t="inlineStr"/>
    </row>
    <row r="3941">
      <c r="A3941" t="inlineStr">
        <is>
          <t>Textiles &amp; apparel</t>
        </is>
      </c>
      <c r="B3941" t="inlineStr">
        <is>
          <t>52</t>
        </is>
      </c>
      <c r="C3941" t="inlineStr">
        <is>
          <t>52104190</t>
        </is>
      </c>
      <c r="D3941" t="inlineStr">
        <is>
          <t>OTHERS-OF-PLAIN WEAVE,OF YARNS OF DIFFERENT COLOURS MIXED COTTON FABRICS WEIGHING&lt;=200 GSM</t>
        </is>
      </c>
      <c r="E3941" s="3" t="n">
        <v>0.22</v>
      </c>
      <c r="F3941" s="3" t="n">
        <v>0</v>
      </c>
      <c r="G3941" s="3">
        <f>F3941-E3941</f>
        <v/>
      </c>
      <c r="H3941" s="4">
        <f>IF(E3941=0,"",F3941/E3941-1)</f>
        <v/>
      </c>
      <c r="I3941" t="inlineStr"/>
    </row>
    <row r="3942">
      <c r="A3942" t="inlineStr">
        <is>
          <t>Textiles &amp; apparel</t>
        </is>
      </c>
      <c r="B3942" t="inlineStr">
        <is>
          <t>52</t>
        </is>
      </c>
      <c r="C3942" t="inlineStr">
        <is>
          <t>52105130</t>
        </is>
      </c>
      <c r="D3942" t="inlineStr">
        <is>
          <t>SAREE</t>
        </is>
      </c>
      <c r="E3942" s="3" t="n">
        <v>0.06</v>
      </c>
      <c r="F3942" s="3" t="n">
        <v>0</v>
      </c>
      <c r="G3942" s="3">
        <f>F3942-E3942</f>
        <v/>
      </c>
      <c r="H3942" s="4">
        <f>IF(E3942=0,"",F3942/E3942-1)</f>
        <v/>
      </c>
      <c r="I3942" t="inlineStr"/>
    </row>
    <row r="3943">
      <c r="A3943" t="inlineStr">
        <is>
          <t>Textiles &amp; apparel</t>
        </is>
      </c>
      <c r="B3943" t="inlineStr">
        <is>
          <t>52</t>
        </is>
      </c>
      <c r="C3943" t="inlineStr">
        <is>
          <t>52113990</t>
        </is>
      </c>
      <c r="D3943" t="inlineStr">
        <is>
          <t>OTHERS-OF-OTHER FABRICS :</t>
        </is>
      </c>
      <c r="E3943" s="3" t="n">
        <v>0</v>
      </c>
      <c r="F3943" s="3" t="n">
        <v>0</v>
      </c>
      <c r="G3943" s="3">
        <f>F3943-E3943</f>
        <v/>
      </c>
      <c r="H3943" s="4">
        <f>IF(E3943=0,"",F3943/E3943-1)</f>
        <v/>
      </c>
      <c r="I3943" t="inlineStr"/>
    </row>
    <row r="3944">
      <c r="A3944" t="inlineStr">
        <is>
          <t>Textiles &amp; apparel</t>
        </is>
      </c>
      <c r="B3944" t="inlineStr">
        <is>
          <t>52</t>
        </is>
      </c>
      <c r="C3944" t="inlineStr">
        <is>
          <t>52121300</t>
        </is>
      </c>
      <c r="D3944" t="inlineStr">
        <is>
          <t>OTHR DYED WOVEN FBRCS WGHNG &lt;=200 G/M2</t>
        </is>
      </c>
      <c r="E3944" s="3" t="n">
        <v>0.04</v>
      </c>
      <c r="F3944" s="3" t="n">
        <v>0</v>
      </c>
      <c r="G3944" s="3">
        <f>F3944-E3944</f>
        <v/>
      </c>
      <c r="H3944" s="4">
        <f>IF(E3944=0,"",F3944/E3944-1)</f>
        <v/>
      </c>
      <c r="I3944" t="inlineStr"/>
    </row>
    <row r="3945">
      <c r="A3945" t="inlineStr">
        <is>
          <t>Textiles &amp; apparel</t>
        </is>
      </c>
      <c r="B3945" t="inlineStr">
        <is>
          <t>52</t>
        </is>
      </c>
      <c r="C3945" t="inlineStr">
        <is>
          <t>52121400</t>
        </is>
      </c>
      <c r="D3945" t="inlineStr">
        <is>
          <t>OTHR WOVN FBRCS OF COTTON OF YRNS OF DIFF COLOURS WEIGHING NOT MORE THAN 200 G/M2</t>
        </is>
      </c>
      <c r="E3945" s="3" t="n">
        <v>0</v>
      </c>
      <c r="F3945" s="3" t="n">
        <v>0</v>
      </c>
      <c r="G3945" s="3">
        <f>F3945-E3945</f>
        <v/>
      </c>
      <c r="H3945" s="4">
        <f>IF(E3945=0,"",F3945/E3945-1)</f>
        <v/>
      </c>
      <c r="I3945" t="inlineStr"/>
    </row>
    <row r="3946">
      <c r="A3946" t="inlineStr">
        <is>
          <t>Textiles &amp; apparel</t>
        </is>
      </c>
      <c r="B3946" t="inlineStr">
        <is>
          <t>52</t>
        </is>
      </c>
      <c r="C3946" t="inlineStr">
        <is>
          <t>52122300</t>
        </is>
      </c>
      <c r="D3946" t="inlineStr">
        <is>
          <t>OTHR DYED WOVN FBRCS WGHNG &gt;200 G/M2</t>
        </is>
      </c>
      <c r="E3946" s="3" t="n">
        <v>0.08</v>
      </c>
      <c r="F3946" s="3" t="n">
        <v>0</v>
      </c>
      <c r="G3946" s="3">
        <f>F3946-E3946</f>
        <v/>
      </c>
      <c r="H3946" s="4">
        <f>IF(E3946=0,"",F3946/E3946-1)</f>
        <v/>
      </c>
      <c r="I3946" t="inlineStr"/>
    </row>
    <row r="3947">
      <c r="A3947" t="inlineStr">
        <is>
          <t>Textiles &amp; apparel</t>
        </is>
      </c>
      <c r="B3947" t="inlineStr">
        <is>
          <t>52</t>
        </is>
      </c>
      <c r="C3947" t="inlineStr">
        <is>
          <t>52122400</t>
        </is>
      </c>
      <c r="D3947" t="inlineStr">
        <is>
          <t>OTHR WOVN FBRCS OF COTN OF YRNS OF DIFF COLOURS WGHNG MORE THAN 200 GSM</t>
        </is>
      </c>
      <c r="E3947" s="3" t="n">
        <v>0.01</v>
      </c>
      <c r="F3947" s="3" t="n">
        <v>0</v>
      </c>
      <c r="G3947" s="3">
        <f>F3947-E3947</f>
        <v/>
      </c>
      <c r="H3947" s="4">
        <f>IF(E3947=0,"",F3947/E3947-1)</f>
        <v/>
      </c>
      <c r="I3947" t="inlineStr"/>
    </row>
    <row r="3948">
      <c r="A3948" t="inlineStr">
        <is>
          <t>Textiles &amp; apparel</t>
        </is>
      </c>
      <c r="B3948" t="inlineStr">
        <is>
          <t>53</t>
        </is>
      </c>
      <c r="C3948" t="inlineStr">
        <is>
          <t>53039090</t>
        </is>
      </c>
      <c r="D3948" t="inlineStr">
        <is>
          <t>OTHERS-OF-TOW AND WASTE OF JUTE AND OTHER TXTL BAST FBRS</t>
        </is>
      </c>
      <c r="E3948" s="3" t="n">
        <v>0.02</v>
      </c>
      <c r="F3948" s="3" t="n">
        <v>0</v>
      </c>
      <c r="G3948" s="3">
        <f>F3948-E3948</f>
        <v/>
      </c>
      <c r="H3948" s="4">
        <f>IF(E3948=0,"",F3948/E3948-1)</f>
        <v/>
      </c>
      <c r="I3948" t="inlineStr"/>
    </row>
    <row r="3949">
      <c r="A3949" t="inlineStr">
        <is>
          <t>Textiles &amp; apparel</t>
        </is>
      </c>
      <c r="B3949" t="inlineStr">
        <is>
          <t>53</t>
        </is>
      </c>
      <c r="C3949" t="inlineStr">
        <is>
          <t>53050030</t>
        </is>
      </c>
      <c r="D3949" t="inlineStr">
        <is>
          <t>CURLED COIR FIBRE/MACHINE TWISTED FIBRE</t>
        </is>
      </c>
      <c r="E3949" s="3" t="n">
        <v>0.01</v>
      </c>
      <c r="F3949" s="3" t="n">
        <v>0</v>
      </c>
      <c r="G3949" s="3">
        <f>F3949-E3949</f>
        <v/>
      </c>
      <c r="H3949" s="4">
        <f>IF(E3949=0,"",F3949/E3949-1)</f>
        <v/>
      </c>
      <c r="I3949" t="inlineStr"/>
    </row>
    <row r="3950">
      <c r="A3950" t="inlineStr">
        <is>
          <t>Textiles &amp; apparel</t>
        </is>
      </c>
      <c r="B3950" t="inlineStr">
        <is>
          <t>53</t>
        </is>
      </c>
      <c r="C3950" t="inlineStr">
        <is>
          <t>53050050</t>
        </is>
      </c>
      <c r="D3950" t="inlineStr">
        <is>
          <t>OF ABACA</t>
        </is>
      </c>
      <c r="E3950" s="3" t="n">
        <v>0.01</v>
      </c>
      <c r="F3950" s="3" t="n">
        <v>0</v>
      </c>
      <c r="G3950" s="3">
        <f>F3950-E3950</f>
        <v/>
      </c>
      <c r="H3950" s="4">
        <f>IF(E3950=0,"",F3950/E3950-1)</f>
        <v/>
      </c>
      <c r="I3950" t="inlineStr"/>
    </row>
    <row r="3951">
      <c r="A3951" t="inlineStr">
        <is>
          <t>Textiles &amp; apparel</t>
        </is>
      </c>
      <c r="B3951" t="inlineStr">
        <is>
          <t>53</t>
        </is>
      </c>
      <c r="C3951" t="inlineStr">
        <is>
          <t>53050090</t>
        </is>
      </c>
      <c r="D3951" t="inlineStr">
        <is>
          <t>OTHER BAST FIBRES</t>
        </is>
      </c>
      <c r="E3951" s="3" t="n">
        <v>0</v>
      </c>
      <c r="F3951" s="3" t="n">
        <v>0</v>
      </c>
      <c r="G3951" s="3">
        <f>F3951-E3951</f>
        <v/>
      </c>
      <c r="H3951" s="4">
        <f>IF(E3951=0,"",F3951/E3951-1)</f>
        <v/>
      </c>
      <c r="I3951" t="inlineStr"/>
    </row>
    <row r="3952">
      <c r="A3952" t="inlineStr">
        <is>
          <t>Textiles &amp; apparel</t>
        </is>
      </c>
      <c r="B3952" t="inlineStr">
        <is>
          <t>53</t>
        </is>
      </c>
      <c r="C3952" t="inlineStr">
        <is>
          <t>53071010</t>
        </is>
      </c>
      <c r="D3952" t="inlineStr">
        <is>
          <t>YARN OF JUTE,SINGLE</t>
        </is>
      </c>
      <c r="E3952" s="3" t="n">
        <v>0</v>
      </c>
      <c r="F3952" s="3" t="n">
        <v>0</v>
      </c>
      <c r="G3952" s="3">
        <f>F3952-E3952</f>
        <v/>
      </c>
      <c r="H3952" s="4">
        <f>IF(E3952=0,"",F3952/E3952-1)</f>
        <v/>
      </c>
      <c r="I3952" t="inlineStr"/>
    </row>
    <row r="3953">
      <c r="A3953" t="inlineStr">
        <is>
          <t>Textiles &amp; apparel</t>
        </is>
      </c>
      <c r="B3953" t="inlineStr">
        <is>
          <t>53</t>
        </is>
      </c>
      <c r="C3953" t="inlineStr">
        <is>
          <t>53091120</t>
        </is>
      </c>
      <c r="D3953" t="inlineStr">
        <is>
          <t>BLECHD FLAX WOVN FABRICS CONTNG FLAX &gt;=85%</t>
        </is>
      </c>
      <c r="E3953" s="3" t="n">
        <v>0.01</v>
      </c>
      <c r="F3953" s="3" t="n">
        <v>0</v>
      </c>
      <c r="G3953" s="3">
        <f>F3953-E3953</f>
        <v/>
      </c>
      <c r="H3953" s="4">
        <f>IF(E3953=0,"",F3953/E3953-1)</f>
        <v/>
      </c>
      <c r="I3953" t="inlineStr"/>
    </row>
    <row r="3954">
      <c r="A3954" t="inlineStr">
        <is>
          <t>Textiles &amp; apparel</t>
        </is>
      </c>
      <c r="B3954" t="inlineStr">
        <is>
          <t>53</t>
        </is>
      </c>
      <c r="C3954" t="inlineStr">
        <is>
          <t>53091920</t>
        </is>
      </c>
      <c r="D3954" t="inlineStr">
        <is>
          <t>PRINTED FLAX WOVN FABRICS CONTNG FLAX &gt;= 85%</t>
        </is>
      </c>
      <c r="E3954" s="3" t="n">
        <v>0</v>
      </c>
      <c r="F3954" s="3" t="n">
        <v>0</v>
      </c>
      <c r="G3954" s="3">
        <f>F3954-E3954</f>
        <v/>
      </c>
      <c r="H3954" s="4">
        <f>IF(E3954=0,"",F3954/E3954-1)</f>
        <v/>
      </c>
      <c r="I3954" t="inlineStr"/>
    </row>
    <row r="3955">
      <c r="A3955" t="inlineStr">
        <is>
          <t>Textiles &amp; apparel</t>
        </is>
      </c>
      <c r="B3955" t="inlineStr">
        <is>
          <t>53</t>
        </is>
      </c>
      <c r="C3955" t="inlineStr">
        <is>
          <t>53091990</t>
        </is>
      </c>
      <c r="D3955" t="inlineStr">
        <is>
          <t>OTHERS-OF-OTHR FLAX WOVN FABRCS CONTNG FLAX&gt;=85%</t>
        </is>
      </c>
      <c r="E3955" s="3" t="n">
        <v>0</v>
      </c>
      <c r="F3955" s="3" t="n">
        <v>0</v>
      </c>
      <c r="G3955" s="3">
        <f>F3955-E3955</f>
        <v/>
      </c>
      <c r="H3955" s="4">
        <f>IF(E3955=0,"",F3955/E3955-1)</f>
        <v/>
      </c>
      <c r="I3955" t="inlineStr"/>
    </row>
    <row r="3956">
      <c r="A3956" t="inlineStr">
        <is>
          <t>Textiles &amp; apparel</t>
        </is>
      </c>
      <c r="B3956" t="inlineStr">
        <is>
          <t>53</t>
        </is>
      </c>
      <c r="C3956" t="inlineStr">
        <is>
          <t>53092120</t>
        </is>
      </c>
      <c r="D3956" t="inlineStr">
        <is>
          <t>BLECHD WOVN FABRICS CONTNG FLAX &lt;85%</t>
        </is>
      </c>
      <c r="E3956" s="3" t="n">
        <v>0</v>
      </c>
      <c r="F3956" s="3" t="n">
        <v>0</v>
      </c>
      <c r="G3956" s="3">
        <f>F3956-E3956</f>
        <v/>
      </c>
      <c r="H3956" s="4">
        <f>IF(E3956=0,"",F3956/E3956-1)</f>
        <v/>
      </c>
      <c r="I3956" t="inlineStr"/>
    </row>
    <row r="3957">
      <c r="A3957" t="inlineStr">
        <is>
          <t>Textiles &amp; apparel</t>
        </is>
      </c>
      <c r="B3957" t="inlineStr">
        <is>
          <t>53</t>
        </is>
      </c>
      <c r="C3957" t="inlineStr">
        <is>
          <t>53092910</t>
        </is>
      </c>
      <c r="D3957" t="inlineStr">
        <is>
          <t>DYED WOVN FABRCS CONTNG FLAX &lt;85%</t>
        </is>
      </c>
      <c r="E3957" s="3" t="n">
        <v>0.18</v>
      </c>
      <c r="F3957" s="3" t="n">
        <v>0</v>
      </c>
      <c r="G3957" s="3">
        <f>F3957-E3957</f>
        <v/>
      </c>
      <c r="H3957" s="4">
        <f>IF(E3957=0,"",F3957/E3957-1)</f>
        <v/>
      </c>
      <c r="I3957" t="inlineStr"/>
    </row>
    <row r="3958">
      <c r="A3958" t="inlineStr">
        <is>
          <t>Textiles &amp; apparel</t>
        </is>
      </c>
      <c r="B3958" t="inlineStr">
        <is>
          <t>53</t>
        </is>
      </c>
      <c r="C3958" t="inlineStr">
        <is>
          <t>53092920</t>
        </is>
      </c>
      <c r="D3958" t="inlineStr">
        <is>
          <t>PRINTED WOVN FABRICS CONTNG FLAX &lt;85%</t>
        </is>
      </c>
      <c r="E3958" s="3" t="n">
        <v>0</v>
      </c>
      <c r="F3958" s="3" t="n">
        <v>0</v>
      </c>
      <c r="G3958" s="3">
        <f>F3958-E3958</f>
        <v/>
      </c>
      <c r="H3958" s="4">
        <f>IF(E3958=0,"",F3958/E3958-1)</f>
        <v/>
      </c>
      <c r="I3958" t="inlineStr"/>
    </row>
    <row r="3959">
      <c r="A3959" t="inlineStr">
        <is>
          <t>Textiles &amp; apparel</t>
        </is>
      </c>
      <c r="B3959" t="inlineStr">
        <is>
          <t>53</t>
        </is>
      </c>
      <c r="C3959" t="inlineStr">
        <is>
          <t>53101011</t>
        </is>
      </c>
      <c r="D3959" t="inlineStr">
        <is>
          <t>CRPT BCKNG CLTH CNTNG 100% BY WT OF JUTE.</t>
        </is>
      </c>
      <c r="E3959" s="3" t="n">
        <v>0</v>
      </c>
      <c r="F3959" s="3" t="n">
        <v>0</v>
      </c>
      <c r="G3959" s="3">
        <f>F3959-E3959</f>
        <v/>
      </c>
      <c r="H3959" s="4">
        <f>IF(E3959=0,"",F3959/E3959-1)</f>
        <v/>
      </c>
      <c r="I3959" t="inlineStr"/>
    </row>
    <row r="3960">
      <c r="A3960" t="inlineStr">
        <is>
          <t>Textiles &amp; apparel</t>
        </is>
      </c>
      <c r="B3960" t="inlineStr">
        <is>
          <t>54</t>
        </is>
      </c>
      <c r="C3960" t="inlineStr">
        <is>
          <t>54012000</t>
        </is>
      </c>
      <c r="D3960" t="inlineStr">
        <is>
          <t>SEWING THREAD OF ARTIFICIAL FILAMENTS</t>
        </is>
      </c>
      <c r="E3960" s="3" t="n">
        <v>0.01</v>
      </c>
      <c r="F3960" s="3" t="n">
        <v>0</v>
      </c>
      <c r="G3960" s="3">
        <f>F3960-E3960</f>
        <v/>
      </c>
      <c r="H3960" s="4">
        <f>IF(E3960=0,"",F3960/E3960-1)</f>
        <v/>
      </c>
      <c r="I3960" t="inlineStr"/>
    </row>
    <row r="3961">
      <c r="A3961" t="inlineStr">
        <is>
          <t>Textiles &amp; apparel</t>
        </is>
      </c>
      <c r="B3961" t="inlineStr">
        <is>
          <t>54</t>
        </is>
      </c>
      <c r="C3961" t="inlineStr">
        <is>
          <t>54021920</t>
        </is>
      </c>
      <c r="D3961" t="inlineStr">
        <is>
          <t>Nylon 66 filament yarn confirming to IS 13464</t>
        </is>
      </c>
      <c r="E3961" s="3" t="n">
        <v>0</v>
      </c>
      <c r="F3961" s="3" t="n">
        <v>0</v>
      </c>
      <c r="G3961" s="3">
        <f>F3961-E3961</f>
        <v/>
      </c>
      <c r="H3961" s="4">
        <f>IF(E3961=0,"",F3961/E3961-1)</f>
        <v/>
      </c>
      <c r="I3961" t="inlineStr"/>
    </row>
    <row r="3962">
      <c r="A3962" t="inlineStr">
        <is>
          <t>Textiles &amp; apparel</t>
        </is>
      </c>
      <c r="B3962" t="inlineStr">
        <is>
          <t>54</t>
        </is>
      </c>
      <c r="C3962" t="inlineStr">
        <is>
          <t>54023100</t>
        </is>
      </c>
      <c r="D3962" t="inlineStr">
        <is>
          <t>TEXTURD YARN OF NYLON OR OTHER POLYAMIDES MEASURNG PER SINGL YRN NT MORE THN 50 TEX</t>
        </is>
      </c>
      <c r="E3962" s="3" t="n">
        <v>0.12</v>
      </c>
      <c r="F3962" s="3" t="n">
        <v>0</v>
      </c>
      <c r="G3962" s="3">
        <f>F3962-E3962</f>
        <v/>
      </c>
      <c r="H3962" s="4">
        <f>IF(E3962=0,"",F3962/E3962-1)</f>
        <v/>
      </c>
      <c r="I3962" t="inlineStr"/>
    </row>
    <row r="3963">
      <c r="A3963" t="inlineStr">
        <is>
          <t>Textiles &amp; apparel</t>
        </is>
      </c>
      <c r="B3963" t="inlineStr">
        <is>
          <t>54</t>
        </is>
      </c>
      <c r="C3963" t="inlineStr">
        <is>
          <t>54023990</t>
        </is>
      </c>
      <c r="D3963" t="inlineStr">
        <is>
          <t>OTHERS-OF-OTHER TEXTURED YARN</t>
        </is>
      </c>
      <c r="E3963" s="3" t="n">
        <v>0</v>
      </c>
      <c r="F3963" s="3" t="n">
        <v>0</v>
      </c>
      <c r="G3963" s="3">
        <f>F3963-E3963</f>
        <v/>
      </c>
      <c r="H3963" s="4">
        <f>IF(E3963=0,"",F3963/E3963-1)</f>
        <v/>
      </c>
      <c r="I3963" t="inlineStr"/>
    </row>
    <row r="3964">
      <c r="A3964" t="inlineStr">
        <is>
          <t>Textiles &amp; apparel</t>
        </is>
      </c>
      <c r="B3964" t="inlineStr">
        <is>
          <t>54</t>
        </is>
      </c>
      <c r="C3964" t="inlineStr">
        <is>
          <t>54024700</t>
        </is>
      </c>
      <c r="D3964" t="inlineStr">
        <is>
          <t>YARN OF OTHER POLYSTER , SINGLE UNTWSTD/A TWIST&lt;=50 TURNS PER MTR</t>
        </is>
      </c>
      <c r="E3964" s="3" t="n">
        <v>0.04</v>
      </c>
      <c r="F3964" s="3" t="n">
        <v>0</v>
      </c>
      <c r="G3964" s="3">
        <f>F3964-E3964</f>
        <v/>
      </c>
      <c r="H3964" s="4">
        <f>IF(E3964=0,"",F3964/E3964-1)</f>
        <v/>
      </c>
      <c r="I3964" t="inlineStr"/>
    </row>
    <row r="3965">
      <c r="A3965" t="inlineStr">
        <is>
          <t>Textiles &amp; apparel</t>
        </is>
      </c>
      <c r="B3965" t="inlineStr">
        <is>
          <t>54</t>
        </is>
      </c>
      <c r="C3965" t="inlineStr">
        <is>
          <t>54033200</t>
        </is>
      </c>
      <c r="D3965" t="inlineStr">
        <is>
          <t>OTHR YARN OF VISCOSE RAYON,SINGLE,WITH A TWIST EXCEEDING 120 TURNS PER METRE</t>
        </is>
      </c>
      <c r="E3965" s="3" t="n">
        <v>0.13</v>
      </c>
      <c r="F3965" s="3" t="n">
        <v>0</v>
      </c>
      <c r="G3965" s="3">
        <f>F3965-E3965</f>
        <v/>
      </c>
      <c r="H3965" s="4">
        <f>IF(E3965=0,"",F3965/E3965-1)</f>
        <v/>
      </c>
      <c r="I3965" t="inlineStr"/>
    </row>
    <row r="3966">
      <c r="A3966" t="inlineStr">
        <is>
          <t>Textiles &amp; apparel</t>
        </is>
      </c>
      <c r="B3966" t="inlineStr">
        <is>
          <t>54</t>
        </is>
      </c>
      <c r="C3966" t="inlineStr">
        <is>
          <t>54034990</t>
        </is>
      </c>
      <c r="D3966" t="inlineStr">
        <is>
          <t>OTHERS-OF-OTHR YRN MULTPL(FOLDD)OR CABLD(EXCLD VISCOS RAYN AND CELULOS ACTATE)</t>
        </is>
      </c>
      <c r="E3966" s="3" t="n">
        <v>0.01</v>
      </c>
      <c r="F3966" s="3" t="n">
        <v>0</v>
      </c>
      <c r="G3966" s="3">
        <f>F3966-E3966</f>
        <v/>
      </c>
      <c r="H3966" s="4">
        <f>IF(E3966=0,"",F3966/E3966-1)</f>
        <v/>
      </c>
      <c r="I3966" t="inlineStr"/>
    </row>
    <row r="3967">
      <c r="A3967" t="inlineStr">
        <is>
          <t>Textiles &amp; apparel</t>
        </is>
      </c>
      <c r="B3967" t="inlineStr">
        <is>
          <t>54</t>
        </is>
      </c>
      <c r="C3967" t="inlineStr">
        <is>
          <t>54041200</t>
        </is>
      </c>
      <c r="D3967" t="inlineStr">
        <is>
          <t>OTHER, OF POLYPROPYLENE</t>
        </is>
      </c>
      <c r="E3967" s="3" t="n">
        <v>0.01</v>
      </c>
      <c r="F3967" s="3" t="n">
        <v>0</v>
      </c>
      <c r="G3967" s="3">
        <f>F3967-E3967</f>
        <v/>
      </c>
      <c r="H3967" s="4">
        <f>IF(E3967=0,"",F3967/E3967-1)</f>
        <v/>
      </c>
      <c r="I3967" t="inlineStr"/>
    </row>
    <row r="3968">
      <c r="A3968" t="inlineStr">
        <is>
          <t>Textiles &amp; apparel</t>
        </is>
      </c>
      <c r="B3968" t="inlineStr">
        <is>
          <t>54</t>
        </is>
      </c>
      <c r="C3968" t="inlineStr">
        <is>
          <t>54049090</t>
        </is>
      </c>
      <c r="D3968" t="inlineStr">
        <is>
          <t>OTHER SYN TXTL</t>
        </is>
      </c>
      <c r="E3968" s="3" t="n">
        <v>1.36</v>
      </c>
      <c r="F3968" s="3" t="n">
        <v>0</v>
      </c>
      <c r="G3968" s="3">
        <f>F3968-E3968</f>
        <v/>
      </c>
      <c r="H3968" s="4">
        <f>IF(E3968=0,"",F3968/E3968-1)</f>
        <v/>
      </c>
      <c r="I3968" t="inlineStr"/>
    </row>
    <row r="3969">
      <c r="A3969" t="inlineStr">
        <is>
          <t>Textiles &amp; apparel</t>
        </is>
      </c>
      <c r="B3969" t="inlineStr">
        <is>
          <t>54</t>
        </is>
      </c>
      <c r="C3969" t="inlineStr">
        <is>
          <t>54071014</t>
        </is>
      </c>
      <c r="D3969" t="inlineStr">
        <is>
          <t>UNBLECHD UMBRELLA CLOTH PANEL FBRCS</t>
        </is>
      </c>
      <c r="E3969" s="3" t="n">
        <v>0</v>
      </c>
      <c r="F3969" s="3" t="n">
        <v>0</v>
      </c>
      <c r="G3969" s="3">
        <f>F3969-E3969</f>
        <v/>
      </c>
      <c r="H3969" s="4">
        <f>IF(E3969=0,"",F3969/E3969-1)</f>
        <v/>
      </c>
      <c r="I3969" t="inlineStr"/>
    </row>
    <row r="3970">
      <c r="A3970" t="inlineStr">
        <is>
          <t>Textiles &amp; apparel</t>
        </is>
      </c>
      <c r="B3970" t="inlineStr">
        <is>
          <t>54</t>
        </is>
      </c>
      <c r="C3970" t="inlineStr">
        <is>
          <t>54071015</t>
        </is>
      </c>
      <c r="D3970" t="inlineStr">
        <is>
          <t>UNBLECHD OTHR NYLON/POLYAMIDE FBRCS (FILAMENT )</t>
        </is>
      </c>
      <c r="E3970" s="3" t="n">
        <v>0.25</v>
      </c>
      <c r="F3970" s="3" t="n">
        <v>0</v>
      </c>
      <c r="G3970" s="3">
        <f>F3970-E3970</f>
        <v/>
      </c>
      <c r="H3970" s="4">
        <f>IF(E3970=0,"",F3970/E3970-1)</f>
        <v/>
      </c>
      <c r="I3970" t="inlineStr"/>
    </row>
    <row r="3971">
      <c r="A3971" t="inlineStr">
        <is>
          <t>Textiles &amp; apparel</t>
        </is>
      </c>
      <c r="B3971" t="inlineStr">
        <is>
          <t>54</t>
        </is>
      </c>
      <c r="C3971" t="inlineStr">
        <is>
          <t>54071016</t>
        </is>
      </c>
      <c r="D3971" t="inlineStr">
        <is>
          <t>UNBLECHD POLYESTER SUITINGS</t>
        </is>
      </c>
      <c r="E3971" s="3" t="n">
        <v>0.01</v>
      </c>
      <c r="F3971" s="3" t="n">
        <v>0</v>
      </c>
      <c r="G3971" s="3">
        <f>F3971-E3971</f>
        <v/>
      </c>
      <c r="H3971" s="4">
        <f>IF(E3971=0,"",F3971/E3971-1)</f>
        <v/>
      </c>
      <c r="I3971" t="inlineStr"/>
    </row>
    <row r="3972">
      <c r="A3972" t="inlineStr">
        <is>
          <t>Textiles &amp; apparel</t>
        </is>
      </c>
      <c r="B3972" t="inlineStr">
        <is>
          <t>54</t>
        </is>
      </c>
      <c r="C3972" t="inlineStr">
        <is>
          <t>54072040</t>
        </is>
      </c>
      <c r="D3972" t="inlineStr">
        <is>
          <t>PRINTED WVEN FBRCS FROM STRIP/THE LIKE</t>
        </is>
      </c>
      <c r="E3972" s="3" t="n">
        <v>0.09</v>
      </c>
      <c r="F3972" s="3" t="n">
        <v>0</v>
      </c>
      <c r="G3972" s="3">
        <f>F3972-E3972</f>
        <v/>
      </c>
      <c r="H3972" s="4">
        <f>IF(E3972=0,"",F3972/E3972-1)</f>
        <v/>
      </c>
      <c r="I3972" t="inlineStr"/>
    </row>
    <row r="3973">
      <c r="A3973" t="inlineStr">
        <is>
          <t>Textiles &amp; apparel</t>
        </is>
      </c>
      <c r="B3973" t="inlineStr">
        <is>
          <t>54</t>
        </is>
      </c>
      <c r="C3973" t="inlineStr">
        <is>
          <t>54072090</t>
        </is>
      </c>
      <c r="D3973" t="inlineStr">
        <is>
          <t>OTHR WVEN FBRCS FROM STRIP/THE LIKE</t>
        </is>
      </c>
      <c r="E3973" s="3" t="n">
        <v>0.09</v>
      </c>
      <c r="F3973" s="3" t="n">
        <v>0</v>
      </c>
      <c r="G3973" s="3">
        <f>F3973-E3973</f>
        <v/>
      </c>
      <c r="H3973" s="4">
        <f>IF(E3973=0,"",F3973/E3973-1)</f>
        <v/>
      </c>
      <c r="I3973" t="inlineStr"/>
    </row>
    <row r="3974">
      <c r="A3974" t="inlineStr">
        <is>
          <t>Textiles &amp; apparel</t>
        </is>
      </c>
      <c r="B3974" t="inlineStr">
        <is>
          <t>54</t>
        </is>
      </c>
      <c r="C3974" t="inlineStr">
        <is>
          <t>54074490</t>
        </is>
      </c>
      <c r="D3974" t="inlineStr">
        <is>
          <t>OTHERS-OF-WOVEN FABRICS,PRINTED,CNTNG FLMNTS OF NYLON/OTHER POLYAMIDES&gt;=85% BY WT</t>
        </is>
      </c>
      <c r="E3974" s="3" t="n">
        <v>0.05</v>
      </c>
      <c r="F3974" s="3" t="n">
        <v>0</v>
      </c>
      <c r="G3974" s="3">
        <f>F3974-E3974</f>
        <v/>
      </c>
      <c r="H3974" s="4">
        <f>IF(E3974=0,"",F3974/E3974-1)</f>
        <v/>
      </c>
      <c r="I3974" t="inlineStr"/>
    </row>
    <row r="3975">
      <c r="A3975" t="inlineStr">
        <is>
          <t>Textiles &amp; apparel</t>
        </is>
      </c>
      <c r="B3975" t="inlineStr">
        <is>
          <t>54</t>
        </is>
      </c>
      <c r="C3975" t="inlineStr">
        <is>
          <t>54075210</t>
        </is>
      </c>
      <c r="D3975" t="inlineStr">
        <is>
          <t>POLYESTER SHIRTINGS</t>
        </is>
      </c>
      <c r="E3975" s="3" t="n">
        <v>0.26</v>
      </c>
      <c r="F3975" s="3" t="n">
        <v>0</v>
      </c>
      <c r="G3975" s="3">
        <f>F3975-E3975</f>
        <v/>
      </c>
      <c r="H3975" s="4">
        <f>IF(E3975=0,"",F3975/E3975-1)</f>
        <v/>
      </c>
      <c r="I3975" t="inlineStr"/>
    </row>
    <row r="3976">
      <c r="A3976" t="inlineStr">
        <is>
          <t>Textiles &amp; apparel</t>
        </is>
      </c>
      <c r="B3976" t="inlineStr">
        <is>
          <t>54</t>
        </is>
      </c>
      <c r="C3976" t="inlineStr">
        <is>
          <t>54077300</t>
        </is>
      </c>
      <c r="D3976" t="inlineStr">
        <is>
          <t>OTHR WOVN FABRCS OF YRNS OF DIFRNT COLORS CNTNG 85% OR MORE BY WT OF SYNTHTC FILMNTS</t>
        </is>
      </c>
      <c r="E3976" s="3" t="n">
        <v>0.02</v>
      </c>
      <c r="F3976" s="3" t="n">
        <v>0</v>
      </c>
      <c r="G3976" s="3">
        <f>F3976-E3976</f>
        <v/>
      </c>
      <c r="H3976" s="4">
        <f>IF(E3976=0,"",F3976/E3976-1)</f>
        <v/>
      </c>
      <c r="I3976" t="inlineStr"/>
    </row>
    <row r="3977">
      <c r="A3977" t="inlineStr">
        <is>
          <t>Textiles &amp; apparel</t>
        </is>
      </c>
      <c r="B3977" t="inlineStr">
        <is>
          <t>54</t>
        </is>
      </c>
      <c r="C3977" t="inlineStr">
        <is>
          <t>54078113</t>
        </is>
      </c>
      <c r="D3977" t="inlineStr">
        <is>
          <t>UNBLECHD POLYESTER SHIRTING</t>
        </is>
      </c>
      <c r="E3977" s="3" t="n">
        <v>0.07000000000000001</v>
      </c>
      <c r="F3977" s="3" t="n">
        <v>0</v>
      </c>
      <c r="G3977" s="3">
        <f>F3977-E3977</f>
        <v/>
      </c>
      <c r="H3977" s="4">
        <f>IF(E3977=0,"",F3977/E3977-1)</f>
        <v/>
      </c>
      <c r="I3977" t="inlineStr"/>
    </row>
    <row r="3978">
      <c r="A3978" t="inlineStr">
        <is>
          <t>Textiles &amp; apparel</t>
        </is>
      </c>
      <c r="B3978" t="inlineStr">
        <is>
          <t>54</t>
        </is>
      </c>
      <c r="C3978" t="inlineStr">
        <is>
          <t>54078126</t>
        </is>
      </c>
      <c r="D3978" t="inlineStr">
        <is>
          <t>BLECHD POLYESTER DHUTI</t>
        </is>
      </c>
      <c r="E3978" s="3" t="n">
        <v>0.15</v>
      </c>
      <c r="F3978" s="3" t="n">
        <v>0</v>
      </c>
      <c r="G3978" s="3">
        <f>F3978-E3978</f>
        <v/>
      </c>
      <c r="H3978" s="4">
        <f>IF(E3978=0,"",F3978/E3978-1)</f>
        <v/>
      </c>
      <c r="I3978" t="inlineStr"/>
    </row>
    <row r="3979">
      <c r="A3979" t="inlineStr">
        <is>
          <t>Textiles &amp; apparel</t>
        </is>
      </c>
      <c r="B3979" t="inlineStr">
        <is>
          <t>54</t>
        </is>
      </c>
      <c r="C3979" t="inlineStr">
        <is>
          <t>54078300</t>
        </is>
      </c>
      <c r="D3979" t="inlineStr">
        <is>
          <t>OTHER WOVN FBRCS CONT &lt;85% OF SYNTHTC FILMNT MIXD WTH COTN YRN OF DIFF COLOURS</t>
        </is>
      </c>
      <c r="E3979" s="3" t="n">
        <v>0</v>
      </c>
      <c r="F3979" s="3" t="n">
        <v>0</v>
      </c>
      <c r="G3979" s="3">
        <f>F3979-E3979</f>
        <v/>
      </c>
      <c r="H3979" s="4">
        <f>IF(E3979=0,"",F3979/E3979-1)</f>
        <v/>
      </c>
      <c r="I3979" t="inlineStr"/>
    </row>
    <row r="3980">
      <c r="A3980" t="inlineStr">
        <is>
          <t>Textiles &amp; apparel</t>
        </is>
      </c>
      <c r="B3980" t="inlineStr">
        <is>
          <t>54</t>
        </is>
      </c>
      <c r="C3980" t="inlineStr">
        <is>
          <t>54078470</t>
        </is>
      </c>
      <c r="D3980" t="inlineStr">
        <is>
          <t>POLYESTER SAREES</t>
        </is>
      </c>
      <c r="E3980" s="3" t="n">
        <v>0.02</v>
      </c>
      <c r="F3980" s="3" t="n">
        <v>0</v>
      </c>
      <c r="G3980" s="3">
        <f>F3980-E3980</f>
        <v/>
      </c>
      <c r="H3980" s="4">
        <f>IF(E3980=0,"",F3980/E3980-1)</f>
        <v/>
      </c>
      <c r="I3980" t="inlineStr"/>
    </row>
    <row r="3981">
      <c r="A3981" t="inlineStr">
        <is>
          <t>Textiles &amp; apparel</t>
        </is>
      </c>
      <c r="B3981" t="inlineStr">
        <is>
          <t>54</t>
        </is>
      </c>
      <c r="C3981" t="inlineStr">
        <is>
          <t>54079200</t>
        </is>
      </c>
      <c r="D3981" t="inlineStr">
        <is>
          <t>OTHER SYNTHTIC WOVEN FABRICS,DYED</t>
        </is>
      </c>
      <c r="E3981" s="3" t="n">
        <v>0.11</v>
      </c>
      <c r="F3981" s="3" t="n">
        <v>0</v>
      </c>
      <c r="G3981" s="3">
        <f>F3981-E3981</f>
        <v/>
      </c>
      <c r="H3981" s="4">
        <f>IF(E3981=0,"",F3981/E3981-1)</f>
        <v/>
      </c>
      <c r="I3981" t="inlineStr"/>
    </row>
    <row r="3982">
      <c r="A3982" t="inlineStr">
        <is>
          <t>Textiles &amp; apparel</t>
        </is>
      </c>
      <c r="B3982" t="inlineStr">
        <is>
          <t>54</t>
        </is>
      </c>
      <c r="C3982" t="inlineStr">
        <is>
          <t>54082120</t>
        </is>
      </c>
      <c r="D3982" t="inlineStr">
        <is>
          <t>WOVN FBRCS CNTNG ARTFCL FILMNT ETC. &gt; =85%BY WT, UNBLECHD</t>
        </is>
      </c>
      <c r="E3982" s="3" t="n">
        <v>0</v>
      </c>
      <c r="F3982" s="3" t="n">
        <v>0</v>
      </c>
      <c r="G3982" s="3">
        <f>F3982-E3982</f>
        <v/>
      </c>
      <c r="H3982" s="4">
        <f>IF(E3982=0,"",F3982/E3982-1)</f>
        <v/>
      </c>
      <c r="I3982" t="inlineStr"/>
    </row>
    <row r="3983">
      <c r="A3983" t="inlineStr">
        <is>
          <t>Textiles &amp; apparel</t>
        </is>
      </c>
      <c r="B3983" t="inlineStr">
        <is>
          <t>54</t>
        </is>
      </c>
      <c r="C3983" t="inlineStr">
        <is>
          <t>54083290</t>
        </is>
      </c>
      <c r="D3983" t="inlineStr">
        <is>
          <t>OTHR ARTFICL FBRCS</t>
        </is>
      </c>
      <c r="E3983" s="3" t="n">
        <v>0</v>
      </c>
      <c r="F3983" s="3" t="n">
        <v>0</v>
      </c>
      <c r="G3983" s="3">
        <f>F3983-E3983</f>
        <v/>
      </c>
      <c r="H3983" s="4">
        <f>IF(E3983=0,"",F3983/E3983-1)</f>
        <v/>
      </c>
      <c r="I3983" t="inlineStr"/>
    </row>
    <row r="3984">
      <c r="A3984" t="inlineStr">
        <is>
          <t>Textiles &amp; apparel</t>
        </is>
      </c>
      <c r="B3984" t="inlineStr">
        <is>
          <t>54</t>
        </is>
      </c>
      <c r="C3984" t="inlineStr">
        <is>
          <t>54083416</t>
        </is>
      </c>
      <c r="D3984" t="inlineStr">
        <is>
          <t>RAYON SUITING</t>
        </is>
      </c>
      <c r="E3984" s="3" t="n">
        <v>0.02</v>
      </c>
      <c r="F3984" s="3" t="n">
        <v>0</v>
      </c>
      <c r="G3984" s="3">
        <f>F3984-E3984</f>
        <v/>
      </c>
      <c r="H3984" s="4">
        <f>IF(E3984=0,"",F3984/E3984-1)</f>
        <v/>
      </c>
      <c r="I3984" t="inlineStr"/>
    </row>
    <row r="3985">
      <c r="A3985" t="inlineStr">
        <is>
          <t>Textiles &amp; apparel</t>
        </is>
      </c>
      <c r="B3985" t="inlineStr">
        <is>
          <t>55</t>
        </is>
      </c>
      <c r="C3985" t="inlineStr">
        <is>
          <t>55013000</t>
        </is>
      </c>
      <c r="D3985" t="inlineStr">
        <is>
          <t>SYNTHTC FILAMNT TOW,ACRYLIC/MODACRYLIC</t>
        </is>
      </c>
      <c r="E3985" s="3" t="n">
        <v>0.02</v>
      </c>
      <c r="F3985" s="3" t="n">
        <v>0</v>
      </c>
      <c r="G3985" s="3">
        <f>F3985-E3985</f>
        <v/>
      </c>
      <c r="H3985" s="4">
        <f>IF(E3985=0,"",F3985/E3985-1)</f>
        <v/>
      </c>
      <c r="I3985" t="inlineStr"/>
    </row>
    <row r="3986">
      <c r="A3986" t="inlineStr">
        <is>
          <t>Textiles &amp; apparel</t>
        </is>
      </c>
      <c r="B3986" t="inlineStr">
        <is>
          <t>55</t>
        </is>
      </c>
      <c r="C3986" t="inlineStr">
        <is>
          <t>55034000</t>
        </is>
      </c>
      <c r="D3986" t="inlineStr">
        <is>
          <t>STAPLE FIBRS OF POLYPROPYLENE NT CRD/CMBD</t>
        </is>
      </c>
      <c r="E3986" s="3" t="n">
        <v>0.05</v>
      </c>
      <c r="F3986" s="3" t="n">
        <v>0</v>
      </c>
      <c r="G3986" s="3">
        <f>F3986-E3986</f>
        <v/>
      </c>
      <c r="H3986" s="4">
        <f>IF(E3986=0,"",F3986/E3986-1)</f>
        <v/>
      </c>
      <c r="I3986" t="inlineStr"/>
    </row>
    <row r="3987">
      <c r="A3987" t="inlineStr">
        <is>
          <t>Textiles &amp; apparel</t>
        </is>
      </c>
      <c r="B3987" t="inlineStr">
        <is>
          <t>55</t>
        </is>
      </c>
      <c r="C3987" t="inlineStr">
        <is>
          <t>55070090</t>
        </is>
      </c>
      <c r="D3987" t="inlineStr">
        <is>
          <t>OTHERS-OF-ARTIFICIAL STAPLE FIBRES,CARDED,CMBED/OTHERWISE PROCESSED FOR SPINNING</t>
        </is>
      </c>
      <c r="E3987" s="3" t="n">
        <v>0</v>
      </c>
      <c r="F3987" s="3" t="n">
        <v>0</v>
      </c>
      <c r="G3987" s="3">
        <f>F3987-E3987</f>
        <v/>
      </c>
      <c r="H3987" s="4">
        <f>IF(E3987=0,"",F3987/E3987-1)</f>
        <v/>
      </c>
      <c r="I3987" t="inlineStr"/>
    </row>
    <row r="3988">
      <c r="A3988" t="inlineStr">
        <is>
          <t>Textiles &amp; apparel</t>
        </is>
      </c>
      <c r="B3988" t="inlineStr">
        <is>
          <t>55</t>
        </is>
      </c>
      <c r="C3988" t="inlineStr">
        <is>
          <t>55091100</t>
        </is>
      </c>
      <c r="D3988" t="inlineStr">
        <is>
          <t>SINGLE YARN CONTNG 85% OR MORE BY WT OF STAPLE FIBRES OF NYLON/OTHR POLYAMDS</t>
        </is>
      </c>
      <c r="E3988" s="3" t="n">
        <v>0</v>
      </c>
      <c r="F3988" s="3" t="n">
        <v>0</v>
      </c>
      <c r="G3988" s="3">
        <f>F3988-E3988</f>
        <v/>
      </c>
      <c r="H3988" s="4">
        <f>IF(E3988=0,"",F3988/E3988-1)</f>
        <v/>
      </c>
      <c r="I3988" t="inlineStr"/>
    </row>
    <row r="3989">
      <c r="A3989" t="inlineStr">
        <is>
          <t>Textiles &amp; apparel</t>
        </is>
      </c>
      <c r="B3989" t="inlineStr">
        <is>
          <t>55</t>
        </is>
      </c>
      <c r="C3989" t="inlineStr">
        <is>
          <t>55101210</t>
        </is>
      </c>
      <c r="D3989" t="inlineStr">
        <is>
          <t>VISCOSE RAYON SPUN YARN</t>
        </is>
      </c>
      <c r="E3989" s="3" t="n">
        <v>0</v>
      </c>
      <c r="F3989" s="3" t="n">
        <v>0</v>
      </c>
      <c r="G3989" s="3">
        <f>F3989-E3989</f>
        <v/>
      </c>
      <c r="H3989" s="4">
        <f>IF(E3989=0,"",F3989/E3989-1)</f>
        <v/>
      </c>
      <c r="I3989" t="inlineStr"/>
    </row>
    <row r="3990">
      <c r="A3990" t="inlineStr">
        <is>
          <t>Textiles &amp; apparel</t>
        </is>
      </c>
      <c r="B3990" t="inlineStr">
        <is>
          <t>55</t>
        </is>
      </c>
      <c r="C3990" t="inlineStr">
        <is>
          <t>55121110</t>
        </is>
      </c>
      <c r="D3990" t="inlineStr">
        <is>
          <t>WOVEN FBRCS, UNBLECHD</t>
        </is>
      </c>
      <c r="E3990" s="3" t="n">
        <v>0</v>
      </c>
      <c r="F3990" s="3" t="n">
        <v>0</v>
      </c>
      <c r="G3990" s="3">
        <f>F3990-E3990</f>
        <v/>
      </c>
      <c r="H3990" s="4">
        <f>IF(E3990=0,"",F3990/E3990-1)</f>
        <v/>
      </c>
      <c r="I3990" t="inlineStr"/>
    </row>
    <row r="3991">
      <c r="A3991" t="inlineStr">
        <is>
          <t>Textiles &amp; apparel</t>
        </is>
      </c>
      <c r="B3991" t="inlineStr">
        <is>
          <t>55</t>
        </is>
      </c>
      <c r="C3991" t="inlineStr">
        <is>
          <t>55121910</t>
        </is>
      </c>
      <c r="D3991" t="inlineStr">
        <is>
          <t>OTHR WOVN FBRCS, DYED CNTNG POLYETR &gt;= 85%</t>
        </is>
      </c>
      <c r="E3991" s="3" t="n">
        <v>0</v>
      </c>
      <c r="F3991" s="3" t="n">
        <v>0</v>
      </c>
      <c r="G3991" s="3">
        <f>F3991-E3991</f>
        <v/>
      </c>
      <c r="H3991" s="4">
        <f>IF(E3991=0,"",F3991/E3991-1)</f>
        <v/>
      </c>
      <c r="I3991" t="inlineStr"/>
    </row>
    <row r="3992">
      <c r="A3992" t="inlineStr">
        <is>
          <t>Textiles &amp; apparel</t>
        </is>
      </c>
      <c r="B3992" t="inlineStr">
        <is>
          <t>55</t>
        </is>
      </c>
      <c r="C3992" t="inlineStr">
        <is>
          <t>55121920</t>
        </is>
      </c>
      <c r="D3992" t="inlineStr">
        <is>
          <t>OTHR WOVN FBRCS,PRINTD CNTNG POLYETR&gt; =85%</t>
        </is>
      </c>
      <c r="E3992" s="3" t="n">
        <v>1.79</v>
      </c>
      <c r="F3992" s="3" t="n">
        <v>0</v>
      </c>
      <c r="G3992" s="3">
        <f>F3992-E3992</f>
        <v/>
      </c>
      <c r="H3992" s="4">
        <f>IF(E3992=0,"",F3992/E3992-1)</f>
        <v/>
      </c>
      <c r="I3992" t="inlineStr"/>
    </row>
    <row r="3993">
      <c r="A3993" t="inlineStr">
        <is>
          <t>Textiles &amp; apparel</t>
        </is>
      </c>
      <c r="B3993" t="inlineStr">
        <is>
          <t>55</t>
        </is>
      </c>
      <c r="C3993" t="inlineStr">
        <is>
          <t>55129990</t>
        </is>
      </c>
      <c r="D3993" t="inlineStr">
        <is>
          <t>OTHRS</t>
        </is>
      </c>
      <c r="E3993" s="3" t="n">
        <v>0.02</v>
      </c>
      <c r="F3993" s="3" t="n">
        <v>0</v>
      </c>
      <c r="G3993" s="3">
        <f>F3993-E3993</f>
        <v/>
      </c>
      <c r="H3993" s="4">
        <f>IF(E3993=0,"",F3993/E3993-1)</f>
        <v/>
      </c>
      <c r="I3993" t="inlineStr"/>
    </row>
    <row r="3994">
      <c r="A3994" t="inlineStr">
        <is>
          <t>Textiles &amp; apparel</t>
        </is>
      </c>
      <c r="B3994" t="inlineStr">
        <is>
          <t>55</t>
        </is>
      </c>
      <c r="C3994" t="inlineStr">
        <is>
          <t>55141120</t>
        </is>
      </c>
      <c r="D3994" t="inlineStr">
        <is>
          <t>WVN FBRC OF POLSTR STPL, PLAN WVN, BLCHD</t>
        </is>
      </c>
      <c r="E3994" s="3" t="n">
        <v>0.01</v>
      </c>
      <c r="F3994" s="3" t="n">
        <v>0</v>
      </c>
      <c r="G3994" s="3">
        <f>F3994-E3994</f>
        <v/>
      </c>
      <c r="H3994" s="4">
        <f>IF(E3994=0,"",F3994/E3994-1)</f>
        <v/>
      </c>
      <c r="I3994" t="inlineStr"/>
    </row>
    <row r="3995">
      <c r="A3995" t="inlineStr">
        <is>
          <t>Textiles &amp; apparel</t>
        </is>
      </c>
      <c r="B3995" t="inlineStr">
        <is>
          <t>55</t>
        </is>
      </c>
      <c r="C3995" t="inlineStr">
        <is>
          <t>55142100</t>
        </is>
      </c>
      <c r="D3995" t="inlineStr">
        <is>
          <t>WOVEN FABRICS OF POLYESTR STAPLE FIBRES, PLAIN WEAVE,DYED</t>
        </is>
      </c>
      <c r="E3995" s="3" t="n">
        <v>0.13</v>
      </c>
      <c r="F3995" s="3" t="n">
        <v>0</v>
      </c>
      <c r="G3995" s="3">
        <f>F3995-E3995</f>
        <v/>
      </c>
      <c r="H3995" s="4">
        <f>IF(E3995=0,"",F3995/E3995-1)</f>
        <v/>
      </c>
      <c r="I3995" t="inlineStr"/>
    </row>
    <row r="3996">
      <c r="A3996" t="inlineStr">
        <is>
          <t>Textiles &amp; apparel</t>
        </is>
      </c>
      <c r="B3996" t="inlineStr">
        <is>
          <t>55</t>
        </is>
      </c>
      <c r="C3996" t="inlineStr">
        <is>
          <t>55142200</t>
        </is>
      </c>
      <c r="D3996" t="inlineStr">
        <is>
          <t>WOVEN FABRICS,DYED,3/4-THRD TWILL INCL CROSS TWILL OF POLYESTR STAPLE FIBRES</t>
        </is>
      </c>
      <c r="E3996" s="3" t="n">
        <v>0.07000000000000001</v>
      </c>
      <c r="F3996" s="3" t="n">
        <v>0</v>
      </c>
      <c r="G3996" s="3">
        <f>F3996-E3996</f>
        <v/>
      </c>
      <c r="H3996" s="4">
        <f>IF(E3996=0,"",F3996/E3996-1)</f>
        <v/>
      </c>
      <c r="I3996" t="inlineStr"/>
    </row>
    <row r="3997">
      <c r="A3997" t="inlineStr">
        <is>
          <t>Textiles &amp; apparel</t>
        </is>
      </c>
      <c r="B3997" t="inlineStr">
        <is>
          <t>55</t>
        </is>
      </c>
      <c r="C3997" t="inlineStr">
        <is>
          <t>55151390</t>
        </is>
      </c>
      <c r="D3997" t="inlineStr">
        <is>
          <t>FBRC OF POLSTR,MXD WTH WOOL/FINE ANIMAL HAIR, OTHR</t>
        </is>
      </c>
      <c r="E3997" s="3" t="n">
        <v>0.02</v>
      </c>
      <c r="F3997" s="3" t="n">
        <v>0</v>
      </c>
      <c r="G3997" s="3">
        <f>F3997-E3997</f>
        <v/>
      </c>
      <c r="H3997" s="4">
        <f>IF(E3997=0,"",F3997/E3997-1)</f>
        <v/>
      </c>
      <c r="I3997" t="inlineStr"/>
    </row>
    <row r="3998">
      <c r="A3998" t="inlineStr">
        <is>
          <t>Textiles &amp; apparel</t>
        </is>
      </c>
      <c r="B3998" t="inlineStr">
        <is>
          <t>55</t>
        </is>
      </c>
      <c r="C3998" t="inlineStr">
        <is>
          <t>55151910</t>
        </is>
      </c>
      <c r="D3998" t="inlineStr">
        <is>
          <t>FBRC OF POLSTR,MXD WTH OTHR FIBRS,UNBLCHD</t>
        </is>
      </c>
      <c r="E3998" s="3" t="n">
        <v>0.02</v>
      </c>
      <c r="F3998" s="3" t="n">
        <v>0</v>
      </c>
      <c r="G3998" s="3">
        <f>F3998-E3998</f>
        <v/>
      </c>
      <c r="H3998" s="4">
        <f>IF(E3998=0,"",F3998/E3998-1)</f>
        <v/>
      </c>
      <c r="I3998" t="inlineStr"/>
    </row>
    <row r="3999">
      <c r="A3999" t="inlineStr">
        <is>
          <t>Textiles &amp; apparel</t>
        </is>
      </c>
      <c r="B3999" t="inlineStr">
        <is>
          <t>55</t>
        </is>
      </c>
      <c r="C3999" t="inlineStr">
        <is>
          <t>55159930</t>
        </is>
      </c>
      <c r="D3999" t="inlineStr">
        <is>
          <t>OTHR WVN FBRC OF SYN FIBRS MXD WTH WOOL/ FIINE ANML HAIR, DYED</t>
        </is>
      </c>
      <c r="E3999" s="3" t="n">
        <v>0.24</v>
      </c>
      <c r="F3999" s="3" t="n">
        <v>0</v>
      </c>
      <c r="G3999" s="3">
        <f>F3999-E3999</f>
        <v/>
      </c>
      <c r="H3999" s="4">
        <f>IF(E3999=0,"",F3999/E3999-1)</f>
        <v/>
      </c>
      <c r="I3999" t="inlineStr"/>
    </row>
    <row r="4000">
      <c r="A4000" t="inlineStr">
        <is>
          <t>Textiles &amp; apparel</t>
        </is>
      </c>
      <c r="B4000" t="inlineStr">
        <is>
          <t>55</t>
        </is>
      </c>
      <c r="C4000" t="inlineStr">
        <is>
          <t>55159950</t>
        </is>
      </c>
      <c r="D4000" t="inlineStr">
        <is>
          <t>OTHR WVN FBRC MADE OF 100% INHERENT FR SYN FIBRS MXD WTH WOOL/ FINE ANML HAIR, PRINTD</t>
        </is>
      </c>
      <c r="E4000" s="3" t="n">
        <v>0.02</v>
      </c>
      <c r="F4000" s="3" t="n">
        <v>0</v>
      </c>
      <c r="G4000" s="3">
        <f>F4000-E4000</f>
        <v/>
      </c>
      <c r="H4000" s="4">
        <f>IF(E4000=0,"",F4000/E4000-1)</f>
        <v/>
      </c>
      <c r="I4000" t="inlineStr"/>
    </row>
    <row r="4001">
      <c r="A4001" t="inlineStr">
        <is>
          <t>Textiles &amp; apparel</t>
        </is>
      </c>
      <c r="B4001" t="inlineStr">
        <is>
          <t>55</t>
        </is>
      </c>
      <c r="C4001" t="inlineStr">
        <is>
          <t>55159990</t>
        </is>
      </c>
      <c r="D4001" t="inlineStr">
        <is>
          <t>OTHR WVN FBRC OF SYN FIBRS MXD WTH WOOL/ FINE ANML HAIR, OTHR</t>
        </is>
      </c>
      <c r="E4001" s="3" t="n">
        <v>0</v>
      </c>
      <c r="F4001" s="3" t="n">
        <v>0</v>
      </c>
      <c r="G4001" s="3">
        <f>F4001-E4001</f>
        <v/>
      </c>
      <c r="H4001" s="4">
        <f>IF(E4001=0,"",F4001/E4001-1)</f>
        <v/>
      </c>
      <c r="I4001" t="inlineStr"/>
    </row>
    <row r="4002">
      <c r="A4002" t="inlineStr">
        <is>
          <t>Textiles &amp; apparel</t>
        </is>
      </c>
      <c r="B4002" t="inlineStr">
        <is>
          <t>56</t>
        </is>
      </c>
      <c r="C4002" t="inlineStr">
        <is>
          <t>56029090</t>
        </is>
      </c>
      <c r="D4002" t="inlineStr">
        <is>
          <t>OTHER FELT NEC</t>
        </is>
      </c>
      <c r="E4002" s="3" t="n">
        <v>0</v>
      </c>
      <c r="F4002" s="3" t="n">
        <v>0</v>
      </c>
      <c r="G4002" s="3">
        <f>F4002-E4002</f>
        <v/>
      </c>
      <c r="H4002" s="4">
        <f>IF(E4002=0,"",F4002/E4002-1)</f>
        <v/>
      </c>
      <c r="I4002" t="inlineStr"/>
    </row>
    <row r="4003">
      <c r="A4003" t="inlineStr">
        <is>
          <t>Textiles &amp; apparel</t>
        </is>
      </c>
      <c r="B4003" t="inlineStr">
        <is>
          <t>56</t>
        </is>
      </c>
      <c r="C4003" t="inlineStr">
        <is>
          <t>56039410</t>
        </is>
      </c>
      <c r="D4003" t="inlineStr">
        <is>
          <t>OTHER FILMNT WGHNG &gt;150G/SQM-Non-woven Geotextile and articles</t>
        </is>
      </c>
      <c r="E4003" s="3" t="n">
        <v>0</v>
      </c>
      <c r="F4003" s="3" t="n">
        <v>0</v>
      </c>
      <c r="G4003" s="3">
        <f>F4003-E4003</f>
        <v/>
      </c>
      <c r="H4003" s="4">
        <f>IF(E4003=0,"",F4003/E4003-1)</f>
        <v/>
      </c>
      <c r="I4003" t="inlineStr"/>
    </row>
    <row r="4004">
      <c r="A4004" t="inlineStr">
        <is>
          <t>Textiles &amp; apparel</t>
        </is>
      </c>
      <c r="B4004" t="inlineStr">
        <is>
          <t>56</t>
        </is>
      </c>
      <c r="C4004" t="inlineStr">
        <is>
          <t>56041000</t>
        </is>
      </c>
      <c r="D4004" t="inlineStr">
        <is>
          <t>RUBBER THREAD ANDCORD,TEXTILE COVERED</t>
        </is>
      </c>
      <c r="E4004" s="3" t="n">
        <v>0</v>
      </c>
      <c r="F4004" s="3" t="n">
        <v>0</v>
      </c>
      <c r="G4004" s="3">
        <f>F4004-E4004</f>
        <v/>
      </c>
      <c r="H4004" s="4">
        <f>IF(E4004=0,"",F4004/E4004-1)</f>
        <v/>
      </c>
      <c r="I4004" t="inlineStr"/>
    </row>
    <row r="4005">
      <c r="A4005" t="inlineStr">
        <is>
          <t>Textiles &amp; apparel</t>
        </is>
      </c>
      <c r="B4005" t="inlineStr">
        <is>
          <t>56</t>
        </is>
      </c>
      <c r="C4005" t="inlineStr">
        <is>
          <t>56050020</t>
        </is>
      </c>
      <c r="D4005" t="inlineStr">
        <is>
          <t>IMITATION ZARI THREAD</t>
        </is>
      </c>
      <c r="E4005" s="3" t="n">
        <v>0.03</v>
      </c>
      <c r="F4005" s="3" t="n">
        <v>0</v>
      </c>
      <c r="G4005" s="3">
        <f>F4005-E4005</f>
        <v/>
      </c>
      <c r="H4005" s="4">
        <f>IF(E4005=0,"",F4005/E4005-1)</f>
        <v/>
      </c>
      <c r="I4005" t="inlineStr"/>
    </row>
    <row r="4006">
      <c r="A4006" t="inlineStr">
        <is>
          <t>Textiles &amp; apparel</t>
        </is>
      </c>
      <c r="B4006" t="inlineStr">
        <is>
          <t>56</t>
        </is>
      </c>
      <c r="C4006" t="inlineStr">
        <is>
          <t>56072100</t>
        </is>
      </c>
      <c r="D4006" t="inlineStr">
        <is>
          <t>BINDER OR BALER/TWINE OF SISAL OR OTHER TEXTILE FIBRES OF THE GENUS AGAVE</t>
        </is>
      </c>
      <c r="E4006" s="3" t="n">
        <v>0</v>
      </c>
      <c r="F4006" s="3" t="n">
        <v>0</v>
      </c>
      <c r="G4006" s="3">
        <f>F4006-E4006</f>
        <v/>
      </c>
      <c r="H4006" s="4">
        <f>IF(E4006=0,"",F4006/E4006-1)</f>
        <v/>
      </c>
      <c r="I4006" t="inlineStr"/>
    </row>
    <row r="4007">
      <c r="A4007" t="inlineStr">
        <is>
          <t>Textiles &amp; apparel</t>
        </is>
      </c>
      <c r="B4007" t="inlineStr">
        <is>
          <t>56</t>
        </is>
      </c>
      <c r="C4007" t="inlineStr">
        <is>
          <t>56075030</t>
        </is>
      </c>
      <c r="D4007" t="inlineStr">
        <is>
          <t>VISCOSE TYRE CORD</t>
        </is>
      </c>
      <c r="E4007" s="3" t="n">
        <v>0</v>
      </c>
      <c r="F4007" s="3" t="n">
        <v>0</v>
      </c>
      <c r="G4007" s="3">
        <f>F4007-E4007</f>
        <v/>
      </c>
      <c r="H4007" s="4">
        <f>IF(E4007=0,"",F4007/E4007-1)</f>
        <v/>
      </c>
      <c r="I4007" t="inlineStr"/>
    </row>
    <row r="4008">
      <c r="A4008" t="inlineStr">
        <is>
          <t>Textiles &amp; apparel</t>
        </is>
      </c>
      <c r="B4008" t="inlineStr">
        <is>
          <t>56</t>
        </is>
      </c>
      <c r="C4008" t="inlineStr">
        <is>
          <t>56079010</t>
        </is>
      </c>
      <c r="D4008" t="inlineStr">
        <is>
          <t>COIR, CORDAGE AND ROPES OTHR THAN COTTON</t>
        </is>
      </c>
      <c r="E4008" s="3" t="n">
        <v>0.03</v>
      </c>
      <c r="F4008" s="3" t="n">
        <v>0</v>
      </c>
      <c r="G4008" s="3">
        <f>F4008-E4008</f>
        <v/>
      </c>
      <c r="H4008" s="4">
        <f>IF(E4008=0,"",F4008/E4008-1)</f>
        <v/>
      </c>
      <c r="I4008" t="inlineStr"/>
    </row>
    <row r="4009">
      <c r="A4009" t="inlineStr">
        <is>
          <t>Textiles &amp; apparel</t>
        </is>
      </c>
      <c r="B4009" t="inlineStr">
        <is>
          <t>56</t>
        </is>
      </c>
      <c r="C4009" t="inlineStr">
        <is>
          <t>56089090</t>
        </is>
      </c>
      <c r="D4009" t="inlineStr">
        <is>
          <t>OTHER TWINE,CORDAGE/ROPE</t>
        </is>
      </c>
      <c r="E4009" s="3" t="n">
        <v>0.15</v>
      </c>
      <c r="F4009" s="3" t="n">
        <v>0</v>
      </c>
      <c r="G4009" s="3">
        <f>F4009-E4009</f>
        <v/>
      </c>
      <c r="H4009" s="4">
        <f>IF(E4009=0,"",F4009/E4009-1)</f>
        <v/>
      </c>
      <c r="I4009" t="inlineStr"/>
    </row>
    <row r="4010">
      <c r="A4010" t="inlineStr">
        <is>
          <t>Textiles &amp; apparel</t>
        </is>
      </c>
      <c r="B4010" t="inlineStr">
        <is>
          <t>56</t>
        </is>
      </c>
      <c r="C4010" t="inlineStr">
        <is>
          <t>56090010</t>
        </is>
      </c>
      <c r="D4010" t="inlineStr">
        <is>
          <t>COIR PRODUCTS(E.G.COIR FENDER)</t>
        </is>
      </c>
      <c r="E4010" s="3" t="n">
        <v>0</v>
      </c>
      <c r="F4010" s="3" t="n">
        <v>0</v>
      </c>
      <c r="G4010" s="3">
        <f>F4010-E4010</f>
        <v/>
      </c>
      <c r="H4010" s="4">
        <f>IF(E4010=0,"",F4010/E4010-1)</f>
        <v/>
      </c>
      <c r="I4010" t="inlineStr"/>
    </row>
    <row r="4011">
      <c r="A4011" t="inlineStr">
        <is>
          <t>Textiles &amp; apparel</t>
        </is>
      </c>
      <c r="B4011" t="inlineStr">
        <is>
          <t>57</t>
        </is>
      </c>
      <c r="C4011" t="inlineStr">
        <is>
          <t>57023140</t>
        </is>
      </c>
      <c r="D4011" t="inlineStr">
        <is>
          <t>CARPETING, FLR RUG ASND THE LIKE</t>
        </is>
      </c>
      <c r="E4011" s="3" t="n">
        <v>0</v>
      </c>
      <c r="F4011" s="3" t="n">
        <v>0</v>
      </c>
      <c r="G4011" s="3">
        <f>F4011-E4011</f>
        <v/>
      </c>
      <c r="H4011" s="4">
        <f>IF(E4011=0,"",F4011/E4011-1)</f>
        <v/>
      </c>
      <c r="I4011" t="inlineStr"/>
    </row>
    <row r="4012">
      <c r="A4012" t="inlineStr">
        <is>
          <t>Textiles &amp; apparel</t>
        </is>
      </c>
      <c r="B4012" t="inlineStr">
        <is>
          <t>57</t>
        </is>
      </c>
      <c r="C4012" t="inlineStr">
        <is>
          <t>57023290</t>
        </is>
      </c>
      <c r="D4012" t="inlineStr">
        <is>
          <t>OTHERS-OF-CRPTS AND TXTL FLR CVRNGS,WVN,OF MANMADETXTL MATRLS,OF PILE CNSTRCTN,NOT MADE UP</t>
        </is>
      </c>
      <c r="E4012" s="3" t="n">
        <v>0</v>
      </c>
      <c r="F4012" s="3" t="n">
        <v>0</v>
      </c>
      <c r="G4012" s="3">
        <f>F4012-E4012</f>
        <v/>
      </c>
      <c r="H4012" s="4">
        <f>IF(E4012=0,"",F4012/E4012-1)</f>
        <v/>
      </c>
      <c r="I4012" t="inlineStr"/>
    </row>
    <row r="4013">
      <c r="A4013" t="inlineStr">
        <is>
          <t>Textiles &amp; apparel</t>
        </is>
      </c>
      <c r="B4013" t="inlineStr">
        <is>
          <t>57</t>
        </is>
      </c>
      <c r="C4013" t="inlineStr">
        <is>
          <t>57024190</t>
        </is>
      </c>
      <c r="D4013" t="inlineStr">
        <is>
          <t>OTHR FLR CVRNGS OF WOOL/FINE ANML HAIR</t>
        </is>
      </c>
      <c r="E4013" s="3" t="n">
        <v>0.01</v>
      </c>
      <c r="F4013" s="3" t="n">
        <v>0</v>
      </c>
      <c r="G4013" s="3">
        <f>F4013-E4013</f>
        <v/>
      </c>
      <c r="H4013" s="4">
        <f>IF(E4013=0,"",F4013/E4013-1)</f>
        <v/>
      </c>
      <c r="I4013" t="inlineStr"/>
    </row>
    <row r="4014">
      <c r="A4014" t="inlineStr">
        <is>
          <t>Textiles &amp; apparel</t>
        </is>
      </c>
      <c r="B4014" t="inlineStr">
        <is>
          <t>57</t>
        </is>
      </c>
      <c r="C4014" t="inlineStr">
        <is>
          <t>57025032</t>
        </is>
      </c>
      <c r="D4014" t="inlineStr">
        <is>
          <t>CARPETS ETC OF SILK</t>
        </is>
      </c>
      <c r="E4014" s="3" t="n">
        <v>0.04</v>
      </c>
      <c r="F4014" s="3" t="n">
        <v>0</v>
      </c>
      <c r="G4014" s="3">
        <f>F4014-E4014</f>
        <v/>
      </c>
      <c r="H4014" s="4">
        <f>IF(E4014=0,"",F4014/E4014-1)</f>
        <v/>
      </c>
      <c r="I4014" t="inlineStr"/>
    </row>
    <row r="4015">
      <c r="A4015" t="inlineStr">
        <is>
          <t>Textiles &amp; apparel</t>
        </is>
      </c>
      <c r="B4015" t="inlineStr">
        <is>
          <t>57</t>
        </is>
      </c>
      <c r="C4015" t="inlineStr">
        <is>
          <t>57025039</t>
        </is>
      </c>
      <c r="D4015" t="inlineStr">
        <is>
          <t>OTHR TXTL FLR CVRNGS OF OTHR TXTL MATRLS, NT OF PILE CONSTRCTN</t>
        </is>
      </c>
      <c r="E4015" s="3" t="n">
        <v>0</v>
      </c>
      <c r="F4015" s="3" t="n">
        <v>0</v>
      </c>
      <c r="G4015" s="3">
        <f>F4015-E4015</f>
        <v/>
      </c>
      <c r="H4015" s="4">
        <f>IF(E4015=0,"",F4015/E4015-1)</f>
        <v/>
      </c>
      <c r="I4015" t="inlineStr"/>
    </row>
    <row r="4016">
      <c r="A4016" t="inlineStr">
        <is>
          <t>Textiles &amp; apparel</t>
        </is>
      </c>
      <c r="B4016" t="inlineStr">
        <is>
          <t>57</t>
        </is>
      </c>
      <c r="C4016" t="inlineStr">
        <is>
          <t>57031020</t>
        </is>
      </c>
      <c r="D4016" t="inlineStr">
        <is>
          <t>MATS AND MATTING</t>
        </is>
      </c>
      <c r="E4016" s="3" t="n">
        <v>0.01</v>
      </c>
      <c r="F4016" s="3" t="n">
        <v>0</v>
      </c>
      <c r="G4016" s="3">
        <f>F4016-E4016</f>
        <v/>
      </c>
      <c r="H4016" s="4">
        <f>IF(E4016=0,"",F4016/E4016-1)</f>
        <v/>
      </c>
      <c r="I4016" t="inlineStr"/>
    </row>
    <row r="4017">
      <c r="A4017" t="inlineStr">
        <is>
          <t>Textiles &amp; apparel</t>
        </is>
      </c>
      <c r="B4017" t="inlineStr">
        <is>
          <t>57</t>
        </is>
      </c>
      <c r="C4017" t="inlineStr">
        <is>
          <t>57032990</t>
        </is>
      </c>
      <c r="D4017" t="inlineStr">
        <is>
          <t>OTHERS-OF-OTHERS-OF-CARPETS AND OTHER TEXTILE FLOOR COVERINGS(INCLUDING TURF), TUFTED, WHETHER OR NOT MADE UP</t>
        </is>
      </c>
      <c r="E4017" s="3" t="n">
        <v>0.02</v>
      </c>
      <c r="F4017" s="3" t="n">
        <v>0</v>
      </c>
      <c r="G4017" s="3">
        <f>F4017-E4017</f>
        <v/>
      </c>
      <c r="H4017" s="4">
        <f>IF(E4017=0,"",F4017/E4017-1)</f>
        <v/>
      </c>
      <c r="I4017" t="inlineStr"/>
    </row>
    <row r="4018">
      <c r="A4018" t="inlineStr">
        <is>
          <t>Textiles &amp; apparel</t>
        </is>
      </c>
      <c r="B4018" t="inlineStr">
        <is>
          <t>57</t>
        </is>
      </c>
      <c r="C4018" t="inlineStr">
        <is>
          <t>57039010</t>
        </is>
      </c>
      <c r="D4018" t="inlineStr">
        <is>
          <t>CARPETS AND OTHER FLOOR COVERINGS, OF COTTON, OTHER THAN DURRIES</t>
        </is>
      </c>
      <c r="E4018" s="3" t="n">
        <v>0.02</v>
      </c>
      <c r="F4018" s="3" t="n">
        <v>0</v>
      </c>
      <c r="G4018" s="3">
        <f>F4018-E4018</f>
        <v/>
      </c>
      <c r="H4018" s="4">
        <f>IF(E4018=0,"",F4018/E4018-1)</f>
        <v/>
      </c>
      <c r="I4018" t="inlineStr"/>
    </row>
    <row r="4019">
      <c r="A4019" t="inlineStr">
        <is>
          <t>Textiles &amp; apparel</t>
        </is>
      </c>
      <c r="B4019" t="inlineStr">
        <is>
          <t>57</t>
        </is>
      </c>
      <c r="C4019" t="inlineStr">
        <is>
          <t>57050022</t>
        </is>
      </c>
      <c r="D4019" t="inlineStr">
        <is>
          <t>DURRIES OF MAN-MADE FIBRES</t>
        </is>
      </c>
      <c r="E4019" s="3" t="n">
        <v>0</v>
      </c>
      <c r="F4019" s="3" t="n">
        <v>0</v>
      </c>
      <c r="G4019" s="3">
        <f>F4019-E4019</f>
        <v/>
      </c>
      <c r="H4019" s="4">
        <f>IF(E4019=0,"",F4019/E4019-1)</f>
        <v/>
      </c>
      <c r="I4019" t="inlineStr"/>
    </row>
    <row r="4020">
      <c r="A4020" t="inlineStr">
        <is>
          <t>Textiles &amp; apparel</t>
        </is>
      </c>
      <c r="B4020" t="inlineStr">
        <is>
          <t>57</t>
        </is>
      </c>
      <c r="C4020" t="inlineStr">
        <is>
          <t>57050023</t>
        </is>
      </c>
      <c r="D4020" t="inlineStr">
        <is>
          <t>DURRIES OF WOOL</t>
        </is>
      </c>
      <c r="E4020" s="3" t="n">
        <v>0.02</v>
      </c>
      <c r="F4020" s="3" t="n">
        <v>0</v>
      </c>
      <c r="G4020" s="3">
        <f>F4020-E4020</f>
        <v/>
      </c>
      <c r="H4020" s="4">
        <f>IF(E4020=0,"",F4020/E4020-1)</f>
        <v/>
      </c>
      <c r="I4020" t="inlineStr"/>
    </row>
    <row r="4021">
      <c r="A4021" t="inlineStr">
        <is>
          <t>Textiles &amp; apparel</t>
        </is>
      </c>
      <c r="B4021" t="inlineStr">
        <is>
          <t>57</t>
        </is>
      </c>
      <c r="C4021" t="inlineStr">
        <is>
          <t>57050042</t>
        </is>
      </c>
      <c r="D4021" t="inlineStr">
        <is>
          <t>MATS AND MATTINGS INCLUDING BATH MATS, WHERE COTTON PREDOMINATES BY WEIGHT, OF HANDLOOM, COTTON RUGS OF HANDLOOM</t>
        </is>
      </c>
      <c r="E4021" s="3" t="n">
        <v>0.02</v>
      </c>
      <c r="F4021" s="3" t="n">
        <v>0</v>
      </c>
      <c r="G4021" s="3">
        <f>F4021-E4021</f>
        <v/>
      </c>
      <c r="H4021" s="4">
        <f>IF(E4021=0,"",F4021/E4021-1)</f>
        <v/>
      </c>
      <c r="I4021" t="inlineStr"/>
    </row>
    <row r="4022">
      <c r="A4022" t="inlineStr">
        <is>
          <t>Textiles &amp; apparel</t>
        </is>
      </c>
      <c r="B4022" t="inlineStr">
        <is>
          <t>57</t>
        </is>
      </c>
      <c r="C4022" t="inlineStr">
        <is>
          <t>57050049</t>
        </is>
      </c>
      <c r="D4022" t="inlineStr">
        <is>
          <t>OTHR THAN KNITTED CARPETS ETC</t>
        </is>
      </c>
      <c r="E4022" s="3" t="n">
        <v>0</v>
      </c>
      <c r="F4022" s="3" t="n">
        <v>0</v>
      </c>
      <c r="G4022" s="3">
        <f>F4022-E4022</f>
        <v/>
      </c>
      <c r="H4022" s="4">
        <f>IF(E4022=0,"",F4022/E4022-1)</f>
        <v/>
      </c>
      <c r="I4022" t="inlineStr"/>
    </row>
    <row r="4023">
      <c r="A4023" t="inlineStr">
        <is>
          <t>Textiles &amp; apparel</t>
        </is>
      </c>
      <c r="B4023" t="inlineStr">
        <is>
          <t>58</t>
        </is>
      </c>
      <c r="C4023" t="inlineStr">
        <is>
          <t>58012600</t>
        </is>
      </c>
      <c r="D4023" t="inlineStr">
        <is>
          <t>CHENILLE FABRICS OF COTTON</t>
        </is>
      </c>
      <c r="E4023" s="3" t="n">
        <v>0.26</v>
      </c>
      <c r="F4023" s="3" t="n">
        <v>0</v>
      </c>
      <c r="G4023" s="3">
        <f>F4023-E4023</f>
        <v/>
      </c>
      <c r="H4023" s="4">
        <f>IF(E4023=0,"",F4023/E4023-1)</f>
        <v/>
      </c>
      <c r="I4023" t="inlineStr"/>
    </row>
    <row r="4024">
      <c r="A4024" t="inlineStr">
        <is>
          <t>Textiles &amp; apparel</t>
        </is>
      </c>
      <c r="B4024" t="inlineStr">
        <is>
          <t>58</t>
        </is>
      </c>
      <c r="C4024" t="inlineStr">
        <is>
          <t>58019090</t>
        </is>
      </c>
      <c r="D4024" t="inlineStr">
        <is>
          <t>PILE/CHENILLE FBRCS NES</t>
        </is>
      </c>
      <c r="E4024" s="3" t="n">
        <v>0</v>
      </c>
      <c r="F4024" s="3" t="n">
        <v>0</v>
      </c>
      <c r="G4024" s="3">
        <f>F4024-E4024</f>
        <v/>
      </c>
      <c r="H4024" s="4">
        <f>IF(E4024=0,"",F4024/E4024-1)</f>
        <v/>
      </c>
      <c r="I4024" t="inlineStr"/>
    </row>
    <row r="4025">
      <c r="A4025" t="inlineStr">
        <is>
          <t>Textiles &amp; apparel</t>
        </is>
      </c>
      <c r="B4025" t="inlineStr">
        <is>
          <t>58</t>
        </is>
      </c>
      <c r="C4025" t="inlineStr">
        <is>
          <t>58022000</t>
        </is>
      </c>
      <c r="D4025" t="inlineStr">
        <is>
          <t>TERRY TOWELLING AND SIMILAR WOVEN TERRY FABRICS OF OTHER TEXTILE MATERIALS</t>
        </is>
      </c>
      <c r="E4025" s="3" t="n">
        <v>0</v>
      </c>
      <c r="F4025" s="3" t="n">
        <v>0</v>
      </c>
      <c r="G4025" s="3">
        <f>F4025-E4025</f>
        <v/>
      </c>
      <c r="H4025" s="4">
        <f>IF(E4025=0,"",F4025/E4025-1)</f>
        <v/>
      </c>
      <c r="I4025" t="inlineStr"/>
    </row>
    <row r="4026">
      <c r="A4026" t="inlineStr">
        <is>
          <t>Textiles &amp; apparel</t>
        </is>
      </c>
      <c r="B4026" t="inlineStr">
        <is>
          <t>58</t>
        </is>
      </c>
      <c r="C4026" t="inlineStr">
        <is>
          <t>58042100</t>
        </is>
      </c>
      <c r="D4026" t="inlineStr">
        <is>
          <t>MECHANICALLY MADE LACE OF MAN-MADE FBRS</t>
        </is>
      </c>
      <c r="E4026" s="3" t="n">
        <v>0</v>
      </c>
      <c r="F4026" s="3" t="n">
        <v>0</v>
      </c>
      <c r="G4026" s="3">
        <f>F4026-E4026</f>
        <v/>
      </c>
      <c r="H4026" s="4">
        <f>IF(E4026=0,"",F4026/E4026-1)</f>
        <v/>
      </c>
      <c r="I4026" t="inlineStr"/>
    </row>
    <row r="4027">
      <c r="A4027" t="inlineStr">
        <is>
          <t>Textiles &amp; apparel</t>
        </is>
      </c>
      <c r="B4027" t="inlineStr">
        <is>
          <t>58</t>
        </is>
      </c>
      <c r="C4027" t="inlineStr">
        <is>
          <t>58042910</t>
        </is>
      </c>
      <c r="D4027" t="inlineStr">
        <is>
          <t>MECHANICALLY MADE LACE OF COTTON</t>
        </is>
      </c>
      <c r="E4027" s="3" t="n">
        <v>0</v>
      </c>
      <c r="F4027" s="3" t="n">
        <v>0</v>
      </c>
      <c r="G4027" s="3">
        <f>F4027-E4027</f>
        <v/>
      </c>
      <c r="H4027" s="4">
        <f>IF(E4027=0,"",F4027/E4027-1)</f>
        <v/>
      </c>
      <c r="I4027" t="inlineStr"/>
    </row>
    <row r="4028">
      <c r="A4028" t="inlineStr">
        <is>
          <t>Textiles &amp; apparel</t>
        </is>
      </c>
      <c r="B4028" t="inlineStr">
        <is>
          <t>58</t>
        </is>
      </c>
      <c r="C4028" t="inlineStr">
        <is>
          <t>58079010</t>
        </is>
      </c>
      <c r="D4028" t="inlineStr">
        <is>
          <t>OTHR LABELS BADGES AND SMLR ARTCLS OF FELT OR NON-WVN</t>
        </is>
      </c>
      <c r="E4028" s="3" t="n">
        <v>0</v>
      </c>
      <c r="F4028" s="3" t="n">
        <v>0</v>
      </c>
      <c r="G4028" s="3">
        <f>F4028-E4028</f>
        <v/>
      </c>
      <c r="H4028" s="4">
        <f>IF(E4028=0,"",F4028/E4028-1)</f>
        <v/>
      </c>
      <c r="I4028" t="inlineStr"/>
    </row>
    <row r="4029">
      <c r="A4029" t="inlineStr">
        <is>
          <t>Textiles &amp; apparel</t>
        </is>
      </c>
      <c r="B4029" t="inlineStr">
        <is>
          <t>58</t>
        </is>
      </c>
      <c r="C4029" t="inlineStr">
        <is>
          <t>58081010</t>
        </is>
      </c>
      <c r="D4029" t="inlineStr">
        <is>
          <t>BRAIDS IN THE PIECE,OF COTTON</t>
        </is>
      </c>
      <c r="E4029" s="3" t="n">
        <v>0</v>
      </c>
      <c r="F4029" s="3" t="n">
        <v>0</v>
      </c>
      <c r="G4029" s="3">
        <f>F4029-E4029</f>
        <v/>
      </c>
      <c r="H4029" s="4">
        <f>IF(E4029=0,"",F4029/E4029-1)</f>
        <v/>
      </c>
      <c r="I4029" t="inlineStr"/>
    </row>
    <row r="4030">
      <c r="A4030" t="inlineStr">
        <is>
          <t>Textiles &amp; apparel</t>
        </is>
      </c>
      <c r="B4030" t="inlineStr">
        <is>
          <t>58</t>
        </is>
      </c>
      <c r="C4030" t="inlineStr">
        <is>
          <t>58081090</t>
        </is>
      </c>
      <c r="D4030" t="inlineStr">
        <is>
          <t>BRAIDS, IN PCS OTHER THAN OF COTTON</t>
        </is>
      </c>
      <c r="E4030" s="3" t="n">
        <v>0.1</v>
      </c>
      <c r="F4030" s="3" t="n">
        <v>0</v>
      </c>
      <c r="G4030" s="3">
        <f>F4030-E4030</f>
        <v/>
      </c>
      <c r="H4030" s="4">
        <f>IF(E4030=0,"",F4030/E4030-1)</f>
        <v/>
      </c>
      <c r="I4030" t="inlineStr"/>
    </row>
    <row r="4031">
      <c r="A4031" t="inlineStr">
        <is>
          <t>Textiles &amp; apparel</t>
        </is>
      </c>
      <c r="B4031" t="inlineStr">
        <is>
          <t>58</t>
        </is>
      </c>
      <c r="C4031" t="inlineStr">
        <is>
          <t>58089010</t>
        </is>
      </c>
      <c r="D4031" t="inlineStr">
        <is>
          <t>ORNAMENTAL TAPES OF COTTON</t>
        </is>
      </c>
      <c r="E4031" s="3" t="n">
        <v>0</v>
      </c>
      <c r="F4031" s="3" t="n">
        <v>0</v>
      </c>
      <c r="G4031" s="3">
        <f>F4031-E4031</f>
        <v/>
      </c>
      <c r="H4031" s="4">
        <f>IF(E4031=0,"",F4031/E4031-1)</f>
        <v/>
      </c>
      <c r="I4031" t="inlineStr"/>
    </row>
    <row r="4032">
      <c r="A4032" t="inlineStr">
        <is>
          <t>Textiles &amp; apparel</t>
        </is>
      </c>
      <c r="B4032" t="inlineStr">
        <is>
          <t>58</t>
        </is>
      </c>
      <c r="C4032" t="inlineStr">
        <is>
          <t>58089050</t>
        </is>
      </c>
      <c r="D4032" t="inlineStr">
        <is>
          <t>SAREE FALS BRDR (EXCL ZARI) FRINGS OF COTN</t>
        </is>
      </c>
      <c r="E4032" s="3" t="n">
        <v>0</v>
      </c>
      <c r="F4032" s="3" t="n">
        <v>0</v>
      </c>
      <c r="G4032" s="3">
        <f>F4032-E4032</f>
        <v/>
      </c>
      <c r="H4032" s="4">
        <f>IF(E4032=0,"",F4032/E4032-1)</f>
        <v/>
      </c>
      <c r="I4032" t="inlineStr"/>
    </row>
    <row r="4033">
      <c r="A4033" t="inlineStr">
        <is>
          <t>Textiles &amp; apparel</t>
        </is>
      </c>
      <c r="B4033" t="inlineStr">
        <is>
          <t>58</t>
        </is>
      </c>
      <c r="C4033" t="inlineStr">
        <is>
          <t>58089060</t>
        </is>
      </c>
      <c r="D4033" t="inlineStr">
        <is>
          <t>SAREE FALS BRDRS (OTHR THN ZARI) FRINGES OF MAN-MADE FIBRE</t>
        </is>
      </c>
      <c r="E4033" s="3" t="n">
        <v>0</v>
      </c>
      <c r="F4033" s="3" t="n">
        <v>0</v>
      </c>
      <c r="G4033" s="3">
        <f>F4033-E4033</f>
        <v/>
      </c>
      <c r="H4033" s="4">
        <f>IF(E4033=0,"",F4033/E4033-1)</f>
        <v/>
      </c>
      <c r="I4033" t="inlineStr"/>
    </row>
    <row r="4034">
      <c r="A4034" t="inlineStr">
        <is>
          <t>Textiles &amp; apparel</t>
        </is>
      </c>
      <c r="B4034" t="inlineStr">
        <is>
          <t>58</t>
        </is>
      </c>
      <c r="C4034" t="inlineStr">
        <is>
          <t>58109210</t>
        </is>
      </c>
      <c r="D4034" t="inlineStr">
        <is>
          <t>EMBROIDERY BADGES, MDTIFS AND THE LIKE</t>
        </is>
      </c>
      <c r="E4034" s="3" t="n">
        <v>0</v>
      </c>
      <c r="F4034" s="3" t="n">
        <v>0</v>
      </c>
      <c r="G4034" s="3">
        <f>F4034-E4034</f>
        <v/>
      </c>
      <c r="H4034" s="4">
        <f>IF(E4034=0,"",F4034/E4034-1)</f>
        <v/>
      </c>
      <c r="I4034" t="inlineStr"/>
    </row>
    <row r="4035">
      <c r="A4035" t="inlineStr">
        <is>
          <t>Textiles &amp; apparel</t>
        </is>
      </c>
      <c r="B4035" t="inlineStr">
        <is>
          <t>58</t>
        </is>
      </c>
      <c r="C4035" t="inlineStr">
        <is>
          <t>58109990</t>
        </is>
      </c>
      <c r="D4035" t="inlineStr">
        <is>
          <t>EMBRDRY OF OTHR TXTL MATRLS-OTHERS</t>
        </is>
      </c>
      <c r="E4035" s="3" t="n">
        <v>0.01</v>
      </c>
      <c r="F4035" s="3" t="n">
        <v>0</v>
      </c>
      <c r="G4035" s="3">
        <f>F4035-E4035</f>
        <v/>
      </c>
      <c r="H4035" s="4">
        <f>IF(E4035=0,"",F4035/E4035-1)</f>
        <v/>
      </c>
      <c r="I4035" t="inlineStr"/>
    </row>
    <row r="4036">
      <c r="A4036" t="inlineStr">
        <is>
          <t>Textiles &amp; apparel</t>
        </is>
      </c>
      <c r="B4036" t="inlineStr">
        <is>
          <t>58</t>
        </is>
      </c>
      <c r="C4036" t="inlineStr">
        <is>
          <t>58110010</t>
        </is>
      </c>
      <c r="D4036" t="inlineStr">
        <is>
          <t>KANTHA(MULTI LAYER STITCHED TEXTILE FBRCS IN PIECE USD FOR BDNG,MTRS PADS/CLTHNG ETC</t>
        </is>
      </c>
      <c r="E4036" s="3" t="n">
        <v>0</v>
      </c>
      <c r="F4036" s="3" t="n">
        <v>0</v>
      </c>
      <c r="G4036" s="3">
        <f>F4036-E4036</f>
        <v/>
      </c>
      <c r="H4036" s="4">
        <f>IF(E4036=0,"",F4036/E4036-1)</f>
        <v/>
      </c>
      <c r="I4036" t="inlineStr"/>
    </row>
    <row r="4037">
      <c r="A4037" t="inlineStr">
        <is>
          <t>Textiles &amp; apparel</t>
        </is>
      </c>
      <c r="B4037" t="inlineStr">
        <is>
          <t>58</t>
        </is>
      </c>
      <c r="C4037" t="inlineStr">
        <is>
          <t>58110090</t>
        </is>
      </c>
      <c r="D4037" t="inlineStr">
        <is>
          <t>OTHERS-OF-QUILTED TXTL PRDCTS IN THE PIECE CMPSD OF ONE/MORE LAYERS OF TXTL MATRLS ASSMBLD WTHPDDNG BY STICHING ETC EXCPT HDG</t>
        </is>
      </c>
      <c r="E4037" s="3" t="n">
        <v>0</v>
      </c>
      <c r="F4037" s="3" t="n">
        <v>0</v>
      </c>
      <c r="G4037" s="3">
        <f>F4037-E4037</f>
        <v/>
      </c>
      <c r="H4037" s="4">
        <f>IF(E4037=0,"",F4037/E4037-1)</f>
        <v/>
      </c>
      <c r="I4037" t="inlineStr"/>
    </row>
    <row r="4038">
      <c r="A4038" t="inlineStr">
        <is>
          <t>Textiles &amp; apparel</t>
        </is>
      </c>
      <c r="B4038" t="inlineStr">
        <is>
          <t>59</t>
        </is>
      </c>
      <c r="C4038" t="inlineStr">
        <is>
          <t>59011010</t>
        </is>
      </c>
      <c r="D4038" t="inlineStr">
        <is>
          <t>TXTL FBRCS COTD WTH GYM ETC USED FOR OUTER BOOK COVERS, COTTON</t>
        </is>
      </c>
      <c r="E4038" s="3" t="n">
        <v>0</v>
      </c>
      <c r="F4038" s="3" t="n">
        <v>0</v>
      </c>
      <c r="G4038" s="3">
        <f>F4038-E4038</f>
        <v/>
      </c>
      <c r="H4038" s="4">
        <f>IF(E4038=0,"",F4038/E4038-1)</f>
        <v/>
      </c>
      <c r="I4038" t="inlineStr"/>
    </row>
    <row r="4039">
      <c r="A4039" t="inlineStr">
        <is>
          <t>Textiles &amp; apparel</t>
        </is>
      </c>
      <c r="B4039" t="inlineStr">
        <is>
          <t>59</t>
        </is>
      </c>
      <c r="C4039" t="inlineStr">
        <is>
          <t>59029090</t>
        </is>
      </c>
      <c r="D4039" t="inlineStr">
        <is>
          <t>OTHERS-OF-TYRE CORD FABRICS OF VISCOSE RAYON</t>
        </is>
      </c>
      <c r="E4039" s="3" t="n">
        <v>0</v>
      </c>
      <c r="F4039" s="3" t="n">
        <v>0</v>
      </c>
      <c r="G4039" s="3">
        <f>F4039-E4039</f>
        <v/>
      </c>
      <c r="H4039" s="4">
        <f>IF(E4039=0,"",F4039/E4039-1)</f>
        <v/>
      </c>
      <c r="I4039" t="inlineStr"/>
    </row>
    <row r="4040">
      <c r="A4040" t="inlineStr">
        <is>
          <t>Textiles &amp; apparel</t>
        </is>
      </c>
      <c r="B4040" t="inlineStr">
        <is>
          <t>59</t>
        </is>
      </c>
      <c r="C4040" t="inlineStr">
        <is>
          <t>59039010</t>
        </is>
      </c>
      <c r="D4040" t="inlineStr">
        <is>
          <t>COTTON FBRCS, IMPRGNTD,COARED ETC WTH OTHRPLASTICS</t>
        </is>
      </c>
      <c r="E4040" s="3" t="n">
        <v>0</v>
      </c>
      <c r="F4040" s="3" t="n">
        <v>0</v>
      </c>
      <c r="G4040" s="3">
        <f>F4040-E4040</f>
        <v/>
      </c>
      <c r="H4040" s="4">
        <f>IF(E4040=0,"",F4040/E4040-1)</f>
        <v/>
      </c>
      <c r="I4040" t="inlineStr"/>
    </row>
    <row r="4041">
      <c r="A4041" t="inlineStr">
        <is>
          <t>Textiles &amp; apparel</t>
        </is>
      </c>
      <c r="B4041" t="inlineStr">
        <is>
          <t>59</t>
        </is>
      </c>
      <c r="C4041" t="inlineStr">
        <is>
          <t>59100010</t>
        </is>
      </c>
      <c r="D4041" t="inlineStr">
        <is>
          <t>COTTON CANVAS PLY BELTING</t>
        </is>
      </c>
      <c r="E4041" s="3" t="n">
        <v>0.01</v>
      </c>
      <c r="F4041" s="3" t="n">
        <v>0</v>
      </c>
      <c r="G4041" s="3">
        <f>F4041-E4041</f>
        <v/>
      </c>
      <c r="H4041" s="4">
        <f>IF(E4041=0,"",F4041/E4041-1)</f>
        <v/>
      </c>
      <c r="I4041" t="inlineStr"/>
    </row>
    <row r="4042">
      <c r="A4042" t="inlineStr">
        <is>
          <t>Textiles &amp; apparel</t>
        </is>
      </c>
      <c r="B4042" t="inlineStr">
        <is>
          <t>59</t>
        </is>
      </c>
      <c r="C4042" t="inlineStr">
        <is>
          <t>59100060</t>
        </is>
      </c>
      <c r="D4042" t="inlineStr">
        <is>
          <t>FIBRE BELT CONVEYOR</t>
        </is>
      </c>
      <c r="E4042" s="3" t="n">
        <v>0</v>
      </c>
      <c r="F4042" s="3" t="n">
        <v>0</v>
      </c>
      <c r="G4042" s="3">
        <f>F4042-E4042</f>
        <v/>
      </c>
      <c r="H4042" s="4">
        <f>IF(E4042=0,"",F4042/E4042-1)</f>
        <v/>
      </c>
      <c r="I4042" t="inlineStr"/>
    </row>
    <row r="4043">
      <c r="A4043" t="inlineStr">
        <is>
          <t>Textiles &amp; apparel</t>
        </is>
      </c>
      <c r="B4043" t="inlineStr">
        <is>
          <t>59</t>
        </is>
      </c>
      <c r="C4043" t="inlineStr">
        <is>
          <t>59113230</t>
        </is>
      </c>
      <c r="D4043" t="inlineStr">
        <is>
          <t>CTN FBRCS AND ARTCLS USD IN MACHINERY/PLANT</t>
        </is>
      </c>
      <c r="E4043" s="3" t="n">
        <v>0</v>
      </c>
      <c r="F4043" s="3" t="n">
        <v>0</v>
      </c>
      <c r="G4043" s="3">
        <f>F4043-E4043</f>
        <v/>
      </c>
      <c r="H4043" s="4">
        <f>IF(E4043=0,"",F4043/E4043-1)</f>
        <v/>
      </c>
      <c r="I4043" t="inlineStr"/>
    </row>
    <row r="4044">
      <c r="A4044" t="inlineStr">
        <is>
          <t>Textiles &amp; apparel</t>
        </is>
      </c>
      <c r="B4044" t="inlineStr">
        <is>
          <t>59</t>
        </is>
      </c>
      <c r="C4044" t="inlineStr">
        <is>
          <t>59119031</t>
        </is>
      </c>
      <c r="D4044" t="inlineStr">
        <is>
          <t>KNTD/WOVEN GEO-TECHNICL TXTL-GEOGRID CONFORMING TO IS 17373</t>
        </is>
      </c>
      <c r="E4044" s="3" t="n">
        <v>0.71</v>
      </c>
      <c r="F4044" s="3" t="n">
        <v>0</v>
      </c>
      <c r="G4044" s="3">
        <f>F4044-E4044</f>
        <v/>
      </c>
      <c r="H4044" s="4">
        <f>IF(E4044=0,"",F4044/E4044-1)</f>
        <v/>
      </c>
      <c r="I4044" t="inlineStr"/>
    </row>
    <row r="4045">
      <c r="A4045" t="inlineStr">
        <is>
          <t>Textiles &amp; apparel</t>
        </is>
      </c>
      <c r="B4045" t="inlineStr">
        <is>
          <t>59</t>
        </is>
      </c>
      <c r="C4045" t="inlineStr">
        <is>
          <t>59119032</t>
        </is>
      </c>
      <c r="D4045" t="inlineStr">
        <is>
          <t>KNTD/WOVEN GEO-TECHNICL TXTL-GEOTEXTILE CONFORMING TO IS 16391/16392</t>
        </is>
      </c>
      <c r="E4045" s="3" t="n">
        <v>0</v>
      </c>
      <c r="F4045" s="3" t="n">
        <v>0</v>
      </c>
      <c r="G4045" s="3">
        <f>F4045-E4045</f>
        <v/>
      </c>
      <c r="H4045" s="4">
        <f>IF(E4045=0,"",F4045/E4045-1)</f>
        <v/>
      </c>
      <c r="I4045" t="inlineStr"/>
    </row>
    <row r="4046">
      <c r="A4046" t="inlineStr">
        <is>
          <t>Textiles &amp; apparel</t>
        </is>
      </c>
      <c r="B4046" t="inlineStr">
        <is>
          <t>60</t>
        </is>
      </c>
      <c r="C4046" t="inlineStr">
        <is>
          <t>60024000</t>
        </is>
      </c>
      <c r="D4046" t="inlineStr">
        <is>
          <t>KNITD OR CROCHETED FBRCS CONTNG ELASTOMERIC YARN&gt;=5% BY WT BUT NOT RUBR THREAD</t>
        </is>
      </c>
      <c r="E4046" s="3" t="n">
        <v>0.01</v>
      </c>
      <c r="F4046" s="3" t="n">
        <v>0</v>
      </c>
      <c r="G4046" s="3">
        <f>F4046-E4046</f>
        <v/>
      </c>
      <c r="H4046" s="4">
        <f>IF(E4046=0,"",F4046/E4046-1)</f>
        <v/>
      </c>
      <c r="I4046" t="inlineStr"/>
    </row>
    <row r="4047">
      <c r="A4047" t="inlineStr">
        <is>
          <t>Textiles &amp; apparel</t>
        </is>
      </c>
      <c r="B4047" t="inlineStr">
        <is>
          <t>60</t>
        </is>
      </c>
      <c r="C4047" t="inlineStr">
        <is>
          <t>60029000</t>
        </is>
      </c>
      <c r="D4047" t="inlineStr">
        <is>
          <t>OTHR KNITDOR CROCHETED FBRCS OF WIDTH&lt;30CM</t>
        </is>
      </c>
      <c r="E4047" s="3" t="n">
        <v>0</v>
      </c>
      <c r="F4047" s="3" t="n">
        <v>0</v>
      </c>
      <c r="G4047" s="3">
        <f>F4047-E4047</f>
        <v/>
      </c>
      <c r="H4047" s="4">
        <f>IF(E4047=0,"",F4047/E4047-1)</f>
        <v/>
      </c>
      <c r="I4047" t="inlineStr"/>
    </row>
    <row r="4048">
      <c r="A4048" t="inlineStr">
        <is>
          <t>Textiles &amp; apparel</t>
        </is>
      </c>
      <c r="B4048" t="inlineStr">
        <is>
          <t>60</t>
        </is>
      </c>
      <c r="C4048" t="inlineStr">
        <is>
          <t>60049000</t>
        </is>
      </c>
      <c r="D4048" t="inlineStr">
        <is>
          <t>OTHR FBRCS OF WIDTH&gt;30CM</t>
        </is>
      </c>
      <c r="E4048" s="3" t="n">
        <v>0.01</v>
      </c>
      <c r="F4048" s="3" t="n">
        <v>0</v>
      </c>
      <c r="G4048" s="3">
        <f>F4048-E4048</f>
        <v/>
      </c>
      <c r="H4048" s="4">
        <f>IF(E4048=0,"",F4048/E4048-1)</f>
        <v/>
      </c>
      <c r="I4048" t="inlineStr"/>
    </row>
    <row r="4049">
      <c r="A4049" t="inlineStr">
        <is>
          <t>Textiles &amp; apparel</t>
        </is>
      </c>
      <c r="B4049" t="inlineStr">
        <is>
          <t>60</t>
        </is>
      </c>
      <c r="C4049" t="inlineStr">
        <is>
          <t>60053710</t>
        </is>
      </c>
      <c r="D4049" t="inlineStr">
        <is>
          <t>OTHER, DYED - Shade Nets, conforming to IS 16008</t>
        </is>
      </c>
      <c r="E4049" s="3" t="n">
        <v>0.19</v>
      </c>
      <c r="F4049" s="3" t="n">
        <v>0</v>
      </c>
      <c r="G4049" s="3">
        <f>F4049-E4049</f>
        <v/>
      </c>
      <c r="H4049" s="4">
        <f>IF(E4049=0,"",F4049/E4049-1)</f>
        <v/>
      </c>
      <c r="I4049" t="inlineStr"/>
    </row>
    <row r="4050">
      <c r="A4050" t="inlineStr">
        <is>
          <t>Textiles &amp; apparel</t>
        </is>
      </c>
      <c r="B4050" t="inlineStr">
        <is>
          <t>60</t>
        </is>
      </c>
      <c r="C4050" t="inlineStr">
        <is>
          <t>60053900</t>
        </is>
      </c>
      <c r="D4050" t="inlineStr">
        <is>
          <t>OTHER, PRINTED</t>
        </is>
      </c>
      <c r="E4050" s="3" t="n">
        <v>0</v>
      </c>
      <c r="F4050" s="3" t="n">
        <v>0</v>
      </c>
      <c r="G4050" s="3">
        <f>F4050-E4050</f>
        <v/>
      </c>
      <c r="H4050" s="4">
        <f>IF(E4050=0,"",F4050/E4050-1)</f>
        <v/>
      </c>
      <c r="I4050" t="inlineStr"/>
    </row>
    <row r="4051">
      <c r="A4051" t="inlineStr">
        <is>
          <t>Textiles &amp; apparel</t>
        </is>
      </c>
      <c r="B4051" t="inlineStr">
        <is>
          <t>60</t>
        </is>
      </c>
      <c r="C4051" t="inlineStr">
        <is>
          <t>60064400</t>
        </is>
      </c>
      <c r="D4051" t="inlineStr">
        <is>
          <t>OTHR KNITD OR CROCHETD FBRCS OF ARTIFCL FIBRES , PRINTD</t>
        </is>
      </c>
      <c r="E4051" s="3" t="n">
        <v>0.01</v>
      </c>
      <c r="F4051" s="3" t="n">
        <v>0</v>
      </c>
      <c r="G4051" s="3">
        <f>F4051-E4051</f>
        <v/>
      </c>
      <c r="H4051" s="4">
        <f>IF(E4051=0,"",F4051/E4051-1)</f>
        <v/>
      </c>
      <c r="I4051" t="inlineStr"/>
    </row>
    <row r="4052">
      <c r="A4052" t="inlineStr">
        <is>
          <t>Textiles &amp; apparel</t>
        </is>
      </c>
      <c r="B4052" t="inlineStr">
        <is>
          <t>61</t>
        </is>
      </c>
      <c r="C4052" t="inlineStr">
        <is>
          <t>61012000</t>
        </is>
      </c>
      <c r="D4052" t="inlineStr">
        <is>
          <t>OVRCOAT,CAPES,CLOAKS,ANORAKS ETC OF COTTON</t>
        </is>
      </c>
      <c r="E4052" s="3" t="n">
        <v>0.03</v>
      </c>
      <c r="F4052" s="3" t="n">
        <v>0</v>
      </c>
      <c r="G4052" s="3">
        <f>F4052-E4052</f>
        <v/>
      </c>
      <c r="H4052" s="4">
        <f>IF(E4052=0,"",F4052/E4052-1)</f>
        <v/>
      </c>
      <c r="I4052" t="inlineStr"/>
    </row>
    <row r="4053">
      <c r="A4053" t="inlineStr">
        <is>
          <t>Textiles &amp; apparel</t>
        </is>
      </c>
      <c r="B4053" t="inlineStr">
        <is>
          <t>61</t>
        </is>
      </c>
      <c r="C4053" t="inlineStr">
        <is>
          <t>61013010</t>
        </is>
      </c>
      <c r="D4053" t="inlineStr">
        <is>
          <t>OVRCOAT ETC OF SYNTHETIC FIBRES</t>
        </is>
      </c>
      <c r="E4053" s="3" t="n">
        <v>0</v>
      </c>
      <c r="F4053" s="3" t="n">
        <v>0</v>
      </c>
      <c r="G4053" s="3">
        <f>F4053-E4053</f>
        <v/>
      </c>
      <c r="H4053" s="4">
        <f>IF(E4053=0,"",F4053/E4053-1)</f>
        <v/>
      </c>
      <c r="I4053" t="inlineStr"/>
    </row>
    <row r="4054">
      <c r="A4054" t="inlineStr">
        <is>
          <t>Textiles &amp; apparel</t>
        </is>
      </c>
      <c r="B4054" t="inlineStr">
        <is>
          <t>61</t>
        </is>
      </c>
      <c r="C4054" t="inlineStr">
        <is>
          <t>61022000</t>
        </is>
      </c>
      <c r="D4054" t="inlineStr">
        <is>
          <t>OVRCOAT,CAR-COATS,CAPES ETC OF COTTON</t>
        </is>
      </c>
      <c r="E4054" s="3" t="n">
        <v>0.01</v>
      </c>
      <c r="F4054" s="3" t="n">
        <v>0</v>
      </c>
      <c r="G4054" s="3">
        <f>F4054-E4054</f>
        <v/>
      </c>
      <c r="H4054" s="4">
        <f>IF(E4054=0,"",F4054/E4054-1)</f>
        <v/>
      </c>
      <c r="I4054" t="inlineStr"/>
    </row>
    <row r="4055">
      <c r="A4055" t="inlineStr">
        <is>
          <t>Textiles &amp; apparel</t>
        </is>
      </c>
      <c r="B4055" t="inlineStr">
        <is>
          <t>61</t>
        </is>
      </c>
      <c r="C4055" t="inlineStr">
        <is>
          <t>61023010</t>
        </is>
      </c>
      <c r="D4055" t="inlineStr">
        <is>
          <t>OVRCOAT ETC OF SYNTHETIC FIBRES</t>
        </is>
      </c>
      <c r="E4055" s="3" t="n">
        <v>0</v>
      </c>
      <c r="F4055" s="3" t="n">
        <v>0</v>
      </c>
      <c r="G4055" s="3">
        <f>F4055-E4055</f>
        <v/>
      </c>
      <c r="H4055" s="4">
        <f>IF(E4055=0,"",F4055/E4055-1)</f>
        <v/>
      </c>
      <c r="I4055" t="inlineStr"/>
    </row>
    <row r="4056">
      <c r="A4056" t="inlineStr">
        <is>
          <t>Textiles &amp; apparel</t>
        </is>
      </c>
      <c r="B4056" t="inlineStr">
        <is>
          <t>61</t>
        </is>
      </c>
      <c r="C4056" t="inlineStr">
        <is>
          <t>61032300</t>
        </is>
      </c>
      <c r="D4056" t="inlineStr">
        <is>
          <t>ENSEMBLES OF SYNTHETIC FIBRES</t>
        </is>
      </c>
      <c r="E4056" s="3" t="n">
        <v>0.06</v>
      </c>
      <c r="F4056" s="3" t="n">
        <v>0</v>
      </c>
      <c r="G4056" s="3">
        <f>F4056-E4056</f>
        <v/>
      </c>
      <c r="H4056" s="4">
        <f>IF(E4056=0,"",F4056/E4056-1)</f>
        <v/>
      </c>
      <c r="I4056" t="inlineStr"/>
    </row>
    <row r="4057">
      <c r="A4057" t="inlineStr">
        <is>
          <t>Textiles &amp; apparel</t>
        </is>
      </c>
      <c r="B4057" t="inlineStr">
        <is>
          <t>61</t>
        </is>
      </c>
      <c r="C4057" t="inlineStr">
        <is>
          <t>61033100</t>
        </is>
      </c>
      <c r="D4057" t="inlineStr">
        <is>
          <t>JACKETS AND BLAZERS OF WOOL/FINE ANIMAL HAIR</t>
        </is>
      </c>
      <c r="E4057" s="3" t="n">
        <v>0.02</v>
      </c>
      <c r="F4057" s="3" t="n">
        <v>0</v>
      </c>
      <c r="G4057" s="3">
        <f>F4057-E4057</f>
        <v/>
      </c>
      <c r="H4057" s="4">
        <f>IF(E4057=0,"",F4057/E4057-1)</f>
        <v/>
      </c>
      <c r="I4057" t="inlineStr"/>
    </row>
    <row r="4058">
      <c r="A4058" t="inlineStr">
        <is>
          <t>Textiles &amp; apparel</t>
        </is>
      </c>
      <c r="B4058" t="inlineStr">
        <is>
          <t>61</t>
        </is>
      </c>
      <c r="C4058" t="inlineStr">
        <is>
          <t>61042300</t>
        </is>
      </c>
      <c r="D4058" t="inlineStr">
        <is>
          <t>ENSEMBLES OF SYNTHETIC FIBRES</t>
        </is>
      </c>
      <c r="E4058" s="3" t="n">
        <v>0</v>
      </c>
      <c r="F4058" s="3" t="n">
        <v>0</v>
      </c>
      <c r="G4058" s="3">
        <f>F4058-E4058</f>
        <v/>
      </c>
      <c r="H4058" s="4">
        <f>IF(E4058=0,"",F4058/E4058-1)</f>
        <v/>
      </c>
      <c r="I4058" t="inlineStr"/>
    </row>
    <row r="4059">
      <c r="A4059" t="inlineStr">
        <is>
          <t>Textiles &amp; apparel</t>
        </is>
      </c>
      <c r="B4059" t="inlineStr">
        <is>
          <t>61</t>
        </is>
      </c>
      <c r="C4059" t="inlineStr">
        <is>
          <t>61045200</t>
        </is>
      </c>
      <c r="D4059" t="inlineStr">
        <is>
          <t>SKIRTS AND DIVIDED SKIRTS OF COTTON</t>
        </is>
      </c>
      <c r="E4059" s="3" t="n">
        <v>0.01</v>
      </c>
      <c r="F4059" s="3" t="n">
        <v>0</v>
      </c>
      <c r="G4059" s="3">
        <f>F4059-E4059</f>
        <v/>
      </c>
      <c r="H4059" s="4">
        <f>IF(E4059=0,"",F4059/E4059-1)</f>
        <v/>
      </c>
      <c r="I4059" t="inlineStr"/>
    </row>
    <row r="4060">
      <c r="A4060" t="inlineStr">
        <is>
          <t>Textiles &amp; apparel</t>
        </is>
      </c>
      <c r="B4060" t="inlineStr">
        <is>
          <t>61</t>
        </is>
      </c>
      <c r="C4060" t="inlineStr">
        <is>
          <t>61062020</t>
        </is>
      </c>
      <c r="D4060" t="inlineStr">
        <is>
          <t>BLOUSE ETC OF REGNRTD FBRS(RAYON ETC)</t>
        </is>
      </c>
      <c r="E4060" s="3" t="n">
        <v>0</v>
      </c>
      <c r="F4060" s="3" t="n">
        <v>0</v>
      </c>
      <c r="G4060" s="3">
        <f>F4060-E4060</f>
        <v/>
      </c>
      <c r="H4060" s="4">
        <f>IF(E4060=0,"",F4060/E4060-1)</f>
        <v/>
      </c>
      <c r="I4060" t="inlineStr"/>
    </row>
    <row r="4061">
      <c r="A4061" t="inlineStr">
        <is>
          <t>Textiles &amp; apparel</t>
        </is>
      </c>
      <c r="B4061" t="inlineStr">
        <is>
          <t>61</t>
        </is>
      </c>
      <c r="C4061" t="inlineStr">
        <is>
          <t>61069090</t>
        </is>
      </c>
      <c r="D4061" t="inlineStr">
        <is>
          <t>BLOUSES ETC OF OTHER FIBRES</t>
        </is>
      </c>
      <c r="E4061" s="3" t="n">
        <v>0.1</v>
      </c>
      <c r="F4061" s="3" t="n">
        <v>0</v>
      </c>
      <c r="G4061" s="3">
        <f>F4061-E4061</f>
        <v/>
      </c>
      <c r="H4061" s="4">
        <f>IF(E4061=0,"",F4061/E4061-1)</f>
        <v/>
      </c>
      <c r="I4061" t="inlineStr"/>
    </row>
    <row r="4062">
      <c r="A4062" t="inlineStr">
        <is>
          <t>Textiles &amp; apparel</t>
        </is>
      </c>
      <c r="B4062" t="inlineStr">
        <is>
          <t>61</t>
        </is>
      </c>
      <c r="C4062" t="inlineStr">
        <is>
          <t>61099030</t>
        </is>
      </c>
      <c r="D4062" t="inlineStr">
        <is>
          <t>T-SHIRT ETC OF SILK</t>
        </is>
      </c>
      <c r="E4062" s="3" t="n">
        <v>0</v>
      </c>
      <c r="F4062" s="3" t="n">
        <v>0</v>
      </c>
      <c r="G4062" s="3">
        <f>F4062-E4062</f>
        <v/>
      </c>
      <c r="H4062" s="4">
        <f>IF(E4062=0,"",F4062/E4062-1)</f>
        <v/>
      </c>
      <c r="I4062" t="inlineStr"/>
    </row>
    <row r="4063">
      <c r="A4063" t="inlineStr">
        <is>
          <t>Textiles &amp; apparel</t>
        </is>
      </c>
      <c r="B4063" t="inlineStr">
        <is>
          <t>61</t>
        </is>
      </c>
      <c r="C4063" t="inlineStr">
        <is>
          <t>61101110</t>
        </is>
      </c>
      <c r="D4063" t="inlineStr">
        <is>
          <t>JERSEYS OF WOOL</t>
        </is>
      </c>
      <c r="E4063" s="3" t="n">
        <v>0.03</v>
      </c>
      <c r="F4063" s="3" t="n">
        <v>0</v>
      </c>
      <c r="G4063" s="3">
        <f>F4063-E4063</f>
        <v/>
      </c>
      <c r="H4063" s="4">
        <f>IF(E4063=0,"",F4063/E4063-1)</f>
        <v/>
      </c>
      <c r="I4063" t="inlineStr"/>
    </row>
    <row r="4064">
      <c r="A4064" t="inlineStr">
        <is>
          <t>Textiles &amp; apparel</t>
        </is>
      </c>
      <c r="B4064" t="inlineStr">
        <is>
          <t>61</t>
        </is>
      </c>
      <c r="C4064" t="inlineStr">
        <is>
          <t>61101900</t>
        </is>
      </c>
      <c r="D4064" t="inlineStr">
        <is>
          <t>JERSEYS ETC OF OTHR FINE ANIML HAIR</t>
        </is>
      </c>
      <c r="E4064" s="3" t="n">
        <v>0.05</v>
      </c>
      <c r="F4064" s="3" t="n">
        <v>0</v>
      </c>
      <c r="G4064" s="3">
        <f>F4064-E4064</f>
        <v/>
      </c>
      <c r="H4064" s="4">
        <f>IF(E4064=0,"",F4064/E4064-1)</f>
        <v/>
      </c>
      <c r="I4064" t="inlineStr"/>
    </row>
    <row r="4065">
      <c r="A4065" t="inlineStr">
        <is>
          <t>Textiles &amp; apparel</t>
        </is>
      </c>
      <c r="B4065" t="inlineStr">
        <is>
          <t>61</t>
        </is>
      </c>
      <c r="C4065" t="inlineStr">
        <is>
          <t>61121200</t>
        </is>
      </c>
      <c r="D4065" t="inlineStr">
        <is>
          <t>TRACK SUITS OF SYNTHETIC FIBRES</t>
        </is>
      </c>
      <c r="E4065" s="3" t="n">
        <v>0</v>
      </c>
      <c r="F4065" s="3" t="n">
        <v>0</v>
      </c>
      <c r="G4065" s="3">
        <f>F4065-E4065</f>
        <v/>
      </c>
      <c r="H4065" s="4">
        <f>IF(E4065=0,"",F4065/E4065-1)</f>
        <v/>
      </c>
      <c r="I4065" t="inlineStr"/>
    </row>
    <row r="4066">
      <c r="A4066" t="inlineStr">
        <is>
          <t>Textiles &amp; apparel</t>
        </is>
      </c>
      <c r="B4066" t="inlineStr">
        <is>
          <t>61</t>
        </is>
      </c>
      <c r="C4066" t="inlineStr">
        <is>
          <t>61124990</t>
        </is>
      </c>
      <c r="D4066" t="inlineStr">
        <is>
          <t>WOMEN SWIMWEAR OF OTHER FIBRES</t>
        </is>
      </c>
      <c r="E4066" s="3" t="n">
        <v>0</v>
      </c>
      <c r="F4066" s="3" t="n">
        <v>0</v>
      </c>
      <c r="G4066" s="3">
        <f>F4066-E4066</f>
        <v/>
      </c>
      <c r="H4066" s="4">
        <f>IF(E4066=0,"",F4066/E4066-1)</f>
        <v/>
      </c>
      <c r="I4066" t="inlineStr"/>
    </row>
    <row r="4067">
      <c r="A4067" t="inlineStr">
        <is>
          <t>Textiles &amp; apparel</t>
        </is>
      </c>
      <c r="B4067" t="inlineStr">
        <is>
          <t>61</t>
        </is>
      </c>
      <c r="C4067" t="inlineStr">
        <is>
          <t>61130000</t>
        </is>
      </c>
      <c r="D4067" t="inlineStr">
        <is>
          <t>GRMNTS,MADE UP OF KNTTD/CRCHTD FABRICS OF HDNG NO. 5903 5906 OR 5907</t>
        </is>
      </c>
      <c r="E4067" s="3" t="n">
        <v>0</v>
      </c>
      <c r="F4067" s="3" t="n">
        <v>0</v>
      </c>
      <c r="G4067" s="3">
        <f>F4067-E4067</f>
        <v/>
      </c>
      <c r="H4067" s="4">
        <f>IF(E4067=0,"",F4067/E4067-1)</f>
        <v/>
      </c>
      <c r="I4067" t="inlineStr"/>
    </row>
    <row r="4068">
      <c r="A4068" t="inlineStr">
        <is>
          <t>Textiles &amp; apparel</t>
        </is>
      </c>
      <c r="B4068" t="inlineStr">
        <is>
          <t>61</t>
        </is>
      </c>
      <c r="C4068" t="inlineStr">
        <is>
          <t>61143020</t>
        </is>
      </c>
      <c r="D4068" t="inlineStr">
        <is>
          <t>OTHR GARMENTS OF ARTIFICIAL FIBRES</t>
        </is>
      </c>
      <c r="E4068" s="3" t="n">
        <v>0</v>
      </c>
      <c r="F4068" s="3" t="n">
        <v>0</v>
      </c>
      <c r="G4068" s="3">
        <f>F4068-E4068</f>
        <v/>
      </c>
      <c r="H4068" s="4">
        <f>IF(E4068=0,"",F4068/E4068-1)</f>
        <v/>
      </c>
      <c r="I4068" t="inlineStr"/>
    </row>
    <row r="4069">
      <c r="A4069" t="inlineStr">
        <is>
          <t>Textiles &amp; apparel</t>
        </is>
      </c>
      <c r="B4069" t="inlineStr">
        <is>
          <t>61</t>
        </is>
      </c>
      <c r="C4069" t="inlineStr">
        <is>
          <t>61152100</t>
        </is>
      </c>
      <c r="D4069" t="inlineStr">
        <is>
          <t>PANTY HOSE AND TIGHTS OF SYNTHTC FIBRES MSRNG PER SINGLE YRN LESS THN 67 DECITEX</t>
        </is>
      </c>
      <c r="E4069" s="3" t="n">
        <v>0</v>
      </c>
      <c r="F4069" s="3" t="n">
        <v>0</v>
      </c>
      <c r="G4069" s="3">
        <f>F4069-E4069</f>
        <v/>
      </c>
      <c r="H4069" s="4">
        <f>IF(E4069=0,"",F4069/E4069-1)</f>
        <v/>
      </c>
      <c r="I4069" t="inlineStr"/>
    </row>
    <row r="4070">
      <c r="A4070" t="inlineStr">
        <is>
          <t>Textiles &amp; apparel</t>
        </is>
      </c>
      <c r="B4070" t="inlineStr">
        <is>
          <t>61</t>
        </is>
      </c>
      <c r="C4070" t="inlineStr">
        <is>
          <t>61152920</t>
        </is>
      </c>
      <c r="D4070" t="inlineStr">
        <is>
          <t>PANTY HOSE AND TIGHTS OF WOOL/FINE ANML HAIR</t>
        </is>
      </c>
      <c r="E4070" s="3" t="n">
        <v>0</v>
      </c>
      <c r="F4070" s="3" t="n">
        <v>0</v>
      </c>
      <c r="G4070" s="3">
        <f>F4070-E4070</f>
        <v/>
      </c>
      <c r="H4070" s="4">
        <f>IF(E4070=0,"",F4070/E4070-1)</f>
        <v/>
      </c>
      <c r="I4070" t="inlineStr"/>
    </row>
    <row r="4071">
      <c r="A4071" t="inlineStr">
        <is>
          <t>Textiles &amp; apparel</t>
        </is>
      </c>
      <c r="B4071" t="inlineStr">
        <is>
          <t>61</t>
        </is>
      </c>
      <c r="C4071" t="inlineStr">
        <is>
          <t>61169100</t>
        </is>
      </c>
      <c r="D4071" t="inlineStr">
        <is>
          <t>OTHER GLOVES,MITTENS AND MITTS OF WOOL OR FINE ANIMAL HAIR</t>
        </is>
      </c>
      <c r="E4071" s="3" t="n">
        <v>0</v>
      </c>
      <c r="F4071" s="3" t="n">
        <v>0</v>
      </c>
      <c r="G4071" s="3">
        <f>F4071-E4071</f>
        <v/>
      </c>
      <c r="H4071" s="4">
        <f>IF(E4071=0,"",F4071/E4071-1)</f>
        <v/>
      </c>
      <c r="I4071" t="inlineStr"/>
    </row>
    <row r="4072">
      <c r="A4072" t="inlineStr">
        <is>
          <t>Textiles &amp; apparel</t>
        </is>
      </c>
      <c r="B4072" t="inlineStr">
        <is>
          <t>61</t>
        </is>
      </c>
      <c r="C4072" t="inlineStr">
        <is>
          <t>61169300</t>
        </is>
      </c>
      <c r="D4072" t="inlineStr">
        <is>
          <t>OTHER GLOVES ETC OF SYNTHETIC FIBRES</t>
        </is>
      </c>
      <c r="E4072" s="3" t="n">
        <v>0</v>
      </c>
      <c r="F4072" s="3" t="n">
        <v>0</v>
      </c>
      <c r="G4072" s="3">
        <f>F4072-E4072</f>
        <v/>
      </c>
      <c r="H4072" s="4">
        <f>IF(E4072=0,"",F4072/E4072-1)</f>
        <v/>
      </c>
      <c r="I4072" t="inlineStr"/>
    </row>
    <row r="4073">
      <c r="A4073" t="inlineStr">
        <is>
          <t>Textiles &amp; apparel</t>
        </is>
      </c>
      <c r="B4073" t="inlineStr">
        <is>
          <t>61</t>
        </is>
      </c>
      <c r="C4073" t="inlineStr">
        <is>
          <t>61178020</t>
        </is>
      </c>
      <c r="D4073" t="inlineStr">
        <is>
          <t>OTHR CLOTNG ACCESSORIS OF WOOL</t>
        </is>
      </c>
      <c r="E4073" s="3" t="n">
        <v>0</v>
      </c>
      <c r="F4073" s="3" t="n">
        <v>0</v>
      </c>
      <c r="G4073" s="3">
        <f>F4073-E4073</f>
        <v/>
      </c>
      <c r="H4073" s="4">
        <f>IF(E4073=0,"",F4073/E4073-1)</f>
        <v/>
      </c>
      <c r="I4073" t="inlineStr"/>
    </row>
    <row r="4074">
      <c r="A4074" t="inlineStr">
        <is>
          <t>Textiles &amp; apparel</t>
        </is>
      </c>
      <c r="B4074" t="inlineStr">
        <is>
          <t>61</t>
        </is>
      </c>
      <c r="C4074" t="inlineStr">
        <is>
          <t>61178040</t>
        </is>
      </c>
      <c r="D4074" t="inlineStr">
        <is>
          <t>OTHR CLOTNG ACCESSORIS OF MAN-MADE FIBRES</t>
        </is>
      </c>
      <c r="E4074" s="3" t="n">
        <v>0.03</v>
      </c>
      <c r="F4074" s="3" t="n">
        <v>0</v>
      </c>
      <c r="G4074" s="3">
        <f>F4074-E4074</f>
        <v/>
      </c>
      <c r="H4074" s="4">
        <f>IF(E4074=0,"",F4074/E4074-1)</f>
        <v/>
      </c>
      <c r="I4074" t="inlineStr"/>
    </row>
    <row r="4075">
      <c r="A4075" t="inlineStr">
        <is>
          <t>Textiles &amp; apparel</t>
        </is>
      </c>
      <c r="B4075" t="inlineStr">
        <is>
          <t>61</t>
        </is>
      </c>
      <c r="C4075" t="inlineStr">
        <is>
          <t>61179000</t>
        </is>
      </c>
      <c r="D4075" t="inlineStr">
        <is>
          <t>PARTS OF GARMENTS,KNITD/CRCHTD</t>
        </is>
      </c>
      <c r="E4075" s="3" t="n">
        <v>0</v>
      </c>
      <c r="F4075" s="3" t="n">
        <v>0</v>
      </c>
      <c r="G4075" s="3">
        <f>F4075-E4075</f>
        <v/>
      </c>
      <c r="H4075" s="4">
        <f>IF(E4075=0,"",F4075/E4075-1)</f>
        <v/>
      </c>
      <c r="I4075" t="inlineStr"/>
    </row>
    <row r="4076">
      <c r="A4076" t="inlineStr">
        <is>
          <t>Textiles &amp; apparel</t>
        </is>
      </c>
      <c r="B4076" t="inlineStr">
        <is>
          <t>62</t>
        </is>
      </c>
      <c r="C4076" t="inlineStr">
        <is>
          <t>62012010</t>
        </is>
      </c>
      <c r="D4076" t="inlineStr">
        <is>
          <t>OVERCOATS,RAINCOATS,CARCOATS,CAPES,CLOAKS AND SMLR ARTCLS</t>
        </is>
      </c>
      <c r="E4076" s="3" t="n">
        <v>0.01</v>
      </c>
      <c r="F4076" s="3" t="n">
        <v>0</v>
      </c>
      <c r="G4076" s="3">
        <f>F4076-E4076</f>
        <v/>
      </c>
      <c r="H4076" s="4">
        <f>IF(E4076=0,"",F4076/E4076-1)</f>
        <v/>
      </c>
      <c r="I4076" t="inlineStr"/>
    </row>
    <row r="4077">
      <c r="A4077" t="inlineStr">
        <is>
          <t>Textiles &amp; apparel</t>
        </is>
      </c>
      <c r="B4077" t="inlineStr">
        <is>
          <t>62</t>
        </is>
      </c>
      <c r="C4077" t="inlineStr">
        <is>
          <t>62019010</t>
        </is>
      </c>
      <c r="D4077" t="inlineStr">
        <is>
          <t>OVERCOAT,RAINCOAT, CARCOATS,CAPES,CLOAKS AND SMLR ARTCLS</t>
        </is>
      </c>
      <c r="E4077" s="3" t="n">
        <v>0</v>
      </c>
      <c r="F4077" s="3" t="n">
        <v>0</v>
      </c>
      <c r="G4077" s="3">
        <f>F4077-E4077</f>
        <v/>
      </c>
      <c r="H4077" s="4">
        <f>IF(E4077=0,"",F4077/E4077-1)</f>
        <v/>
      </c>
      <c r="I4077" t="inlineStr"/>
    </row>
    <row r="4078">
      <c r="A4078" t="inlineStr">
        <is>
          <t>Textiles &amp; apparel</t>
        </is>
      </c>
      <c r="B4078" t="inlineStr">
        <is>
          <t>62</t>
        </is>
      </c>
      <c r="C4078" t="inlineStr">
        <is>
          <t>62022010</t>
        </is>
      </c>
      <c r="D4078" t="inlineStr">
        <is>
          <t>OVERCOATS,RAINCOATS,CARCOATS,CAPES,CLOAKS AND SMLR ARTCLS OF WOOL/FINE ANIMAL HAIR</t>
        </is>
      </c>
      <c r="E4078" s="3" t="n">
        <v>0</v>
      </c>
      <c r="F4078" s="3" t="n">
        <v>0</v>
      </c>
      <c r="G4078" s="3">
        <f>F4078-E4078</f>
        <v/>
      </c>
      <c r="H4078" s="4">
        <f>IF(E4078=0,"",F4078/E4078-1)</f>
        <v/>
      </c>
      <c r="I4078" t="inlineStr"/>
    </row>
    <row r="4079">
      <c r="A4079" t="inlineStr">
        <is>
          <t>Textiles &amp; apparel</t>
        </is>
      </c>
      <c r="B4079" t="inlineStr">
        <is>
          <t>62</t>
        </is>
      </c>
      <c r="C4079" t="inlineStr">
        <is>
          <t>62022090</t>
        </is>
      </c>
      <c r="D4079" t="inlineStr">
        <is>
          <t>OTHERS-OF-OF WOOL/FINE ANIMAL HAIR</t>
        </is>
      </c>
      <c r="E4079" s="3" t="n">
        <v>0.01</v>
      </c>
      <c r="F4079" s="3" t="n">
        <v>0</v>
      </c>
      <c r="G4079" s="3">
        <f>F4079-E4079</f>
        <v/>
      </c>
      <c r="H4079" s="4">
        <f>IF(E4079=0,"",F4079/E4079-1)</f>
        <v/>
      </c>
      <c r="I4079" t="inlineStr"/>
    </row>
    <row r="4080">
      <c r="A4080" t="inlineStr">
        <is>
          <t>Textiles &amp; apparel</t>
        </is>
      </c>
      <c r="B4080" t="inlineStr">
        <is>
          <t>62</t>
        </is>
      </c>
      <c r="C4080" t="inlineStr">
        <is>
          <t>62023090</t>
        </is>
      </c>
      <c r="D4080" t="inlineStr">
        <is>
          <t>OTHERS-OF-OF COTTON</t>
        </is>
      </c>
      <c r="E4080" s="3" t="n">
        <v>0.01</v>
      </c>
      <c r="F4080" s="3" t="n">
        <v>0</v>
      </c>
      <c r="G4080" s="3">
        <f>F4080-E4080</f>
        <v/>
      </c>
      <c r="H4080" s="4">
        <f>IF(E4080=0,"",F4080/E4080-1)</f>
        <v/>
      </c>
      <c r="I4080" t="inlineStr"/>
    </row>
    <row r="4081">
      <c r="A4081" t="inlineStr">
        <is>
          <t>Textiles &amp; apparel</t>
        </is>
      </c>
      <c r="B4081" t="inlineStr">
        <is>
          <t>62</t>
        </is>
      </c>
      <c r="C4081" t="inlineStr">
        <is>
          <t>62033110</t>
        </is>
      </c>
      <c r="D4081" t="inlineStr">
        <is>
          <t>JACKETS AND BLAZERS OF WOOL OR FINE ANIMAL HAIR: KHADI</t>
        </is>
      </c>
      <c r="E4081" s="3" t="n">
        <v>0.05</v>
      </c>
      <c r="F4081" s="3" t="n">
        <v>0</v>
      </c>
      <c r="G4081" s="3">
        <f>F4081-E4081</f>
        <v/>
      </c>
      <c r="H4081" s="4">
        <f>IF(E4081=0,"",F4081/E4081-1)</f>
        <v/>
      </c>
      <c r="I4081" t="inlineStr"/>
    </row>
    <row r="4082">
      <c r="A4082" t="inlineStr">
        <is>
          <t>Textiles &amp; apparel</t>
        </is>
      </c>
      <c r="B4082" t="inlineStr">
        <is>
          <t>62</t>
        </is>
      </c>
      <c r="C4082" t="inlineStr">
        <is>
          <t>62033190</t>
        </is>
      </c>
      <c r="D4082" t="inlineStr">
        <is>
          <t>JACKETS AND BLAZERS OF WOOL OR FINE ANIMAL HAIR: OTHER</t>
        </is>
      </c>
      <c r="E4082" s="3" t="n">
        <v>0</v>
      </c>
      <c r="F4082" s="3" t="n">
        <v>0</v>
      </c>
      <c r="G4082" s="3">
        <f>F4082-E4082</f>
        <v/>
      </c>
      <c r="H4082" s="4">
        <f>IF(E4082=0,"",F4082/E4082-1)</f>
        <v/>
      </c>
      <c r="I4082" t="inlineStr"/>
    </row>
    <row r="4083">
      <c r="A4083" t="inlineStr">
        <is>
          <t>Textiles &amp; apparel</t>
        </is>
      </c>
      <c r="B4083" t="inlineStr">
        <is>
          <t>62</t>
        </is>
      </c>
      <c r="C4083" t="inlineStr">
        <is>
          <t>62033919</t>
        </is>
      </c>
      <c r="D4083" t="inlineStr">
        <is>
          <t>OF SILK: OTHER</t>
        </is>
      </c>
      <c r="E4083" s="3" t="n">
        <v>0</v>
      </c>
      <c r="F4083" s="3" t="n">
        <v>0</v>
      </c>
      <c r="G4083" s="3">
        <f>F4083-E4083</f>
        <v/>
      </c>
      <c r="H4083" s="4">
        <f>IF(E4083=0,"",F4083/E4083-1)</f>
        <v/>
      </c>
      <c r="I4083" t="inlineStr"/>
    </row>
    <row r="4084">
      <c r="A4084" t="inlineStr">
        <is>
          <t>Textiles &amp; apparel</t>
        </is>
      </c>
      <c r="B4084" t="inlineStr">
        <is>
          <t>62</t>
        </is>
      </c>
      <c r="C4084" t="inlineStr">
        <is>
          <t>62034210</t>
        </is>
      </c>
      <c r="D4084" t="inlineStr">
        <is>
          <t>OF COTTON: HANDLOOM</t>
        </is>
      </c>
      <c r="E4084" s="3" t="n">
        <v>0</v>
      </c>
      <c r="F4084" s="3" t="n">
        <v>0</v>
      </c>
      <c r="G4084" s="3">
        <f>F4084-E4084</f>
        <v/>
      </c>
      <c r="H4084" s="4">
        <f>IF(E4084=0,"",F4084/E4084-1)</f>
        <v/>
      </c>
      <c r="I4084" t="inlineStr"/>
    </row>
    <row r="4085">
      <c r="A4085" t="inlineStr">
        <is>
          <t>Textiles &amp; apparel</t>
        </is>
      </c>
      <c r="B4085" t="inlineStr">
        <is>
          <t>62</t>
        </is>
      </c>
      <c r="C4085" t="inlineStr">
        <is>
          <t>62042220</t>
        </is>
      </c>
      <c r="D4085" t="inlineStr">
        <is>
          <t>BLOUSES EMBROIDERED WITH LUCKNOW CHIKAN CRAFT</t>
        </is>
      </c>
      <c r="E4085" s="3" t="n">
        <v>0</v>
      </c>
      <c r="F4085" s="3" t="n">
        <v>0</v>
      </c>
      <c r="G4085" s="3">
        <f>F4085-E4085</f>
        <v/>
      </c>
      <c r="H4085" s="4">
        <f>IF(E4085=0,"",F4085/E4085-1)</f>
        <v/>
      </c>
      <c r="I4085" t="inlineStr"/>
    </row>
    <row r="4086">
      <c r="A4086" t="inlineStr">
        <is>
          <t>Textiles &amp; apparel</t>
        </is>
      </c>
      <c r="B4086" t="inlineStr">
        <is>
          <t>62</t>
        </is>
      </c>
      <c r="C4086" t="inlineStr">
        <is>
          <t>62042310</t>
        </is>
      </c>
      <c r="D4086" t="inlineStr">
        <is>
          <t>ENSEMBLES OF SYNTHETIC FIBRES-EMBROIDERED WITH LUCKNOW CHIKAN CRAFT</t>
        </is>
      </c>
      <c r="E4086" s="3" t="n">
        <v>0.02</v>
      </c>
      <c r="F4086" s="3" t="n">
        <v>0</v>
      </c>
      <c r="G4086" s="3">
        <f>F4086-E4086</f>
        <v/>
      </c>
      <c r="H4086" s="4">
        <f>IF(E4086=0,"",F4086/E4086-1)</f>
        <v/>
      </c>
      <c r="I4086" t="inlineStr"/>
    </row>
    <row r="4087">
      <c r="A4087" t="inlineStr">
        <is>
          <t>Textiles &amp; apparel</t>
        </is>
      </c>
      <c r="B4087" t="inlineStr">
        <is>
          <t>62</t>
        </is>
      </c>
      <c r="C4087" t="inlineStr">
        <is>
          <t>62043310</t>
        </is>
      </c>
      <c r="D4087" t="inlineStr">
        <is>
          <t>JACKETS OF SYNTHETIC FIBRES-EMBROIDERED WITH LUCKNOW CHIKAN CRAFT</t>
        </is>
      </c>
      <c r="E4087" s="3" t="n">
        <v>0.01</v>
      </c>
      <c r="F4087" s="3" t="n">
        <v>0</v>
      </c>
      <c r="G4087" s="3">
        <f>F4087-E4087</f>
        <v/>
      </c>
      <c r="H4087" s="4">
        <f>IF(E4087=0,"",F4087/E4087-1)</f>
        <v/>
      </c>
      <c r="I4087" t="inlineStr"/>
    </row>
    <row r="4088">
      <c r="A4088" t="inlineStr">
        <is>
          <t>Textiles &amp; apparel</t>
        </is>
      </c>
      <c r="B4088" t="inlineStr">
        <is>
          <t>62</t>
        </is>
      </c>
      <c r="C4088" t="inlineStr">
        <is>
          <t>62043919</t>
        </is>
      </c>
      <c r="D4088" t="inlineStr">
        <is>
          <t>JACKETS AND BLAZERS OF SILK , OTHERS</t>
        </is>
      </c>
      <c r="E4088" s="3" t="n">
        <v>0.12</v>
      </c>
      <c r="F4088" s="3" t="n">
        <v>0</v>
      </c>
      <c r="G4088" s="3">
        <f>F4088-E4088</f>
        <v/>
      </c>
      <c r="H4088" s="4">
        <f>IF(E4088=0,"",F4088/E4088-1)</f>
        <v/>
      </c>
      <c r="I4088" t="inlineStr"/>
    </row>
    <row r="4089">
      <c r="A4089" t="inlineStr">
        <is>
          <t>Textiles &amp; apparel</t>
        </is>
      </c>
      <c r="B4089" t="inlineStr">
        <is>
          <t>62</t>
        </is>
      </c>
      <c r="C4089" t="inlineStr">
        <is>
          <t>62044410</t>
        </is>
      </c>
      <c r="D4089" t="inlineStr">
        <is>
          <t>DRESSES OF ARTIFICIAL FIBRES - EMBROIDERED WITH LUCKNOW CHIKAN CRAFT</t>
        </is>
      </c>
      <c r="E4089" s="3" t="n">
        <v>0.01</v>
      </c>
      <c r="F4089" s="3" t="n">
        <v>0</v>
      </c>
      <c r="G4089" s="3">
        <f>F4089-E4089</f>
        <v/>
      </c>
      <c r="H4089" s="4">
        <f>IF(E4089=0,"",F4089/E4089-1)</f>
        <v/>
      </c>
      <c r="I4089" t="inlineStr"/>
    </row>
    <row r="4090">
      <c r="A4090" t="inlineStr">
        <is>
          <t>Textiles &amp; apparel</t>
        </is>
      </c>
      <c r="B4090" t="inlineStr">
        <is>
          <t>62</t>
        </is>
      </c>
      <c r="C4090" t="inlineStr">
        <is>
          <t>62044991</t>
        </is>
      </c>
      <c r="D4090" t="inlineStr">
        <is>
          <t>OTHR DRESSES OF OTHR TXTL MATERIALS OTHR THAN SILK - EMBROIDERED WITH LUCKNOW CHIKAN CRAFT</t>
        </is>
      </c>
      <c r="E4090" s="3" t="n">
        <v>0.21</v>
      </c>
      <c r="F4090" s="3" t="n">
        <v>0</v>
      </c>
      <c r="G4090" s="3">
        <f>F4090-E4090</f>
        <v/>
      </c>
      <c r="H4090" s="4">
        <f>IF(E4090=0,"",F4090/E4090-1)</f>
        <v/>
      </c>
      <c r="I4090" t="inlineStr"/>
    </row>
    <row r="4091">
      <c r="A4091" t="inlineStr">
        <is>
          <t>Textiles &amp; apparel</t>
        </is>
      </c>
      <c r="B4091" t="inlineStr">
        <is>
          <t>62</t>
        </is>
      </c>
      <c r="C4091" t="inlineStr">
        <is>
          <t>62045210</t>
        </is>
      </c>
      <c r="D4091" t="inlineStr">
        <is>
          <t>SKIRTS AND DIVIDED SKIRTS OF COTTON - EMBROIDERED WITH LUCKNOW CHIKAN CRAFT</t>
        </is>
      </c>
      <c r="E4091" s="3" t="n">
        <v>0.04</v>
      </c>
      <c r="F4091" s="3" t="n">
        <v>0</v>
      </c>
      <c r="G4091" s="3">
        <f>F4091-E4091</f>
        <v/>
      </c>
      <c r="H4091" s="4">
        <f>IF(E4091=0,"",F4091/E4091-1)</f>
        <v/>
      </c>
      <c r="I4091" t="inlineStr"/>
    </row>
    <row r="4092">
      <c r="A4092" t="inlineStr">
        <is>
          <t>Textiles &amp; apparel</t>
        </is>
      </c>
      <c r="B4092" t="inlineStr">
        <is>
          <t>62</t>
        </is>
      </c>
      <c r="C4092" t="inlineStr">
        <is>
          <t>62045310</t>
        </is>
      </c>
      <c r="D4092" t="inlineStr">
        <is>
          <t>SKIRTS AND DIVIDED SKIRTS OF SYNTHETIC FIBRS - EMBROIDERED WITH LUCKNOW CHIKAN CRAFT</t>
        </is>
      </c>
      <c r="E4092" s="3" t="n">
        <v>0.01</v>
      </c>
      <c r="F4092" s="3" t="n">
        <v>0</v>
      </c>
      <c r="G4092" s="3">
        <f>F4092-E4092</f>
        <v/>
      </c>
      <c r="H4092" s="4">
        <f>IF(E4092=0,"",F4092/E4092-1)</f>
        <v/>
      </c>
      <c r="I4092" t="inlineStr"/>
    </row>
    <row r="4093">
      <c r="A4093" t="inlineStr">
        <is>
          <t>Textiles &amp; apparel</t>
        </is>
      </c>
      <c r="B4093" t="inlineStr">
        <is>
          <t>62</t>
        </is>
      </c>
      <c r="C4093" t="inlineStr">
        <is>
          <t>62046110</t>
        </is>
      </c>
      <c r="D4093" t="inlineStr">
        <is>
          <t>TRSRS,SLCKS AND SHRTS OF WOOL/FNE ANIML HAIR</t>
        </is>
      </c>
      <c r="E4093" s="3" t="n">
        <v>0.06</v>
      </c>
      <c r="F4093" s="3" t="n">
        <v>0</v>
      </c>
      <c r="G4093" s="3">
        <f>F4093-E4093</f>
        <v/>
      </c>
      <c r="H4093" s="4">
        <f>IF(E4093=0,"",F4093/E4093-1)</f>
        <v/>
      </c>
      <c r="I4093" t="inlineStr"/>
    </row>
    <row r="4094">
      <c r="A4094" t="inlineStr">
        <is>
          <t>Textiles &amp; apparel</t>
        </is>
      </c>
      <c r="B4094" t="inlineStr">
        <is>
          <t>62</t>
        </is>
      </c>
      <c r="C4094" t="inlineStr">
        <is>
          <t>62046190</t>
        </is>
      </c>
      <c r="D4094" t="inlineStr">
        <is>
          <t>OTHR SMLR GARMENTS OF WOOL/FINE ANIML HAIR</t>
        </is>
      </c>
      <c r="E4094" s="3" t="n">
        <v>0.12</v>
      </c>
      <c r="F4094" s="3" t="n">
        <v>0</v>
      </c>
      <c r="G4094" s="3">
        <f>F4094-E4094</f>
        <v/>
      </c>
      <c r="H4094" s="4">
        <f>IF(E4094=0,"",F4094/E4094-1)</f>
        <v/>
      </c>
      <c r="I4094" t="inlineStr"/>
    </row>
    <row r="4095">
      <c r="A4095" t="inlineStr">
        <is>
          <t>Textiles &amp; apparel</t>
        </is>
      </c>
      <c r="B4095" t="inlineStr">
        <is>
          <t>62</t>
        </is>
      </c>
      <c r="C4095" t="inlineStr">
        <is>
          <t>62046911</t>
        </is>
      </c>
      <c r="D4095" t="inlineStr">
        <is>
          <t>TROUSERS BIB ETC OF SLK SEQND/BDED/EMBRDRD</t>
        </is>
      </c>
      <c r="E4095" s="3" t="n">
        <v>0</v>
      </c>
      <c r="F4095" s="3" t="n">
        <v>0</v>
      </c>
      <c r="G4095" s="3">
        <f>F4095-E4095</f>
        <v/>
      </c>
      <c r="H4095" s="4">
        <f>IF(E4095=0,"",F4095/E4095-1)</f>
        <v/>
      </c>
      <c r="I4095" t="inlineStr"/>
    </row>
    <row r="4096">
      <c r="A4096" t="inlineStr">
        <is>
          <t>Textiles &amp; apparel</t>
        </is>
      </c>
      <c r="B4096" t="inlineStr">
        <is>
          <t>62</t>
        </is>
      </c>
      <c r="C4096" t="inlineStr">
        <is>
          <t>62052020</t>
        </is>
      </c>
      <c r="D4096" t="inlineStr">
        <is>
          <t>OF COTTON: EMBROIDERED WITH LUCKNOW CHIKAN CRAFT</t>
        </is>
      </c>
      <c r="E4096" s="3" t="n">
        <v>0.02</v>
      </c>
      <c r="F4096" s="3" t="n">
        <v>0</v>
      </c>
      <c r="G4096" s="3">
        <f>F4096-E4096</f>
        <v/>
      </c>
      <c r="H4096" s="4">
        <f>IF(E4096=0,"",F4096/E4096-1)</f>
        <v/>
      </c>
      <c r="I4096" t="inlineStr"/>
    </row>
    <row r="4097">
      <c r="A4097" t="inlineStr">
        <is>
          <t>Textiles &amp; apparel</t>
        </is>
      </c>
      <c r="B4097" t="inlineStr">
        <is>
          <t>62</t>
        </is>
      </c>
      <c r="C4097" t="inlineStr">
        <is>
          <t>62059019</t>
        </is>
      </c>
      <c r="D4097" t="inlineStr">
        <is>
          <t>OF SILK: OTHERS</t>
        </is>
      </c>
      <c r="E4097" s="3" t="n">
        <v>0.08</v>
      </c>
      <c r="F4097" s="3" t="n">
        <v>0</v>
      </c>
      <c r="G4097" s="3">
        <f>F4097-E4097</f>
        <v/>
      </c>
      <c r="H4097" s="4">
        <f>IF(E4097=0,"",F4097/E4097-1)</f>
        <v/>
      </c>
      <c r="I4097" t="inlineStr"/>
    </row>
    <row r="4098">
      <c r="A4098" t="inlineStr">
        <is>
          <t>Textiles &amp; apparel</t>
        </is>
      </c>
      <c r="B4098" t="inlineStr">
        <is>
          <t>62</t>
        </is>
      </c>
      <c r="C4098" t="inlineStr">
        <is>
          <t>62072110</t>
        </is>
      </c>
      <c r="D4098" t="inlineStr">
        <is>
          <t>NIGHT SHRTS AND PYJAMAS OF COTTON</t>
        </is>
      </c>
      <c r="E4098" s="3" t="n">
        <v>0.03</v>
      </c>
      <c r="F4098" s="3" t="n">
        <v>0</v>
      </c>
      <c r="G4098" s="3">
        <f>F4098-E4098</f>
        <v/>
      </c>
      <c r="H4098" s="4">
        <f>IF(E4098=0,"",F4098/E4098-1)</f>
        <v/>
      </c>
      <c r="I4098" t="inlineStr"/>
    </row>
    <row r="4099">
      <c r="A4099" t="inlineStr">
        <is>
          <t>Textiles &amp; apparel</t>
        </is>
      </c>
      <c r="B4099" t="inlineStr">
        <is>
          <t>62</t>
        </is>
      </c>
      <c r="C4099" t="inlineStr">
        <is>
          <t>62079110</t>
        </is>
      </c>
      <c r="D4099" t="inlineStr">
        <is>
          <t>DRESSING GOWNS AND BATHROBES OF COTTON</t>
        </is>
      </c>
      <c r="E4099" s="3" t="n">
        <v>0.12</v>
      </c>
      <c r="F4099" s="3" t="n">
        <v>0</v>
      </c>
      <c r="G4099" s="3">
        <f>F4099-E4099</f>
        <v/>
      </c>
      <c r="H4099" s="4">
        <f>IF(E4099=0,"",F4099/E4099-1)</f>
        <v/>
      </c>
      <c r="I4099" t="inlineStr"/>
    </row>
    <row r="4100">
      <c r="A4100" t="inlineStr">
        <is>
          <t>Textiles &amp; apparel</t>
        </is>
      </c>
      <c r="B4100" t="inlineStr">
        <is>
          <t>62</t>
        </is>
      </c>
      <c r="C4100" t="inlineStr">
        <is>
          <t>62079120</t>
        </is>
      </c>
      <c r="D4100" t="inlineStr">
        <is>
          <t>UNDRSHRTS OTHR THAN HND PRNTD OF COTN</t>
        </is>
      </c>
      <c r="E4100" s="3" t="n">
        <v>0.01</v>
      </c>
      <c r="F4100" s="3" t="n">
        <v>0</v>
      </c>
      <c r="G4100" s="3">
        <f>F4100-E4100</f>
        <v/>
      </c>
      <c r="H4100" s="4">
        <f>IF(E4100=0,"",F4100/E4100-1)</f>
        <v/>
      </c>
      <c r="I4100" t="inlineStr"/>
    </row>
    <row r="4101">
      <c r="A4101" t="inlineStr">
        <is>
          <t>Textiles &amp; apparel</t>
        </is>
      </c>
      <c r="B4101" t="inlineStr">
        <is>
          <t>62</t>
        </is>
      </c>
      <c r="C4101" t="inlineStr">
        <is>
          <t>62079990</t>
        </is>
      </c>
      <c r="D4101" t="inlineStr">
        <is>
          <t>OTHER SMLR GARMENTS OF MAN-MADE FBRES</t>
        </is>
      </c>
      <c r="E4101" s="3" t="n">
        <v>0.02</v>
      </c>
      <c r="F4101" s="3" t="n">
        <v>0</v>
      </c>
      <c r="G4101" s="3">
        <f>F4101-E4101</f>
        <v/>
      </c>
      <c r="H4101" s="4">
        <f>IF(E4101=0,"",F4101/E4101-1)</f>
        <v/>
      </c>
      <c r="I4101" t="inlineStr"/>
    </row>
    <row r="4102">
      <c r="A4102" t="inlineStr">
        <is>
          <t>Textiles &amp; apparel</t>
        </is>
      </c>
      <c r="B4102" t="inlineStr">
        <is>
          <t>62</t>
        </is>
      </c>
      <c r="C4102" t="inlineStr">
        <is>
          <t>62081100</t>
        </is>
      </c>
      <c r="D4102" t="inlineStr">
        <is>
          <t>SLIPS AND PETTICOATS OF MAN-MADE FIBRES</t>
        </is>
      </c>
      <c r="E4102" s="3" t="n">
        <v>0</v>
      </c>
      <c r="F4102" s="3" t="n">
        <v>0</v>
      </c>
      <c r="G4102" s="3">
        <f>F4102-E4102</f>
        <v/>
      </c>
      <c r="H4102" s="4">
        <f>IF(E4102=0,"",F4102/E4102-1)</f>
        <v/>
      </c>
      <c r="I4102" t="inlineStr"/>
    </row>
    <row r="4103">
      <c r="A4103" t="inlineStr">
        <is>
          <t>Textiles &amp; apparel</t>
        </is>
      </c>
      <c r="B4103" t="inlineStr">
        <is>
          <t>62</t>
        </is>
      </c>
      <c r="C4103" t="inlineStr">
        <is>
          <t>62082110</t>
        </is>
      </c>
      <c r="D4103" t="inlineStr">
        <is>
          <t>HANDLOOM</t>
        </is>
      </c>
      <c r="E4103" s="3" t="n">
        <v>0</v>
      </c>
      <c r="F4103" s="3" t="n">
        <v>0</v>
      </c>
      <c r="G4103" s="3">
        <f>F4103-E4103</f>
        <v/>
      </c>
      <c r="H4103" s="4">
        <f>IF(E4103=0,"",F4103/E4103-1)</f>
        <v/>
      </c>
      <c r="I4103" t="inlineStr"/>
    </row>
    <row r="4104">
      <c r="A4104" t="inlineStr">
        <is>
          <t>Textiles &amp; apparel</t>
        </is>
      </c>
      <c r="B4104" t="inlineStr">
        <is>
          <t>62</t>
        </is>
      </c>
      <c r="C4104" t="inlineStr">
        <is>
          <t>62082910</t>
        </is>
      </c>
      <c r="D4104" t="inlineStr">
        <is>
          <t>NIGHTDRESSES AND PYJAMAS OF SILK</t>
        </is>
      </c>
      <c r="E4104" s="3" t="n">
        <v>0</v>
      </c>
      <c r="F4104" s="3" t="n">
        <v>0</v>
      </c>
      <c r="G4104" s="3">
        <f>F4104-E4104</f>
        <v/>
      </c>
      <c r="H4104" s="4">
        <f>IF(E4104=0,"",F4104/E4104-1)</f>
        <v/>
      </c>
      <c r="I4104" t="inlineStr"/>
    </row>
    <row r="4105">
      <c r="A4105" t="inlineStr">
        <is>
          <t>Textiles &amp; apparel</t>
        </is>
      </c>
      <c r="B4105" t="inlineStr">
        <is>
          <t>62</t>
        </is>
      </c>
      <c r="C4105" t="inlineStr">
        <is>
          <t>62089210</t>
        </is>
      </c>
      <c r="D4105" t="inlineStr">
        <is>
          <t>DRESSING GOWNS AND BATHROBES</t>
        </is>
      </c>
      <c r="E4105" s="3" t="n">
        <v>0.65</v>
      </c>
      <c r="F4105" s="3" t="n">
        <v>0</v>
      </c>
      <c r="G4105" s="3">
        <f>F4105-E4105</f>
        <v/>
      </c>
      <c r="H4105" s="4">
        <f>IF(E4105=0,"",F4105/E4105-1)</f>
        <v/>
      </c>
      <c r="I4105" t="inlineStr"/>
    </row>
    <row r="4106">
      <c r="A4106" t="inlineStr">
        <is>
          <t>Textiles &amp; apparel</t>
        </is>
      </c>
      <c r="B4106" t="inlineStr">
        <is>
          <t>62</t>
        </is>
      </c>
      <c r="C4106" t="inlineStr">
        <is>
          <t>62102090</t>
        </is>
      </c>
      <c r="D4106" t="inlineStr">
        <is>
          <t>OTHR OUTER GRMNTS FOR MENS AND BOYS</t>
        </is>
      </c>
      <c r="E4106" s="3" t="n">
        <v>0.06</v>
      </c>
      <c r="F4106" s="3" t="n">
        <v>0</v>
      </c>
      <c r="G4106" s="3">
        <f>F4106-E4106</f>
        <v/>
      </c>
      <c r="H4106" s="4">
        <f>IF(E4106=0,"",F4106/E4106-1)</f>
        <v/>
      </c>
      <c r="I4106" t="inlineStr"/>
    </row>
    <row r="4107">
      <c r="A4107" t="inlineStr">
        <is>
          <t>Textiles &amp; apparel</t>
        </is>
      </c>
      <c r="B4107" t="inlineStr">
        <is>
          <t>62</t>
        </is>
      </c>
      <c r="C4107" t="inlineStr">
        <is>
          <t>62104010</t>
        </is>
      </c>
      <c r="D4107" t="inlineStr">
        <is>
          <t>PERSONAL PROTECTIVE GARMENTS(E.G.BULLET PROOF JACKETS,BOMB DISPOSAL JACKETS ETC)</t>
        </is>
      </c>
      <c r="E4107" s="3" t="n">
        <v>0.05</v>
      </c>
      <c r="F4107" s="3" t="n">
        <v>0</v>
      </c>
      <c r="G4107" s="3">
        <f>F4107-E4107</f>
        <v/>
      </c>
      <c r="H4107" s="4">
        <f>IF(E4107=0,"",F4107/E4107-1)</f>
        <v/>
      </c>
      <c r="I4107" t="inlineStr"/>
    </row>
    <row r="4108">
      <c r="A4108" t="inlineStr">
        <is>
          <t>Textiles &amp; apparel</t>
        </is>
      </c>
      <c r="B4108" t="inlineStr">
        <is>
          <t>62</t>
        </is>
      </c>
      <c r="C4108" t="inlineStr">
        <is>
          <t>62104060</t>
        </is>
      </c>
      <c r="D4108" t="inlineStr">
        <is>
          <t>PERSONAL PROTECTIVE GARMENTS FOR SURGICAL /MEDICAL USE</t>
        </is>
      </c>
      <c r="E4108" s="3" t="n">
        <v>0</v>
      </c>
      <c r="F4108" s="3" t="n">
        <v>0</v>
      </c>
      <c r="G4108" s="3">
        <f>F4108-E4108</f>
        <v/>
      </c>
      <c r="H4108" s="4">
        <f>IF(E4108=0,"",F4108/E4108-1)</f>
        <v/>
      </c>
      <c r="I4108" t="inlineStr"/>
    </row>
    <row r="4109">
      <c r="A4109" t="inlineStr">
        <is>
          <t>Textiles &amp; apparel</t>
        </is>
      </c>
      <c r="B4109" t="inlineStr">
        <is>
          <t>62</t>
        </is>
      </c>
      <c r="C4109" t="inlineStr">
        <is>
          <t>62105000</t>
        </is>
      </c>
      <c r="D4109" t="inlineStr">
        <is>
          <t>PRSNAL PRTECTVE GRMNTS FR WOMENS AND GIRLS</t>
        </is>
      </c>
      <c r="E4109" s="3" t="n">
        <v>0</v>
      </c>
      <c r="F4109" s="3" t="n">
        <v>0</v>
      </c>
      <c r="G4109" s="3">
        <f>F4109-E4109</f>
        <v/>
      </c>
      <c r="H4109" s="4">
        <f>IF(E4109=0,"",F4109/E4109-1)</f>
        <v/>
      </c>
      <c r="I4109" t="inlineStr"/>
    </row>
    <row r="4110">
      <c r="A4110" t="inlineStr">
        <is>
          <t>Textiles &amp; apparel</t>
        </is>
      </c>
      <c r="B4110" t="inlineStr">
        <is>
          <t>62</t>
        </is>
      </c>
      <c r="C4110" t="inlineStr">
        <is>
          <t>62111100</t>
        </is>
      </c>
      <c r="D4110" t="inlineStr">
        <is>
          <t>SWIMWEAR FOR MENS OR BOYS</t>
        </is>
      </c>
      <c r="E4110" s="3" t="n">
        <v>0.04</v>
      </c>
      <c r="F4110" s="3" t="n">
        <v>0</v>
      </c>
      <c r="G4110" s="3">
        <f>F4110-E4110</f>
        <v/>
      </c>
      <c r="H4110" s="4">
        <f>IF(E4110=0,"",F4110/E4110-1)</f>
        <v/>
      </c>
      <c r="I4110" t="inlineStr"/>
    </row>
    <row r="4111">
      <c r="A4111" t="inlineStr">
        <is>
          <t>Textiles &amp; apparel</t>
        </is>
      </c>
      <c r="B4111" t="inlineStr">
        <is>
          <t>62</t>
        </is>
      </c>
      <c r="C4111" t="inlineStr">
        <is>
          <t>62114291</t>
        </is>
      </c>
      <c r="D4111" t="inlineStr">
        <is>
          <t>COTN GRMNTS OTHR THN KURTA AND SALWAR WTH/WITHOUT DUPPATTA - EMBROIDERED WITH LUCKNOW CHIKAN CRAFT</t>
        </is>
      </c>
      <c r="E4111" s="3" t="n">
        <v>0.06</v>
      </c>
      <c r="F4111" s="3" t="n">
        <v>0</v>
      </c>
      <c r="G4111" s="3">
        <f>F4111-E4111</f>
        <v/>
      </c>
      <c r="H4111" s="4">
        <f>IF(E4111=0,"",F4111/E4111-1)</f>
        <v/>
      </c>
      <c r="I4111" t="inlineStr"/>
    </row>
    <row r="4112">
      <c r="A4112" t="inlineStr">
        <is>
          <t>Textiles &amp; apparel</t>
        </is>
      </c>
      <c r="B4112" t="inlineStr">
        <is>
          <t>62</t>
        </is>
      </c>
      <c r="C4112" t="inlineStr">
        <is>
          <t>62114910</t>
        </is>
      </c>
      <c r="D4112" t="inlineStr">
        <is>
          <t>Of wool or fine animal hair of silk</t>
        </is>
      </c>
      <c r="E4112" s="3" t="n">
        <v>0</v>
      </c>
      <c r="F4112" s="3" t="n">
        <v>0</v>
      </c>
      <c r="G4112" s="3">
        <f>F4112-E4112</f>
        <v/>
      </c>
      <c r="H4112" s="4">
        <f>IF(E4112=0,"",F4112/E4112-1)</f>
        <v/>
      </c>
      <c r="I4112" t="inlineStr"/>
    </row>
    <row r="4113">
      <c r="A4113" t="inlineStr">
        <is>
          <t>Textiles &amp; apparel</t>
        </is>
      </c>
      <c r="B4113" t="inlineStr">
        <is>
          <t>62</t>
        </is>
      </c>
      <c r="C4113" t="inlineStr">
        <is>
          <t>62114921</t>
        </is>
      </c>
      <c r="D4113" t="inlineStr">
        <is>
          <t>KHADI</t>
        </is>
      </c>
      <c r="E4113" s="3" t="n">
        <v>0</v>
      </c>
      <c r="F4113" s="3" t="n">
        <v>0</v>
      </c>
      <c r="G4113" s="3">
        <f>F4113-E4113</f>
        <v/>
      </c>
      <c r="H4113" s="4">
        <f>IF(E4113=0,"",F4113/E4113-1)</f>
        <v/>
      </c>
      <c r="I4113" t="inlineStr"/>
    </row>
    <row r="4114">
      <c r="A4114" t="inlineStr">
        <is>
          <t>Textiles &amp; apparel</t>
        </is>
      </c>
      <c r="B4114" t="inlineStr">
        <is>
          <t>62</t>
        </is>
      </c>
      <c r="C4114" t="inlineStr">
        <is>
          <t>62114929</t>
        </is>
      </c>
      <c r="D4114" t="inlineStr">
        <is>
          <t>OTHERS-OF-OTHER GARMENTS OF OTHER TEXTILE MATERIALS</t>
        </is>
      </c>
      <c r="E4114" s="3" t="n">
        <v>0.03</v>
      </c>
      <c r="F4114" s="3" t="n">
        <v>0</v>
      </c>
      <c r="G4114" s="3">
        <f>F4114-E4114</f>
        <v/>
      </c>
      <c r="H4114" s="4">
        <f>IF(E4114=0,"",F4114/E4114-1)</f>
        <v/>
      </c>
      <c r="I4114" t="inlineStr"/>
    </row>
    <row r="4115">
      <c r="A4115" t="inlineStr">
        <is>
          <t>Textiles &amp; apparel</t>
        </is>
      </c>
      <c r="B4115" t="inlineStr">
        <is>
          <t>62</t>
        </is>
      </c>
      <c r="C4115" t="inlineStr">
        <is>
          <t>62139010</t>
        </is>
      </c>
      <c r="D4115" t="inlineStr">
        <is>
          <t>HANDKERCHIEFS OF MAN MADE FIBRE</t>
        </is>
      </c>
      <c r="E4115" s="3" t="n">
        <v>0.12</v>
      </c>
      <c r="F4115" s="3" t="n">
        <v>0</v>
      </c>
      <c r="G4115" s="3">
        <f>F4115-E4115</f>
        <v/>
      </c>
      <c r="H4115" s="4">
        <f>IF(E4115=0,"",F4115/E4115-1)</f>
        <v/>
      </c>
      <c r="I4115" t="inlineStr"/>
    </row>
    <row r="4116">
      <c r="A4116" t="inlineStr">
        <is>
          <t>Textiles &amp; apparel</t>
        </is>
      </c>
      <c r="B4116" t="inlineStr">
        <is>
          <t>62</t>
        </is>
      </c>
      <c r="C4116" t="inlineStr">
        <is>
          <t>62142039</t>
        </is>
      </c>
      <c r="D4116" t="inlineStr">
        <is>
          <t>MUFFLERS: OTHER</t>
        </is>
      </c>
      <c r="E4116" s="3" t="n">
        <v>0</v>
      </c>
      <c r="F4116" s="3" t="n">
        <v>0</v>
      </c>
      <c r="G4116" s="3">
        <f>F4116-E4116</f>
        <v/>
      </c>
      <c r="H4116" s="4">
        <f>IF(E4116=0,"",F4116/E4116-1)</f>
        <v/>
      </c>
      <c r="I4116" t="inlineStr"/>
    </row>
    <row r="4117">
      <c r="A4117" t="inlineStr">
        <is>
          <t>Textiles &amp; apparel</t>
        </is>
      </c>
      <c r="B4117" t="inlineStr">
        <is>
          <t>62</t>
        </is>
      </c>
      <c r="C4117" t="inlineStr">
        <is>
          <t>62149091</t>
        </is>
      </c>
      <c r="D4117" t="inlineStr">
        <is>
          <t>SHAWLS,SCARVES,ETC OF OTHR TXTL FIBRES-EMBROIDERED WITH LUCKNOW CHIKAN CRAFT</t>
        </is>
      </c>
      <c r="E4117" s="3" t="n">
        <v>0.04</v>
      </c>
      <c r="F4117" s="3" t="n">
        <v>0</v>
      </c>
      <c r="G4117" s="3">
        <f>F4117-E4117</f>
        <v/>
      </c>
      <c r="H4117" s="4">
        <f>IF(E4117=0,"",F4117/E4117-1)</f>
        <v/>
      </c>
      <c r="I4117" t="inlineStr"/>
    </row>
    <row r="4118">
      <c r="A4118" t="inlineStr">
        <is>
          <t>Textiles &amp; apparel</t>
        </is>
      </c>
      <c r="B4118" t="inlineStr">
        <is>
          <t>62</t>
        </is>
      </c>
      <c r="C4118" t="inlineStr">
        <is>
          <t>62159010</t>
        </is>
      </c>
      <c r="D4118" t="inlineStr">
        <is>
          <t>TIES,BOW TIES AND CRAVATS OF COTTON</t>
        </is>
      </c>
      <c r="E4118" s="3" t="n">
        <v>0</v>
      </c>
      <c r="F4118" s="3" t="n">
        <v>0</v>
      </c>
      <c r="G4118" s="3">
        <f>F4118-E4118</f>
        <v/>
      </c>
      <c r="H4118" s="4">
        <f>IF(E4118=0,"",F4118/E4118-1)</f>
        <v/>
      </c>
      <c r="I4118" t="inlineStr"/>
    </row>
    <row r="4119">
      <c r="A4119" t="inlineStr">
        <is>
          <t>Textiles &amp; apparel</t>
        </is>
      </c>
      <c r="B4119" t="inlineStr">
        <is>
          <t>62</t>
        </is>
      </c>
      <c r="C4119" t="inlineStr">
        <is>
          <t>62159090</t>
        </is>
      </c>
      <c r="D4119" t="inlineStr">
        <is>
          <t>TIES,BOW TIES AND CRAVATS OF OTHR TXTL FIBRS</t>
        </is>
      </c>
      <c r="E4119" s="3" t="n">
        <v>0</v>
      </c>
      <c r="F4119" s="3" t="n">
        <v>0</v>
      </c>
      <c r="G4119" s="3">
        <f>F4119-E4119</f>
        <v/>
      </c>
      <c r="H4119" s="4">
        <f>IF(E4119=0,"",F4119/E4119-1)</f>
        <v/>
      </c>
      <c r="I4119" t="inlineStr"/>
    </row>
    <row r="4120">
      <c r="A4120" t="inlineStr">
        <is>
          <t>Textiles &amp; apparel</t>
        </is>
      </c>
      <c r="B4120" t="inlineStr">
        <is>
          <t>62</t>
        </is>
      </c>
      <c r="C4120" t="inlineStr">
        <is>
          <t>62160020</t>
        </is>
      </c>
      <c r="D4120" t="inlineStr">
        <is>
          <t>GLOVES , MITTERS AND MITTS OF HANDLOOM</t>
        </is>
      </c>
      <c r="E4120" s="3" t="n">
        <v>0</v>
      </c>
      <c r="F4120" s="3" t="n">
        <v>0</v>
      </c>
      <c r="G4120" s="3">
        <f>F4120-E4120</f>
        <v/>
      </c>
      <c r="H4120" s="4">
        <f>IF(E4120=0,"",F4120/E4120-1)</f>
        <v/>
      </c>
      <c r="I4120" t="inlineStr"/>
    </row>
    <row r="4121">
      <c r="A4121" t="inlineStr">
        <is>
          <t>Textiles &amp; apparel</t>
        </is>
      </c>
      <c r="B4121" t="inlineStr">
        <is>
          <t>62</t>
        </is>
      </c>
      <c r="C4121" t="inlineStr">
        <is>
          <t>62171070</t>
        </is>
      </c>
      <c r="D4121" t="inlineStr">
        <is>
          <t>STOCKINGS,SOCKS,SOCKETTES AND LIKE OF COTN</t>
        </is>
      </c>
      <c r="E4121" s="3" t="n">
        <v>0.03</v>
      </c>
      <c r="F4121" s="3" t="n">
        <v>0</v>
      </c>
      <c r="G4121" s="3">
        <f>F4121-E4121</f>
        <v/>
      </c>
      <c r="H4121" s="4">
        <f>IF(E4121=0,"",F4121/E4121-1)</f>
        <v/>
      </c>
      <c r="I4121" t="inlineStr"/>
    </row>
    <row r="4122">
      <c r="A4122" t="inlineStr">
        <is>
          <t>Textiles &amp; apparel</t>
        </is>
      </c>
      <c r="B4122" t="inlineStr">
        <is>
          <t>63</t>
        </is>
      </c>
      <c r="C4122" t="inlineStr">
        <is>
          <t>63013000</t>
        </is>
      </c>
      <c r="D4122" t="inlineStr">
        <is>
          <t>BLANKETS(OTHER THAN ELECTRIC BLANKETS) AND TRAVELLING RUGS,OF COTTON</t>
        </is>
      </c>
      <c r="E4122" s="3" t="n">
        <v>0.02</v>
      </c>
      <c r="F4122" s="3" t="n">
        <v>0</v>
      </c>
      <c r="G4122" s="3">
        <f>F4122-E4122</f>
        <v/>
      </c>
      <c r="H4122" s="4">
        <f>IF(E4122=0,"",F4122/E4122-1)</f>
        <v/>
      </c>
      <c r="I4122" t="inlineStr"/>
    </row>
    <row r="4123">
      <c r="A4123" t="inlineStr">
        <is>
          <t>Textiles &amp; apparel</t>
        </is>
      </c>
      <c r="B4123" t="inlineStr">
        <is>
          <t>63</t>
        </is>
      </c>
      <c r="C4123" t="inlineStr">
        <is>
          <t>63022190</t>
        </is>
      </c>
      <c r="D4123" t="inlineStr">
        <is>
          <t>OTHER BED LINEN, PRINTED: OF COTTON, OTHER THAN HANDLOOM</t>
        </is>
      </c>
      <c r="E4123" s="3" t="n">
        <v>0.17</v>
      </c>
      <c r="F4123" s="3" t="n">
        <v>0</v>
      </c>
      <c r="G4123" s="3">
        <f>F4123-E4123</f>
        <v/>
      </c>
      <c r="H4123" s="4">
        <f>IF(E4123=0,"",F4123/E4123-1)</f>
        <v/>
      </c>
      <c r="I4123" t="inlineStr"/>
    </row>
    <row r="4124">
      <c r="A4124" t="inlineStr">
        <is>
          <t>Textiles &amp; apparel</t>
        </is>
      </c>
      <c r="B4124" t="inlineStr">
        <is>
          <t>63</t>
        </is>
      </c>
      <c r="C4124" t="inlineStr">
        <is>
          <t>63022200</t>
        </is>
      </c>
      <c r="D4124" t="inlineStr">
        <is>
          <t>PRINTED BED LINEN OF MAN-MADE FIBRES</t>
        </is>
      </c>
      <c r="E4124" s="3" t="n">
        <v>0.07000000000000001</v>
      </c>
      <c r="F4124" s="3" t="n">
        <v>0</v>
      </c>
      <c r="G4124" s="3">
        <f>F4124-E4124</f>
        <v/>
      </c>
      <c r="H4124" s="4">
        <f>IF(E4124=0,"",F4124/E4124-1)</f>
        <v/>
      </c>
      <c r="I4124" t="inlineStr"/>
    </row>
    <row r="4125">
      <c r="A4125" t="inlineStr">
        <is>
          <t>Textiles &amp; apparel</t>
        </is>
      </c>
      <c r="B4125" t="inlineStr">
        <is>
          <t>63</t>
        </is>
      </c>
      <c r="C4125" t="inlineStr">
        <is>
          <t>63022900</t>
        </is>
      </c>
      <c r="D4125" t="inlineStr">
        <is>
          <t>PRINTED BED LINEN OF OTHR TXTL MATRLS</t>
        </is>
      </c>
      <c r="E4125" s="3" t="n">
        <v>0</v>
      </c>
      <c r="F4125" s="3" t="n">
        <v>0</v>
      </c>
      <c r="G4125" s="3">
        <f>F4125-E4125</f>
        <v/>
      </c>
      <c r="H4125" s="4">
        <f>IF(E4125=0,"",F4125/E4125-1)</f>
        <v/>
      </c>
      <c r="I4125" t="inlineStr"/>
    </row>
    <row r="4126">
      <c r="A4126" t="inlineStr">
        <is>
          <t>Textiles &amp; apparel</t>
        </is>
      </c>
      <c r="B4126" t="inlineStr">
        <is>
          <t>63</t>
        </is>
      </c>
      <c r="C4126" t="inlineStr">
        <is>
          <t>63023100</t>
        </is>
      </c>
      <c r="D4126" t="inlineStr">
        <is>
          <t>OTHER BED LINEN OF COTTON</t>
        </is>
      </c>
      <c r="E4126" s="3" t="n">
        <v>0</v>
      </c>
      <c r="F4126" s="3" t="n">
        <v>0</v>
      </c>
      <c r="G4126" s="3">
        <f>F4126-E4126</f>
        <v/>
      </c>
      <c r="H4126" s="4">
        <f>IF(E4126=0,"",F4126/E4126-1)</f>
        <v/>
      </c>
      <c r="I4126" t="inlineStr"/>
    </row>
    <row r="4127">
      <c r="A4127" t="inlineStr">
        <is>
          <t>Textiles &amp; apparel</t>
        </is>
      </c>
      <c r="B4127" t="inlineStr">
        <is>
          <t>63</t>
        </is>
      </c>
      <c r="C4127" t="inlineStr">
        <is>
          <t>63024030</t>
        </is>
      </c>
      <c r="D4127" t="inlineStr">
        <is>
          <t>TABLE LINEN OF COTN,HND KNTD/CROCHETED</t>
        </is>
      </c>
      <c r="E4127" s="3" t="n">
        <v>0</v>
      </c>
      <c r="F4127" s="3" t="n">
        <v>0</v>
      </c>
      <c r="G4127" s="3">
        <f>F4127-E4127</f>
        <v/>
      </c>
      <c r="H4127" s="4">
        <f>IF(E4127=0,"",F4127/E4127-1)</f>
        <v/>
      </c>
      <c r="I4127" t="inlineStr"/>
    </row>
    <row r="4128">
      <c r="A4128" t="inlineStr">
        <is>
          <t>Textiles &amp; apparel</t>
        </is>
      </c>
      <c r="B4128" t="inlineStr">
        <is>
          <t>63</t>
        </is>
      </c>
      <c r="C4128" t="inlineStr">
        <is>
          <t>63024090</t>
        </is>
      </c>
      <c r="D4128" t="inlineStr">
        <is>
          <t>TBLE LINN OF ALL OTHR FBRS,KNITD/CROCHTD</t>
        </is>
      </c>
      <c r="E4128" s="3" t="n">
        <v>0.09</v>
      </c>
      <c r="F4128" s="3" t="n">
        <v>0</v>
      </c>
      <c r="G4128" s="3">
        <f>F4128-E4128</f>
        <v/>
      </c>
      <c r="H4128" s="4">
        <f>IF(E4128=0,"",F4128/E4128-1)</f>
        <v/>
      </c>
      <c r="I4128" t="inlineStr"/>
    </row>
    <row r="4129">
      <c r="A4129" t="inlineStr">
        <is>
          <t>Textiles &amp; apparel</t>
        </is>
      </c>
      <c r="B4129" t="inlineStr">
        <is>
          <t>63</t>
        </is>
      </c>
      <c r="C4129" t="inlineStr">
        <is>
          <t>63026010</t>
        </is>
      </c>
      <c r="D4129" t="inlineStr">
        <is>
          <t>TOILET LINEN AND KITCHEN LINEN, OF TERRY TOWELLING OR SIMILAR TERRY FABRICS, OF COTTON, HANDLOOM</t>
        </is>
      </c>
      <c r="E4129" s="3" t="n">
        <v>0</v>
      </c>
      <c r="F4129" s="3" t="n">
        <v>0</v>
      </c>
      <c r="G4129" s="3">
        <f>F4129-E4129</f>
        <v/>
      </c>
      <c r="H4129" s="4">
        <f>IF(E4129=0,"",F4129/E4129-1)</f>
        <v/>
      </c>
      <c r="I4129" t="inlineStr"/>
    </row>
    <row r="4130">
      <c r="A4130" t="inlineStr">
        <is>
          <t>Textiles &amp; apparel</t>
        </is>
      </c>
      <c r="B4130" t="inlineStr">
        <is>
          <t>63</t>
        </is>
      </c>
      <c r="C4130" t="inlineStr">
        <is>
          <t>63029110</t>
        </is>
      </c>
      <c r="D4130" t="inlineStr">
        <is>
          <t>OTHER BED LINEN, TABLE LENEN, TOILET LINEN, KITCHEN LINEN: OF COTTON, HANDLOOM</t>
        </is>
      </c>
      <c r="E4130" s="3" t="n">
        <v>0</v>
      </c>
      <c r="F4130" s="3" t="n">
        <v>0</v>
      </c>
      <c r="G4130" s="3">
        <f>F4130-E4130</f>
        <v/>
      </c>
      <c r="H4130" s="4">
        <f>IF(E4130=0,"",F4130/E4130-1)</f>
        <v/>
      </c>
      <c r="I4130" t="inlineStr"/>
    </row>
    <row r="4131">
      <c r="A4131" t="inlineStr">
        <is>
          <t>Textiles &amp; apparel</t>
        </is>
      </c>
      <c r="B4131" t="inlineStr">
        <is>
          <t>63</t>
        </is>
      </c>
      <c r="C4131" t="inlineStr">
        <is>
          <t>63039100</t>
        </is>
      </c>
      <c r="D4131" t="inlineStr">
        <is>
          <t>OTHER CURTAIN ETC OF COTTON</t>
        </is>
      </c>
      <c r="E4131" s="3" t="n">
        <v>0.35</v>
      </c>
      <c r="F4131" s="3" t="n">
        <v>0</v>
      </c>
      <c r="G4131" s="3">
        <f>F4131-E4131</f>
        <v/>
      </c>
      <c r="H4131" s="4">
        <f>IF(E4131=0,"",F4131/E4131-1)</f>
        <v/>
      </c>
      <c r="I4131" t="inlineStr"/>
    </row>
    <row r="4132">
      <c r="A4132" t="inlineStr">
        <is>
          <t>Textiles &amp; apparel</t>
        </is>
      </c>
      <c r="B4132" t="inlineStr">
        <is>
          <t>63</t>
        </is>
      </c>
      <c r="C4132" t="inlineStr">
        <is>
          <t>63041100</t>
        </is>
      </c>
      <c r="D4132" t="inlineStr">
        <is>
          <t>BEDSPREADS,KNITTED OR CROCHETED</t>
        </is>
      </c>
      <c r="E4132" s="3" t="n">
        <v>0</v>
      </c>
      <c r="F4132" s="3" t="n">
        <v>0</v>
      </c>
      <c r="G4132" s="3">
        <f>F4132-E4132</f>
        <v/>
      </c>
      <c r="H4132" s="4">
        <f>IF(E4132=0,"",F4132/E4132-1)</f>
        <v/>
      </c>
      <c r="I4132" t="inlineStr"/>
    </row>
    <row r="4133">
      <c r="A4133" t="inlineStr">
        <is>
          <t>Textiles &amp; apparel</t>
        </is>
      </c>
      <c r="B4133" t="inlineStr">
        <is>
          <t>63</t>
        </is>
      </c>
      <c r="C4133" t="inlineStr">
        <is>
          <t>63049120</t>
        </is>
      </c>
      <c r="D4133" t="inlineStr">
        <is>
          <t>WOOLLEN CUSHION COVER</t>
        </is>
      </c>
      <c r="E4133" s="3" t="n">
        <v>0.15</v>
      </c>
      <c r="F4133" s="3" t="n">
        <v>0</v>
      </c>
      <c r="G4133" s="3">
        <f>F4133-E4133</f>
        <v/>
      </c>
      <c r="H4133" s="4">
        <f>IF(E4133=0,"",F4133/E4133-1)</f>
        <v/>
      </c>
      <c r="I4133" t="inlineStr"/>
    </row>
    <row r="4134">
      <c r="A4134" t="inlineStr">
        <is>
          <t>Textiles &amp; apparel</t>
        </is>
      </c>
      <c r="B4134" t="inlineStr">
        <is>
          <t>63</t>
        </is>
      </c>
      <c r="C4134" t="inlineStr">
        <is>
          <t>63049221</t>
        </is>
      </c>
      <c r="D4134" t="inlineStr">
        <is>
          <t>NAPKINS OF HANDLOOM</t>
        </is>
      </c>
      <c r="E4134" s="3" t="n">
        <v>0.01</v>
      </c>
      <c r="F4134" s="3" t="n">
        <v>0</v>
      </c>
      <c r="G4134" s="3">
        <f>F4134-E4134</f>
        <v/>
      </c>
      <c r="H4134" s="4">
        <f>IF(E4134=0,"",F4134/E4134-1)</f>
        <v/>
      </c>
      <c r="I4134" t="inlineStr"/>
    </row>
    <row r="4135">
      <c r="A4135" t="inlineStr">
        <is>
          <t>Textiles &amp; apparel</t>
        </is>
      </c>
      <c r="B4135" t="inlineStr">
        <is>
          <t>63</t>
        </is>
      </c>
      <c r="C4135" t="inlineStr">
        <is>
          <t>63049231</t>
        </is>
      </c>
      <c r="D4135" t="inlineStr">
        <is>
          <t>PILLOW CASES AND PILLOW SLIPS OF HANDLOOM</t>
        </is>
      </c>
      <c r="E4135" s="3" t="n">
        <v>0</v>
      </c>
      <c r="F4135" s="3" t="n">
        <v>0</v>
      </c>
      <c r="G4135" s="3">
        <f>F4135-E4135</f>
        <v/>
      </c>
      <c r="H4135" s="4">
        <f>IF(E4135=0,"",F4135/E4135-1)</f>
        <v/>
      </c>
      <c r="I4135" t="inlineStr"/>
    </row>
    <row r="4136">
      <c r="A4136" t="inlineStr">
        <is>
          <t>Textiles &amp; apparel</t>
        </is>
      </c>
      <c r="B4136" t="inlineStr">
        <is>
          <t>63</t>
        </is>
      </c>
      <c r="C4136" t="inlineStr">
        <is>
          <t>63049241</t>
        </is>
      </c>
      <c r="D4136" t="inlineStr">
        <is>
          <t>TABLE CLOTH AND TABLE COVERS OF HANDLOOM</t>
        </is>
      </c>
      <c r="E4136" s="3" t="n">
        <v>0.03</v>
      </c>
      <c r="F4136" s="3" t="n">
        <v>0</v>
      </c>
      <c r="G4136" s="3">
        <f>F4136-E4136</f>
        <v/>
      </c>
      <c r="H4136" s="4">
        <f>IF(E4136=0,"",F4136/E4136-1)</f>
        <v/>
      </c>
      <c r="I4136" t="inlineStr"/>
    </row>
    <row r="4137">
      <c r="A4137" t="inlineStr">
        <is>
          <t>Textiles &amp; apparel</t>
        </is>
      </c>
      <c r="B4137" t="inlineStr">
        <is>
          <t>63</t>
        </is>
      </c>
      <c r="C4137" t="inlineStr">
        <is>
          <t>63049281</t>
        </is>
      </c>
      <c r="D4137" t="inlineStr">
        <is>
          <t>CUSHION COVERS OF HANDLOOM</t>
        </is>
      </c>
      <c r="E4137" s="3" t="n">
        <v>0.03</v>
      </c>
      <c r="F4137" s="3" t="n">
        <v>0</v>
      </c>
      <c r="G4137" s="3">
        <f>F4137-E4137</f>
        <v/>
      </c>
      <c r="H4137" s="4">
        <f>IF(E4137=0,"",F4137/E4137-1)</f>
        <v/>
      </c>
      <c r="I4137" t="inlineStr"/>
    </row>
    <row r="4138">
      <c r="A4138" t="inlineStr">
        <is>
          <t>Textiles &amp; apparel</t>
        </is>
      </c>
      <c r="B4138" t="inlineStr">
        <is>
          <t>63</t>
        </is>
      </c>
      <c r="C4138" t="inlineStr">
        <is>
          <t>63051060</t>
        </is>
      </c>
      <c r="D4138" t="inlineStr">
        <is>
          <t>PLASTIC COATED OR PAPER CUM POLYTHENE LINED JUTE BAGS AND SACKS</t>
        </is>
      </c>
      <c r="E4138" s="3" t="n">
        <v>0.01</v>
      </c>
      <c r="F4138" s="3" t="n">
        <v>0</v>
      </c>
      <c r="G4138" s="3">
        <f>F4138-E4138</f>
        <v/>
      </c>
      <c r="H4138" s="4">
        <f>IF(E4138=0,"",F4138/E4138-1)</f>
        <v/>
      </c>
      <c r="I4138" t="inlineStr"/>
    </row>
    <row r="4139">
      <c r="A4139" t="inlineStr">
        <is>
          <t>Textiles &amp; apparel</t>
        </is>
      </c>
      <c r="B4139" t="inlineStr">
        <is>
          <t>63</t>
        </is>
      </c>
      <c r="C4139" t="inlineStr">
        <is>
          <t>63051090</t>
        </is>
      </c>
      <c r="D4139" t="inlineStr">
        <is>
          <t>SACKS AND BAGS OF OTHR THN JUTE OR OF OTHR TXTL BAST FIBRES OF HDG NO.5303</t>
        </is>
      </c>
      <c r="E4139" s="3" t="n">
        <v>0.33</v>
      </c>
      <c r="F4139" s="3" t="n">
        <v>0</v>
      </c>
      <c r="G4139" s="3">
        <f>F4139-E4139</f>
        <v/>
      </c>
      <c r="H4139" s="4">
        <f>IF(E4139=0,"",F4139/E4139-1)</f>
        <v/>
      </c>
      <c r="I4139" t="inlineStr"/>
    </row>
    <row r="4140">
      <c r="A4140" t="inlineStr">
        <is>
          <t>Textiles &amp; apparel</t>
        </is>
      </c>
      <c r="B4140" t="inlineStr">
        <is>
          <t>63</t>
        </is>
      </c>
      <c r="C4140" t="inlineStr">
        <is>
          <t>63061200</t>
        </is>
      </c>
      <c r="D4140" t="inlineStr">
        <is>
          <t>TARPAULINS ETC OF SYNTHETIC FIBRES</t>
        </is>
      </c>
      <c r="E4140" s="3" t="n">
        <v>0.05</v>
      </c>
      <c r="F4140" s="3" t="n">
        <v>0</v>
      </c>
      <c r="G4140" s="3">
        <f>F4140-E4140</f>
        <v/>
      </c>
      <c r="H4140" s="4">
        <f>IF(E4140=0,"",F4140/E4140-1)</f>
        <v/>
      </c>
      <c r="I4140" t="inlineStr"/>
    </row>
    <row r="4141">
      <c r="A4141" t="inlineStr">
        <is>
          <t>Textiles &amp; apparel</t>
        </is>
      </c>
      <c r="B4141" t="inlineStr">
        <is>
          <t>63</t>
        </is>
      </c>
      <c r="C4141" t="inlineStr">
        <is>
          <t>63061910</t>
        </is>
      </c>
      <c r="D4141" t="inlineStr">
        <is>
          <t>JUTE TARPAULINS (INCL.DW TARPAULINE)</t>
        </is>
      </c>
      <c r="E4141" s="3" t="n">
        <v>0</v>
      </c>
      <c r="F4141" s="3" t="n">
        <v>0</v>
      </c>
      <c r="G4141" s="3">
        <f>F4141-E4141</f>
        <v/>
      </c>
      <c r="H4141" s="4">
        <f>IF(E4141=0,"",F4141/E4141-1)</f>
        <v/>
      </c>
      <c r="I4141" t="inlineStr"/>
    </row>
    <row r="4142">
      <c r="A4142" t="inlineStr">
        <is>
          <t>Textiles &amp; apparel</t>
        </is>
      </c>
      <c r="B4142" t="inlineStr">
        <is>
          <t>63</t>
        </is>
      </c>
      <c r="C4142" t="inlineStr">
        <is>
          <t>63062200</t>
        </is>
      </c>
      <c r="D4142" t="inlineStr">
        <is>
          <t>TENTS (INCLUDING TEMPORARY CANOPIES AND SIMILAR ARTICLES) OF SYNTHETIC FIBRES</t>
        </is>
      </c>
      <c r="E4142" s="3" t="n">
        <v>0.03</v>
      </c>
      <c r="F4142" s="3" t="n">
        <v>0</v>
      </c>
      <c r="G4142" s="3">
        <f>F4142-E4142</f>
        <v/>
      </c>
      <c r="H4142" s="4">
        <f>IF(E4142=0,"",F4142/E4142-1)</f>
        <v/>
      </c>
      <c r="I4142" t="inlineStr"/>
    </row>
    <row r="4143">
      <c r="A4143" t="inlineStr">
        <is>
          <t>Textiles &amp; apparel</t>
        </is>
      </c>
      <c r="B4143" t="inlineStr">
        <is>
          <t>63</t>
        </is>
      </c>
      <c r="C4143" t="inlineStr">
        <is>
          <t>63069090</t>
        </is>
      </c>
      <c r="D4143" t="inlineStr">
        <is>
          <t>OF OTHER TEXTILE MATERIALS</t>
        </is>
      </c>
      <c r="E4143" s="3" t="n">
        <v>0</v>
      </c>
      <c r="F4143" s="3" t="n">
        <v>0</v>
      </c>
      <c r="G4143" s="3">
        <f>F4143-E4143</f>
        <v/>
      </c>
      <c r="H4143" s="4">
        <f>IF(E4143=0,"",F4143/E4143-1)</f>
        <v/>
      </c>
      <c r="I4143" t="inlineStr"/>
    </row>
    <row r="4144">
      <c r="A4144" t="inlineStr">
        <is>
          <t>Textiles &amp; apparel</t>
        </is>
      </c>
      <c r="B4144" t="inlineStr">
        <is>
          <t>63</t>
        </is>
      </c>
      <c r="C4144" t="inlineStr">
        <is>
          <t>63071030</t>
        </is>
      </c>
      <c r="D4144" t="inlineStr">
        <is>
          <t>FLOOR CLOTH AND THE LIKE OF COTTON, HANDLOOM</t>
        </is>
      </c>
      <c r="E4144" s="3" t="n">
        <v>0</v>
      </c>
      <c r="F4144" s="3" t="n">
        <v>0</v>
      </c>
      <c r="G4144" s="3">
        <f>F4144-E4144</f>
        <v/>
      </c>
      <c r="H4144" s="4">
        <f>IF(E4144=0,"",F4144/E4144-1)</f>
        <v/>
      </c>
      <c r="I4144" t="inlineStr"/>
    </row>
    <row r="4145">
      <c r="A4145" t="inlineStr">
        <is>
          <t>Textiles &amp; apparel</t>
        </is>
      </c>
      <c r="B4145" t="inlineStr">
        <is>
          <t>63</t>
        </is>
      </c>
      <c r="C4145" t="inlineStr">
        <is>
          <t>63090000</t>
        </is>
      </c>
      <c r="D4145" t="inlineStr">
        <is>
          <t>WORN CLOTHING AND OTHER WORN ARTICLES</t>
        </is>
      </c>
      <c r="E4145" s="3" t="n">
        <v>0</v>
      </c>
      <c r="F4145" s="3" t="n">
        <v>0</v>
      </c>
      <c r="G4145" s="3">
        <f>F4145-E4145</f>
        <v/>
      </c>
      <c r="H4145" s="4">
        <f>IF(E4145=0,"",F4145/E4145-1)</f>
        <v/>
      </c>
      <c r="I4145" t="inlineStr"/>
    </row>
    <row r="4146">
      <c r="A4146" s="6" t="inlineStr">
        <is>
          <t>Stone, ceramics &amp; glass  —  176 lines</t>
        </is>
      </c>
      <c r="B4146" s="6" t="inlineStr"/>
      <c r="C4146" s="6" t="inlineStr"/>
      <c r="D4146" s="6" t="inlineStr"/>
      <c r="E4146" s="7" t="n">
        <v>826.67</v>
      </c>
      <c r="F4146" s="7" t="n">
        <v>800.71</v>
      </c>
      <c r="G4146" s="7" t="n">
        <v>-25.96</v>
      </c>
      <c r="H4146" s="8" t="n">
        <v>-0.03140309918105189</v>
      </c>
      <c r="I4146" s="6" t="inlineStr"/>
    </row>
    <row r="4147">
      <c r="A4147" t="inlineStr">
        <is>
          <t>Stone, ceramics &amp; glass</t>
        </is>
      </c>
      <c r="B4147" t="inlineStr">
        <is>
          <t>69</t>
        </is>
      </c>
      <c r="C4147" t="inlineStr">
        <is>
          <t>69072100</t>
        </is>
      </c>
      <c r="D4147" t="inlineStr">
        <is>
          <t>OF A WATER ABSORPTION COEFFICIENT BY WEIGHT NOT EXCEEDING 0.5%</t>
        </is>
      </c>
      <c r="E4147" s="3" t="n">
        <v>383.53</v>
      </c>
      <c r="F4147" s="3" t="n">
        <v>354.08</v>
      </c>
      <c r="G4147" s="3">
        <f>F4147-E4147</f>
        <v/>
      </c>
      <c r="H4147" s="4">
        <f>IF(E4147=0,"",F4147/E4147-1)</f>
        <v/>
      </c>
      <c r="I4147" t="inlineStr"/>
    </row>
    <row r="4148">
      <c r="A4148" t="inlineStr">
        <is>
          <t>Stone, ceramics &amp; glass</t>
        </is>
      </c>
      <c r="B4148" t="inlineStr">
        <is>
          <t>69</t>
        </is>
      </c>
      <c r="C4148" t="inlineStr">
        <is>
          <t>69072300</t>
        </is>
      </c>
      <c r="D4148" t="inlineStr">
        <is>
          <t>OF A WATER ABSORPTION COEFFICIENT BY WEIGHT EXCEEDING 10%</t>
        </is>
      </c>
      <c r="E4148" s="3" t="n">
        <v>159.97</v>
      </c>
      <c r="F4148" s="3" t="n">
        <v>92.34</v>
      </c>
      <c r="G4148" s="3">
        <f>F4148-E4148</f>
        <v/>
      </c>
      <c r="H4148" s="4">
        <f>IF(E4148=0,"",F4148/E4148-1)</f>
        <v/>
      </c>
      <c r="I4148" t="inlineStr"/>
    </row>
    <row r="4149">
      <c r="A4149" t="inlineStr">
        <is>
          <t>Stone, ceramics &amp; glass</t>
        </is>
      </c>
      <c r="B4149" t="inlineStr">
        <is>
          <t>69</t>
        </is>
      </c>
      <c r="C4149" t="inlineStr">
        <is>
          <t>69022020</t>
        </is>
      </c>
      <c r="D4149" t="inlineStr">
        <is>
          <t>BRICKS AND SHAPES, HIGH ALUMINA</t>
        </is>
      </c>
      <c r="E4149" s="3" t="n">
        <v>21.46</v>
      </c>
      <c r="F4149" s="3" t="n">
        <v>70.81</v>
      </c>
      <c r="G4149" s="3">
        <f>F4149-E4149</f>
        <v/>
      </c>
      <c r="H4149" s="4">
        <f>IF(E4149=0,"",F4149/E4149-1)</f>
        <v/>
      </c>
      <c r="I4149" t="inlineStr"/>
    </row>
    <row r="4150">
      <c r="A4150" t="inlineStr">
        <is>
          <t>Stone, ceramics &amp; glass</t>
        </is>
      </c>
      <c r="B4150" t="inlineStr">
        <is>
          <t>69</t>
        </is>
      </c>
      <c r="C4150" t="inlineStr">
        <is>
          <t>69072200</t>
        </is>
      </c>
      <c r="D4150" t="inlineStr">
        <is>
          <t>OF A WATER ABSORPTION COEFFICIENT BY WEIGHT EXCEEDING 0.5% BUT NOT EXCEEDING 10%</t>
        </is>
      </c>
      <c r="E4150" s="3" t="n">
        <v>59.52</v>
      </c>
      <c r="F4150" s="3" t="n">
        <v>62.86</v>
      </c>
      <c r="G4150" s="3">
        <f>F4150-E4150</f>
        <v/>
      </c>
      <c r="H4150" s="4">
        <f>IF(E4150=0,"",F4150/E4150-1)</f>
        <v/>
      </c>
      <c r="I4150" t="inlineStr"/>
    </row>
    <row r="4151">
      <c r="A4151" t="inlineStr">
        <is>
          <t>Stone, ceramics &amp; glass</t>
        </is>
      </c>
      <c r="B4151" t="inlineStr">
        <is>
          <t>68</t>
        </is>
      </c>
      <c r="C4151" t="inlineStr">
        <is>
          <t>68022390</t>
        </is>
      </c>
      <c r="D4151" t="inlineStr">
        <is>
          <t>OTHERS-OF-SMPLY CUT/SWN GRANITE WTH A FLT/EVN SURFCE</t>
        </is>
      </c>
      <c r="E4151" s="3" t="n">
        <v>53.73</v>
      </c>
      <c r="F4151" s="3" t="n">
        <v>42.43</v>
      </c>
      <c r="G4151" s="3">
        <f>F4151-E4151</f>
        <v/>
      </c>
      <c r="H4151" s="4">
        <f>IF(E4151=0,"",F4151/E4151-1)</f>
        <v/>
      </c>
      <c r="I4151" t="inlineStr"/>
    </row>
    <row r="4152">
      <c r="A4152" t="inlineStr">
        <is>
          <t>Stone, ceramics &amp; glass</t>
        </is>
      </c>
      <c r="B4152" t="inlineStr">
        <is>
          <t>69</t>
        </is>
      </c>
      <c r="C4152" t="inlineStr">
        <is>
          <t>69101000</t>
        </is>
      </c>
      <c r="D4152" t="inlineStr">
        <is>
          <t>SANITARY FIXTURES OF PORCELAIN/CHINA</t>
        </is>
      </c>
      <c r="E4152" s="3" t="n">
        <v>19.85</v>
      </c>
      <c r="F4152" s="3" t="n">
        <v>17.95</v>
      </c>
      <c r="G4152" s="3">
        <f>F4152-E4152</f>
        <v/>
      </c>
      <c r="H4152" s="4">
        <f>IF(E4152=0,"",F4152/E4152-1)</f>
        <v/>
      </c>
      <c r="I4152" t="inlineStr"/>
    </row>
    <row r="4153">
      <c r="A4153" t="inlineStr">
        <is>
          <t>Stone, ceramics &amp; glass</t>
        </is>
      </c>
      <c r="B4153" t="inlineStr">
        <is>
          <t>69</t>
        </is>
      </c>
      <c r="C4153" t="inlineStr">
        <is>
          <t>69029010</t>
        </is>
      </c>
      <c r="D4153" t="inlineStr">
        <is>
          <t>FIRE CLAY BRICKS AND SHAPES</t>
        </is>
      </c>
      <c r="E4153" s="3" t="n">
        <v>12.9</v>
      </c>
      <c r="F4153" s="3" t="n">
        <v>17.58</v>
      </c>
      <c r="G4153" s="3">
        <f>F4153-E4153</f>
        <v/>
      </c>
      <c r="H4153" s="4">
        <f>IF(E4153=0,"",F4153/E4153-1)</f>
        <v/>
      </c>
      <c r="I4153" t="inlineStr"/>
    </row>
    <row r="4154">
      <c r="A4154" t="inlineStr">
        <is>
          <t>Stone, ceramics &amp; glass</t>
        </is>
      </c>
      <c r="B4154" t="inlineStr">
        <is>
          <t>69</t>
        </is>
      </c>
      <c r="C4154" t="inlineStr">
        <is>
          <t>69029090</t>
        </is>
      </c>
      <c r="D4154" t="inlineStr">
        <is>
          <t>OTHERS-OF-OTHR REFRACTROY BRICKS,BLOCKS,TILES ETC</t>
        </is>
      </c>
      <c r="E4154" s="3" t="n">
        <v>3.12</v>
      </c>
      <c r="F4154" s="3" t="n">
        <v>17.21</v>
      </c>
      <c r="G4154" s="3">
        <f>F4154-E4154</f>
        <v/>
      </c>
      <c r="H4154" s="4">
        <f>IF(E4154=0,"",F4154/E4154-1)</f>
        <v/>
      </c>
      <c r="I4154" t="inlineStr"/>
    </row>
    <row r="4155">
      <c r="A4155" t="inlineStr">
        <is>
          <t>Stone, ceramics &amp; glass</t>
        </is>
      </c>
      <c r="B4155" t="inlineStr">
        <is>
          <t>69</t>
        </is>
      </c>
      <c r="C4155" t="inlineStr">
        <is>
          <t>69039040</t>
        </is>
      </c>
      <c r="D4155" t="inlineStr">
        <is>
          <t>MONOLITHICS/CASTABLES(FIRE-CLAY BASIC SILICA HIGH ALUMINA INSULATING</t>
        </is>
      </c>
      <c r="E4155" s="3" t="n">
        <v>2.05</v>
      </c>
      <c r="F4155" s="3" t="n">
        <v>10.43</v>
      </c>
      <c r="G4155" s="3">
        <f>F4155-E4155</f>
        <v/>
      </c>
      <c r="H4155" s="4">
        <f>IF(E4155=0,"",F4155/E4155-1)</f>
        <v/>
      </c>
      <c r="I4155" t="inlineStr"/>
    </row>
    <row r="4156">
      <c r="A4156" t="inlineStr">
        <is>
          <t>Stone, ceramics &amp; glass</t>
        </is>
      </c>
      <c r="B4156" t="inlineStr">
        <is>
          <t>69</t>
        </is>
      </c>
      <c r="C4156" t="inlineStr">
        <is>
          <t>69032090</t>
        </is>
      </c>
      <c r="D4156" t="inlineStr">
        <is>
          <t>OTHERS-OF-GOODS CONTNG BY WT&gt;50% OF ALUMINA (ALUMINIUM OXIDE)/OF A MXTR/COMPOUND OF ALUMINA AND OF SILICA(SILICON DI-OXI</t>
        </is>
      </c>
      <c r="E4156" s="3" t="n">
        <v>14.13</v>
      </c>
      <c r="F4156" s="3" t="n">
        <v>9.18</v>
      </c>
      <c r="G4156" s="3">
        <f>F4156-E4156</f>
        <v/>
      </c>
      <c r="H4156" s="4">
        <f>IF(E4156=0,"",F4156/E4156-1)</f>
        <v/>
      </c>
      <c r="I4156" t="inlineStr"/>
    </row>
    <row r="4157">
      <c r="A4157" t="inlineStr">
        <is>
          <t>Stone, ceramics &amp; glass</t>
        </is>
      </c>
      <c r="B4157" t="inlineStr">
        <is>
          <t>70</t>
        </is>
      </c>
      <c r="C4157" t="inlineStr">
        <is>
          <t>70051090</t>
        </is>
      </c>
      <c r="D4157" t="inlineStr">
        <is>
          <t>OTHR NON-WIRED GLS HVG ABSRBNT RFLTNG LYER</t>
        </is>
      </c>
      <c r="E4157" s="3" t="n">
        <v>6.14</v>
      </c>
      <c r="F4157" s="3" t="n">
        <v>8.73</v>
      </c>
      <c r="G4157" s="3">
        <f>F4157-E4157</f>
        <v/>
      </c>
      <c r="H4157" s="4">
        <f>IF(E4157=0,"",F4157/E4157-1)</f>
        <v/>
      </c>
      <c r="I4157" t="inlineStr"/>
    </row>
    <row r="4158">
      <c r="A4158" t="inlineStr">
        <is>
          <t>Stone, ceramics &amp; glass</t>
        </is>
      </c>
      <c r="B4158" t="inlineStr">
        <is>
          <t>68</t>
        </is>
      </c>
      <c r="C4158" t="inlineStr">
        <is>
          <t>68118200</t>
        </is>
      </c>
      <c r="D4158" t="inlineStr">
        <is>
          <t>OTHER SHEETS, PANELS, TILES AND SIMILAR ARTICLES</t>
        </is>
      </c>
      <c r="E4158" s="3" t="n">
        <v>9.33</v>
      </c>
      <c r="F4158" s="3" t="n">
        <v>7.49</v>
      </c>
      <c r="G4158" s="3">
        <f>F4158-E4158</f>
        <v/>
      </c>
      <c r="H4158" s="4">
        <f>IF(E4158=0,"",F4158/E4158-1)</f>
        <v/>
      </c>
      <c r="I4158" t="inlineStr"/>
    </row>
    <row r="4159">
      <c r="A4159" t="inlineStr">
        <is>
          <t>Stone, ceramics &amp; glass</t>
        </is>
      </c>
      <c r="B4159" t="inlineStr">
        <is>
          <t>68</t>
        </is>
      </c>
      <c r="C4159" t="inlineStr">
        <is>
          <t>68042210</t>
        </is>
      </c>
      <c r="D4159" t="inlineStr">
        <is>
          <t>GRNDNG WHEELS OF SYNTHETC ABRASIVE GRAINS</t>
        </is>
      </c>
      <c r="E4159" s="3" t="n">
        <v>4.78</v>
      </c>
      <c r="F4159" s="3" t="n">
        <v>6.59</v>
      </c>
      <c r="G4159" s="3">
        <f>F4159-E4159</f>
        <v/>
      </c>
      <c r="H4159" s="4">
        <f>IF(E4159=0,"",F4159/E4159-1)</f>
        <v/>
      </c>
      <c r="I4159" t="inlineStr"/>
    </row>
    <row r="4160">
      <c r="A4160" t="inlineStr">
        <is>
          <t>Stone, ceramics &amp; glass</t>
        </is>
      </c>
      <c r="B4160" t="inlineStr">
        <is>
          <t>69</t>
        </is>
      </c>
      <c r="C4160" t="inlineStr">
        <is>
          <t>69149010</t>
        </is>
      </c>
      <c r="D4160" t="inlineStr">
        <is>
          <t>ARMOUR FOR BALLISTIC PROTECTION</t>
        </is>
      </c>
      <c r="E4160" s="3" t="n">
        <v>0</v>
      </c>
      <c r="F4160" s="3" t="n">
        <v>6.09</v>
      </c>
      <c r="G4160" s="3">
        <f>F4160-E4160</f>
        <v/>
      </c>
      <c r="H4160" s="4">
        <f>IF(E4160=0,"",F4160/E4160-1)</f>
        <v/>
      </c>
      <c r="I4160" t="inlineStr"/>
    </row>
    <row r="4161">
      <c r="A4161" t="inlineStr">
        <is>
          <t>Stone, ceramics &amp; glass</t>
        </is>
      </c>
      <c r="B4161" t="inlineStr">
        <is>
          <t>68</t>
        </is>
      </c>
      <c r="C4161" t="inlineStr">
        <is>
          <t>68069000</t>
        </is>
      </c>
      <c r="D4161" t="inlineStr">
        <is>
          <t>OTHER(MXTRS AND ARTCLS OF HEAT INSULATNG SOUND INSULATNG/ABSRBNG MNRL MATRLS)</t>
        </is>
      </c>
      <c r="E4161" s="3" t="n">
        <v>4.56</v>
      </c>
      <c r="F4161" s="3" t="n">
        <v>6.07</v>
      </c>
      <c r="G4161" s="3">
        <f>F4161-E4161</f>
        <v/>
      </c>
      <c r="H4161" s="4">
        <f>IF(E4161=0,"",F4161/E4161-1)</f>
        <v/>
      </c>
      <c r="I4161" t="inlineStr"/>
    </row>
    <row r="4162">
      <c r="A4162" t="inlineStr">
        <is>
          <t>Stone, ceramics &amp; glass</t>
        </is>
      </c>
      <c r="B4162" t="inlineStr">
        <is>
          <t>70</t>
        </is>
      </c>
      <c r="C4162" t="inlineStr">
        <is>
          <t>70109000</t>
        </is>
      </c>
      <c r="D4162" t="inlineStr">
        <is>
          <t>OTHR ARTCLES FOR CNVYNCE/PACKING OF GOODS</t>
        </is>
      </c>
      <c r="E4162" s="3" t="n">
        <v>4.3</v>
      </c>
      <c r="F4162" s="3" t="n">
        <v>4.64</v>
      </c>
      <c r="G4162" s="3">
        <f>F4162-E4162</f>
        <v/>
      </c>
      <c r="H4162" s="4">
        <f>IF(E4162=0,"",F4162/E4162-1)</f>
        <v/>
      </c>
      <c r="I4162" t="inlineStr"/>
    </row>
    <row r="4163">
      <c r="A4163" t="inlineStr">
        <is>
          <t>Stone, ceramics &amp; glass</t>
        </is>
      </c>
      <c r="B4163" t="inlineStr">
        <is>
          <t>69</t>
        </is>
      </c>
      <c r="C4163" t="inlineStr">
        <is>
          <t>69039090</t>
        </is>
      </c>
      <c r="D4163" t="inlineStr">
        <is>
          <t>OTHERS-OF-OTHER REFRACTORY CERAMIC GOODS</t>
        </is>
      </c>
      <c r="E4163" s="3" t="n">
        <v>5.37</v>
      </c>
      <c r="F4163" s="3" t="n">
        <v>4.57</v>
      </c>
      <c r="G4163" s="3">
        <f>F4163-E4163</f>
        <v/>
      </c>
      <c r="H4163" s="4">
        <f>IF(E4163=0,"",F4163/E4163-1)</f>
        <v/>
      </c>
      <c r="I4163" t="inlineStr"/>
    </row>
    <row r="4164">
      <c r="A4164" t="inlineStr">
        <is>
          <t>Stone, ceramics &amp; glass</t>
        </is>
      </c>
      <c r="B4164" t="inlineStr">
        <is>
          <t>70</t>
        </is>
      </c>
      <c r="C4164" t="inlineStr">
        <is>
          <t>70139900</t>
        </is>
      </c>
      <c r="D4164" t="inlineStr">
        <is>
          <t>OTHR THN GLA STATUES OF LEAD CRYSTALS</t>
        </is>
      </c>
      <c r="E4164" s="3" t="n">
        <v>0.02</v>
      </c>
      <c r="F4164" s="3" t="n">
        <v>4.49</v>
      </c>
      <c r="G4164" s="3">
        <f>F4164-E4164</f>
        <v/>
      </c>
      <c r="H4164" s="4">
        <f>IF(E4164=0,"",F4164/E4164-1)</f>
        <v/>
      </c>
      <c r="I4164" t="inlineStr"/>
    </row>
    <row r="4165">
      <c r="A4165" t="inlineStr">
        <is>
          <t>Stone, ceramics &amp; glass</t>
        </is>
      </c>
      <c r="B4165" t="inlineStr">
        <is>
          <t>68</t>
        </is>
      </c>
      <c r="C4165" t="inlineStr">
        <is>
          <t>68159990</t>
        </is>
      </c>
      <c r="D4165" t="inlineStr">
        <is>
          <t>OTHERS-OF-OTHER ARTCLS OF STONES/OTHR MINRLS</t>
        </is>
      </c>
      <c r="E4165" s="3" t="n">
        <v>6.06</v>
      </c>
      <c r="F4165" s="3" t="n">
        <v>3.9</v>
      </c>
      <c r="G4165" s="3">
        <f>F4165-E4165</f>
        <v/>
      </c>
      <c r="H4165" s="4">
        <f>IF(E4165=0,"",F4165/E4165-1)</f>
        <v/>
      </c>
      <c r="I4165" t="inlineStr"/>
    </row>
    <row r="4166">
      <c r="A4166" t="inlineStr">
        <is>
          <t>Stone, ceramics &amp; glass</t>
        </is>
      </c>
      <c r="B4166" t="inlineStr">
        <is>
          <t>68</t>
        </is>
      </c>
      <c r="C4166" t="inlineStr">
        <is>
          <t>68022310</t>
        </is>
      </c>
      <c r="D4166" t="inlineStr">
        <is>
          <t>GRANITE BLOCKS/TILES,POLISHED</t>
        </is>
      </c>
      <c r="E4166" s="3" t="n">
        <v>5.12</v>
      </c>
      <c r="F4166" s="3" t="n">
        <v>3.67</v>
      </c>
      <c r="G4166" s="3">
        <f>F4166-E4166</f>
        <v/>
      </c>
      <c r="H4166" s="4">
        <f>IF(E4166=0,"",F4166/E4166-1)</f>
        <v/>
      </c>
      <c r="I4166" t="inlineStr"/>
    </row>
    <row r="4167">
      <c r="A4167" t="inlineStr">
        <is>
          <t>Stone, ceramics &amp; glass</t>
        </is>
      </c>
      <c r="B4167" t="inlineStr">
        <is>
          <t>68</t>
        </is>
      </c>
      <c r="C4167" t="inlineStr">
        <is>
          <t>68109990</t>
        </is>
      </c>
      <c r="D4167" t="inlineStr">
        <is>
          <t>0THERS</t>
        </is>
      </c>
      <c r="E4167" s="3" t="n">
        <v>4.1</v>
      </c>
      <c r="F4167" s="3" t="n">
        <v>3.54</v>
      </c>
      <c r="G4167" s="3">
        <f>F4167-E4167</f>
        <v/>
      </c>
      <c r="H4167" s="4">
        <f>IF(E4167=0,"",F4167/E4167-1)</f>
        <v/>
      </c>
      <c r="I4167" t="inlineStr"/>
    </row>
    <row r="4168">
      <c r="A4168" t="inlineStr">
        <is>
          <t>Stone, ceramics &amp; glass</t>
        </is>
      </c>
      <c r="B4168" t="inlineStr">
        <is>
          <t>68</t>
        </is>
      </c>
      <c r="C4168" t="inlineStr">
        <is>
          <t>68061000</t>
        </is>
      </c>
      <c r="D4168" t="inlineStr">
        <is>
          <t>SLAG WOOL ROCK WOOL AND SMLR MNRL WOOL(INCL INTERMXTRS THEROF)IN BULK SHEETS/ROLLS</t>
        </is>
      </c>
      <c r="E4168" s="3" t="n">
        <v>1.69</v>
      </c>
      <c r="F4168" s="3" t="n">
        <v>3.38</v>
      </c>
      <c r="G4168" s="3">
        <f>F4168-E4168</f>
        <v/>
      </c>
      <c r="H4168" s="4">
        <f>IF(E4168=0,"",F4168/E4168-1)</f>
        <v/>
      </c>
      <c r="I4168" t="inlineStr"/>
    </row>
    <row r="4169">
      <c r="A4169" t="inlineStr">
        <is>
          <t>Stone, ceramics &amp; glass</t>
        </is>
      </c>
      <c r="B4169" t="inlineStr">
        <is>
          <t>69</t>
        </is>
      </c>
      <c r="C4169" t="inlineStr">
        <is>
          <t>69149090</t>
        </is>
      </c>
      <c r="D4169" t="inlineStr">
        <is>
          <t>OTHERS-OF-OTHERS-OF-OTHER CERAMIC ARTICLES</t>
        </is>
      </c>
      <c r="E4169" s="3" t="n">
        <v>0</v>
      </c>
      <c r="F4169" s="3" t="n">
        <v>3.28</v>
      </c>
      <c r="G4169" s="3">
        <f>F4169-E4169</f>
        <v/>
      </c>
      <c r="H4169" s="4">
        <f>IF(E4169=0,"",F4169/E4169-1)</f>
        <v/>
      </c>
      <c r="I4169" t="inlineStr"/>
    </row>
    <row r="4170">
      <c r="A4170" t="inlineStr">
        <is>
          <t>Stone, ceramics &amp; glass</t>
        </is>
      </c>
      <c r="B4170" t="inlineStr">
        <is>
          <t>70</t>
        </is>
      </c>
      <c r="C4170" t="inlineStr">
        <is>
          <t>70199000</t>
        </is>
      </c>
      <c r="D4170" t="inlineStr">
        <is>
          <t>OTHERS-OF-OTHERS-OF-GLSS FBRS(INCL GLSS WOOL) AND ARTCL THEROF(E.G. YARN,ROVINGS, WOVN FBRCS)</t>
        </is>
      </c>
      <c r="E4170" s="3" t="n">
        <v>3.43</v>
      </c>
      <c r="F4170" s="3" t="n">
        <v>3.02</v>
      </c>
      <c r="G4170" s="3">
        <f>F4170-E4170</f>
        <v/>
      </c>
      <c r="H4170" s="4">
        <f>IF(E4170=0,"",F4170/E4170-1)</f>
        <v/>
      </c>
      <c r="I4170" t="inlineStr"/>
    </row>
    <row r="4171">
      <c r="A4171" t="inlineStr">
        <is>
          <t>Stone, ceramics &amp; glass</t>
        </is>
      </c>
      <c r="B4171" t="inlineStr">
        <is>
          <t>68</t>
        </is>
      </c>
      <c r="C4171" t="inlineStr">
        <is>
          <t>68138100</t>
        </is>
      </c>
      <c r="D4171" t="inlineStr">
        <is>
          <t>BRAKE LININGS AND PADS</t>
        </is>
      </c>
      <c r="E4171" s="3" t="n">
        <v>0.8</v>
      </c>
      <c r="F4171" s="3" t="n">
        <v>2.46</v>
      </c>
      <c r="G4171" s="3">
        <f>F4171-E4171</f>
        <v/>
      </c>
      <c r="H4171" s="4">
        <f>IF(E4171=0,"",F4171/E4171-1)</f>
        <v/>
      </c>
      <c r="I4171" t="inlineStr"/>
    </row>
    <row r="4172">
      <c r="A4172" t="inlineStr">
        <is>
          <t>Stone, ceramics &amp; glass</t>
        </is>
      </c>
      <c r="B4172" t="inlineStr">
        <is>
          <t>70</t>
        </is>
      </c>
      <c r="C4172" t="inlineStr">
        <is>
          <t>70191200</t>
        </is>
      </c>
      <c r="D4172" t="inlineStr">
        <is>
          <t>ROVINGS</t>
        </is>
      </c>
      <c r="E4172" s="3" t="n">
        <v>1.11</v>
      </c>
      <c r="F4172" s="3" t="n">
        <v>2.06</v>
      </c>
      <c r="G4172" s="3">
        <f>F4172-E4172</f>
        <v/>
      </c>
      <c r="H4172" s="4">
        <f>IF(E4172=0,"",F4172/E4172-1)</f>
        <v/>
      </c>
      <c r="I4172" t="inlineStr"/>
    </row>
    <row r="4173">
      <c r="A4173" t="inlineStr">
        <is>
          <t>Stone, ceramics &amp; glass</t>
        </is>
      </c>
      <c r="B4173" t="inlineStr">
        <is>
          <t>69</t>
        </is>
      </c>
      <c r="C4173" t="inlineStr">
        <is>
          <t>69039030</t>
        </is>
      </c>
      <c r="D4173" t="inlineStr">
        <is>
          <t>CERAMIC FIBRES</t>
        </is>
      </c>
      <c r="E4173" s="3" t="n">
        <v>0.41</v>
      </c>
      <c r="F4173" s="3" t="n">
        <v>1.78</v>
      </c>
      <c r="G4173" s="3">
        <f>F4173-E4173</f>
        <v/>
      </c>
      <c r="H4173" s="4">
        <f>IF(E4173=0,"",F4173/E4173-1)</f>
        <v/>
      </c>
      <c r="I4173" t="inlineStr"/>
    </row>
    <row r="4174">
      <c r="A4174" t="inlineStr">
        <is>
          <t>Stone, ceramics &amp; glass</t>
        </is>
      </c>
      <c r="B4174" t="inlineStr">
        <is>
          <t>68</t>
        </is>
      </c>
      <c r="C4174" t="inlineStr">
        <is>
          <t>68101190</t>
        </is>
      </c>
      <c r="D4174" t="inlineStr">
        <is>
          <t>OTHERS-OF-BUILDING BLOCKS AND BRICKS</t>
        </is>
      </c>
      <c r="E4174" s="3" t="n">
        <v>2.37</v>
      </c>
      <c r="F4174" s="3" t="n">
        <v>1.77</v>
      </c>
      <c r="G4174" s="3">
        <f>F4174-E4174</f>
        <v/>
      </c>
      <c r="H4174" s="4">
        <f>IF(E4174=0,"",F4174/E4174-1)</f>
        <v/>
      </c>
      <c r="I4174" t="inlineStr"/>
    </row>
    <row r="4175">
      <c r="A4175" t="inlineStr">
        <is>
          <t>Stone, ceramics &amp; glass</t>
        </is>
      </c>
      <c r="B4175" t="inlineStr">
        <is>
          <t>68</t>
        </is>
      </c>
      <c r="C4175" t="inlineStr">
        <is>
          <t>68029300</t>
        </is>
      </c>
      <c r="D4175" t="inlineStr">
        <is>
          <t>OTHER GRANITE</t>
        </is>
      </c>
      <c r="E4175" s="3" t="n">
        <v>1.89</v>
      </c>
      <c r="F4175" s="3" t="n">
        <v>1.76</v>
      </c>
      <c r="G4175" s="3">
        <f>F4175-E4175</f>
        <v/>
      </c>
      <c r="H4175" s="4">
        <f>IF(E4175=0,"",F4175/E4175-1)</f>
        <v/>
      </c>
      <c r="I4175" t="inlineStr"/>
    </row>
    <row r="4176">
      <c r="A4176" t="inlineStr">
        <is>
          <t>Stone, ceramics &amp; glass</t>
        </is>
      </c>
      <c r="B4176" t="inlineStr">
        <is>
          <t>70</t>
        </is>
      </c>
      <c r="C4176" t="inlineStr">
        <is>
          <t>70196600</t>
        </is>
      </c>
      <c r="D4176" t="inlineStr">
        <is>
          <t>OPEN WOVEN FABRICS OF A WIDTH EXCEEDING 30 CM</t>
        </is>
      </c>
      <c r="E4176" s="3" t="n">
        <v>2.54</v>
      </c>
      <c r="F4176" s="3" t="n">
        <v>1.74</v>
      </c>
      <c r="G4176" s="3">
        <f>F4176-E4176</f>
        <v/>
      </c>
      <c r="H4176" s="4">
        <f>IF(E4176=0,"",F4176/E4176-1)</f>
        <v/>
      </c>
      <c r="I4176" t="inlineStr"/>
    </row>
    <row r="4177">
      <c r="A4177" t="inlineStr">
        <is>
          <t>Stone, ceramics &amp; glass</t>
        </is>
      </c>
      <c r="B4177" t="inlineStr">
        <is>
          <t>69</t>
        </is>
      </c>
      <c r="C4177" t="inlineStr">
        <is>
          <t>69109000</t>
        </is>
      </c>
      <c r="D4177" t="inlineStr">
        <is>
          <t>OTHR SANITARY FIXTURES(EXCL OF PORCELAIN)</t>
        </is>
      </c>
      <c r="E4177" s="3" t="n">
        <v>2.2</v>
      </c>
      <c r="F4177" s="3" t="n">
        <v>1.63</v>
      </c>
      <c r="G4177" s="3">
        <f>F4177-E4177</f>
        <v/>
      </c>
      <c r="H4177" s="4">
        <f>IF(E4177=0,"",F4177/E4177-1)</f>
        <v/>
      </c>
      <c r="I4177" t="inlineStr"/>
    </row>
    <row r="4178">
      <c r="A4178" t="inlineStr">
        <is>
          <t>Stone, ceramics &amp; glass</t>
        </is>
      </c>
      <c r="B4178" t="inlineStr">
        <is>
          <t>69</t>
        </is>
      </c>
      <c r="C4178" t="inlineStr">
        <is>
          <t>69022010</t>
        </is>
      </c>
      <c r="D4178" t="inlineStr">
        <is>
          <t>SILICA BRICKS AND SHAPES</t>
        </is>
      </c>
      <c r="E4178" s="3" t="n">
        <v>3.24</v>
      </c>
      <c r="F4178" s="3" t="n">
        <v>1.58</v>
      </c>
      <c r="G4178" s="3">
        <f>F4178-E4178</f>
        <v/>
      </c>
      <c r="H4178" s="4">
        <f>IF(E4178=0,"",F4178/E4178-1)</f>
        <v/>
      </c>
      <c r="I4178" t="inlineStr"/>
    </row>
    <row r="4179">
      <c r="A4179" t="inlineStr">
        <is>
          <t>Stone, ceramics &amp; glass</t>
        </is>
      </c>
      <c r="B4179" t="inlineStr">
        <is>
          <t>68</t>
        </is>
      </c>
      <c r="C4179" t="inlineStr">
        <is>
          <t>68101990</t>
        </is>
      </c>
      <c r="D4179" t="inlineStr">
        <is>
          <t>OTHERS-OF-OTHER (TILES FLAGSTONES ETC)</t>
        </is>
      </c>
      <c r="E4179" s="3" t="n">
        <v>3.06</v>
      </c>
      <c r="F4179" s="3" t="n">
        <v>1.3</v>
      </c>
      <c r="G4179" s="3">
        <f>F4179-E4179</f>
        <v/>
      </c>
      <c r="H4179" s="4">
        <f>IF(E4179=0,"",F4179/E4179-1)</f>
        <v/>
      </c>
      <c r="I4179" t="inlineStr"/>
    </row>
    <row r="4180">
      <c r="A4180" t="inlineStr">
        <is>
          <t>Stone, ceramics &amp; glass</t>
        </is>
      </c>
      <c r="B4180" t="inlineStr">
        <is>
          <t>70</t>
        </is>
      </c>
      <c r="C4180" t="inlineStr">
        <is>
          <t>70071900</t>
        </is>
      </c>
      <c r="D4180" t="inlineStr">
        <is>
          <t>OTHR TOUGHENED(TEMPERED)SAFETY GLASS</t>
        </is>
      </c>
      <c r="E4180" s="3" t="n">
        <v>1.12</v>
      </c>
      <c r="F4180" s="3" t="n">
        <v>1.26</v>
      </c>
      <c r="G4180" s="3">
        <f>F4180-E4180</f>
        <v/>
      </c>
      <c r="H4180" s="4">
        <f>IF(E4180=0,"",F4180/E4180-1)</f>
        <v/>
      </c>
      <c r="I4180" t="inlineStr"/>
    </row>
    <row r="4181">
      <c r="A4181" t="inlineStr">
        <is>
          <t>Stone, ceramics &amp; glass</t>
        </is>
      </c>
      <c r="B4181" t="inlineStr">
        <is>
          <t>69</t>
        </is>
      </c>
      <c r="C4181" t="inlineStr">
        <is>
          <t>69021010</t>
        </is>
      </c>
      <c r="D4181" t="inlineStr">
        <is>
          <t>MAGNESITE BRICKS AND SHAPES</t>
        </is>
      </c>
      <c r="E4181" s="3" t="n">
        <v>1.48</v>
      </c>
      <c r="F4181" s="3" t="n">
        <v>1.21</v>
      </c>
      <c r="G4181" s="3">
        <f>F4181-E4181</f>
        <v/>
      </c>
      <c r="H4181" s="4">
        <f>IF(E4181=0,"",F4181/E4181-1)</f>
        <v/>
      </c>
      <c r="I4181" t="inlineStr"/>
    </row>
    <row r="4182">
      <c r="A4182" t="inlineStr">
        <is>
          <t>Stone, ceramics &amp; glass</t>
        </is>
      </c>
      <c r="B4182" t="inlineStr">
        <is>
          <t>69</t>
        </is>
      </c>
      <c r="C4182" t="inlineStr">
        <is>
          <t>69021090</t>
        </is>
      </c>
      <c r="D4182" t="inlineStr">
        <is>
          <t>OTHR RFRTRY BRKS CNTG &gt;50% OF MGNSM,CALSM CHRMN AND THEIR OXIDES</t>
        </is>
      </c>
      <c r="E4182" s="3" t="n">
        <v>0</v>
      </c>
      <c r="F4182" s="3" t="n">
        <v>1.14</v>
      </c>
      <c r="G4182" s="3">
        <f>F4182-E4182</f>
        <v/>
      </c>
      <c r="H4182" s="4">
        <f>IF(E4182=0,"",F4182/E4182-1)</f>
        <v/>
      </c>
      <c r="I4182" t="inlineStr"/>
    </row>
    <row r="4183">
      <c r="A4183" t="inlineStr">
        <is>
          <t>Stone, ceramics &amp; glass</t>
        </is>
      </c>
      <c r="B4183" t="inlineStr">
        <is>
          <t>70</t>
        </is>
      </c>
      <c r="C4183" t="inlineStr">
        <is>
          <t>70179090</t>
        </is>
      </c>
      <c r="D4183" t="inlineStr">
        <is>
          <t>OTHER LABORATORY GLASSWARE</t>
        </is>
      </c>
      <c r="E4183" s="3" t="n">
        <v>0.41</v>
      </c>
      <c r="F4183" s="3" t="n">
        <v>1.08</v>
      </c>
      <c r="G4183" s="3">
        <f>F4183-E4183</f>
        <v/>
      </c>
      <c r="H4183" s="4">
        <f>IF(E4183=0,"",F4183/E4183-1)</f>
        <v/>
      </c>
      <c r="I4183" t="inlineStr"/>
    </row>
    <row r="4184">
      <c r="A4184" t="inlineStr">
        <is>
          <t>Stone, ceramics &amp; glass</t>
        </is>
      </c>
      <c r="B4184" t="inlineStr">
        <is>
          <t>70</t>
        </is>
      </c>
      <c r="C4184" t="inlineStr">
        <is>
          <t>70134900</t>
        </is>
      </c>
      <c r="D4184" t="inlineStr">
        <is>
          <t>OTHR GLSSWARE USD FR TBL(EXCL DRNKNG GLS)/KITCHEN PURPOSES(EXCL GLASS CERAMICS)</t>
        </is>
      </c>
      <c r="E4184" s="3" t="n">
        <v>1.84</v>
      </c>
      <c r="F4184" s="3" t="n">
        <v>1.04</v>
      </c>
      <c r="G4184" s="3">
        <f>F4184-E4184</f>
        <v/>
      </c>
      <c r="H4184" s="4">
        <f>IF(E4184=0,"",F4184/E4184-1)</f>
        <v/>
      </c>
      <c r="I4184" t="inlineStr"/>
    </row>
    <row r="4185">
      <c r="A4185" t="inlineStr">
        <is>
          <t>Stone, ceramics &amp; glass</t>
        </is>
      </c>
      <c r="B4185" t="inlineStr">
        <is>
          <t>68</t>
        </is>
      </c>
      <c r="C4185" t="inlineStr">
        <is>
          <t>68141090</t>
        </is>
      </c>
      <c r="D4185" t="inlineStr">
        <is>
          <t>OTHERS-OF-PLATES SHEETS AND STRIPS OF AGGLOMERATED OR RECONSTITUTED MICA W/N ON A SUPPORT</t>
        </is>
      </c>
      <c r="E4185" s="3" t="n">
        <v>0.1</v>
      </c>
      <c r="F4185" s="3" t="n">
        <v>0.98</v>
      </c>
      <c r="G4185" s="3">
        <f>F4185-E4185</f>
        <v/>
      </c>
      <c r="H4185" s="4">
        <f>IF(E4185=0,"",F4185/E4185-1)</f>
        <v/>
      </c>
      <c r="I4185" t="inlineStr"/>
    </row>
    <row r="4186">
      <c r="A4186" t="inlineStr">
        <is>
          <t>Stone, ceramics &amp; glass</t>
        </is>
      </c>
      <c r="B4186" t="inlineStr">
        <is>
          <t>68</t>
        </is>
      </c>
      <c r="C4186" t="inlineStr">
        <is>
          <t>68042190</t>
        </is>
      </c>
      <c r="D4186" t="inlineStr">
        <is>
          <t>OTHERS INCLUDING FINISHED PARTS</t>
        </is>
      </c>
      <c r="E4186" s="3" t="n">
        <v>0.14</v>
      </c>
      <c r="F4186" s="3" t="n">
        <v>0.86</v>
      </c>
      <c r="G4186" s="3">
        <f>F4186-E4186</f>
        <v/>
      </c>
      <c r="H4186" s="4">
        <f>IF(E4186=0,"",F4186/E4186-1)</f>
        <v/>
      </c>
      <c r="I4186" t="inlineStr"/>
    </row>
    <row r="4187">
      <c r="A4187" t="inlineStr">
        <is>
          <t>Stone, ceramics &amp; glass</t>
        </is>
      </c>
      <c r="B4187" t="inlineStr">
        <is>
          <t>68</t>
        </is>
      </c>
      <c r="C4187" t="inlineStr">
        <is>
          <t>68051010</t>
        </is>
      </c>
      <c r="D4187" t="inlineStr">
        <is>
          <t>ABRASIVE CLOTHS</t>
        </is>
      </c>
      <c r="E4187" s="3" t="n">
        <v>0.55</v>
      </c>
      <c r="F4187" s="3" t="n">
        <v>0.6899999999999999</v>
      </c>
      <c r="G4187" s="3">
        <f>F4187-E4187</f>
        <v/>
      </c>
      <c r="H4187" s="4">
        <f>IF(E4187=0,"",F4187/E4187-1)</f>
        <v/>
      </c>
      <c r="I4187" t="inlineStr"/>
    </row>
    <row r="4188">
      <c r="A4188" t="inlineStr">
        <is>
          <t>Stone, ceramics &amp; glass</t>
        </is>
      </c>
      <c r="B4188" t="inlineStr">
        <is>
          <t>70</t>
        </is>
      </c>
      <c r="C4188" t="inlineStr">
        <is>
          <t>70191900</t>
        </is>
      </c>
      <c r="D4188" t="inlineStr">
        <is>
          <t>OTHERS-OF-OTHERS-OF-GLSS FBRS(INCL GLSS WOOL) AND ARTCL THEROF(E.G. YARN,ROVINGS, WOVN FBRCS)</t>
        </is>
      </c>
      <c r="E4188" s="3" t="n">
        <v>0.29</v>
      </c>
      <c r="F4188" s="3" t="n">
        <v>0.68</v>
      </c>
      <c r="G4188" s="3">
        <f>F4188-E4188</f>
        <v/>
      </c>
      <c r="H4188" s="4">
        <f>IF(E4188=0,"",F4188/E4188-1)</f>
        <v/>
      </c>
      <c r="I4188" t="inlineStr"/>
    </row>
    <row r="4189">
      <c r="A4189" t="inlineStr">
        <is>
          <t>Stone, ceramics &amp; glass</t>
        </is>
      </c>
      <c r="B4189" t="inlineStr">
        <is>
          <t>70</t>
        </is>
      </c>
      <c r="C4189" t="inlineStr">
        <is>
          <t>70179010</t>
        </is>
      </c>
      <c r="D4189" t="inlineStr">
        <is>
          <t>OTHR GRAGUATD/CALBRATD LABORATORY GLASWARE</t>
        </is>
      </c>
      <c r="E4189" s="3" t="n">
        <v>0.15</v>
      </c>
      <c r="F4189" s="3" t="n">
        <v>0.61</v>
      </c>
      <c r="G4189" s="3">
        <f>F4189-E4189</f>
        <v/>
      </c>
      <c r="H4189" s="4">
        <f>IF(E4189=0,"",F4189/E4189-1)</f>
        <v/>
      </c>
      <c r="I4189" t="inlineStr"/>
    </row>
    <row r="4190">
      <c r="A4190" t="inlineStr">
        <is>
          <t>Stone, ceramics &amp; glass</t>
        </is>
      </c>
      <c r="B4190" t="inlineStr">
        <is>
          <t>68</t>
        </is>
      </c>
      <c r="C4190" t="inlineStr">
        <is>
          <t>68022190</t>
        </is>
      </c>
      <c r="D4190" t="inlineStr">
        <is>
          <t>OTHERS-OF-SIMPLY CUT/SAWN MARBLE TRAVERTINE AND ALABASTER WITH A FLAT OR EVEN SURFACE</t>
        </is>
      </c>
      <c r="E4190" s="3" t="n">
        <v>1.8</v>
      </c>
      <c r="F4190" s="3" t="n">
        <v>0.57</v>
      </c>
      <c r="G4190" s="3">
        <f>F4190-E4190</f>
        <v/>
      </c>
      <c r="H4190" s="4">
        <f>IF(E4190=0,"",F4190/E4190-1)</f>
        <v/>
      </c>
      <c r="I4190" t="inlineStr"/>
    </row>
    <row r="4191">
      <c r="A4191" t="inlineStr">
        <is>
          <t>Stone, ceramics &amp; glass</t>
        </is>
      </c>
      <c r="B4191" t="inlineStr">
        <is>
          <t>70</t>
        </is>
      </c>
      <c r="C4191" t="inlineStr">
        <is>
          <t>70051010</t>
        </is>
      </c>
      <c r="D4191" t="inlineStr">
        <is>
          <t>TNTD NON-WIRED GLS HVG ABSRBNT RFLTNG LYER</t>
        </is>
      </c>
      <c r="E4191" s="3" t="n">
        <v>0.39</v>
      </c>
      <c r="F4191" s="3" t="n">
        <v>0.55</v>
      </c>
      <c r="G4191" s="3">
        <f>F4191-E4191</f>
        <v/>
      </c>
      <c r="H4191" s="4">
        <f>IF(E4191=0,"",F4191/E4191-1)</f>
        <v/>
      </c>
      <c r="I4191" t="inlineStr"/>
    </row>
    <row r="4192">
      <c r="A4192" t="inlineStr">
        <is>
          <t>Stone, ceramics &amp; glass</t>
        </is>
      </c>
      <c r="B4192" t="inlineStr">
        <is>
          <t>68</t>
        </is>
      </c>
      <c r="C4192" t="inlineStr">
        <is>
          <t>68029100</t>
        </is>
      </c>
      <c r="D4192" t="inlineStr">
        <is>
          <t>OTHER MARBLE TRAVERTINE AND ALABASTER</t>
        </is>
      </c>
      <c r="E4192" s="3" t="n">
        <v>0</v>
      </c>
      <c r="F4192" s="3" t="n">
        <v>0.54</v>
      </c>
      <c r="G4192" s="3">
        <f>F4192-E4192</f>
        <v/>
      </c>
      <c r="H4192" s="4">
        <f>IF(E4192=0,"",F4192/E4192-1)</f>
        <v/>
      </c>
      <c r="I4192" t="inlineStr"/>
    </row>
    <row r="4193">
      <c r="A4193" t="inlineStr">
        <is>
          <t>Stone, ceramics &amp; glass</t>
        </is>
      </c>
      <c r="B4193" t="inlineStr">
        <is>
          <t>68</t>
        </is>
      </c>
      <c r="C4193" t="inlineStr">
        <is>
          <t>68109100</t>
        </is>
      </c>
      <c r="D4193" t="inlineStr">
        <is>
          <t>PREFBRCTD STRCTRL CMPNTS FR BLDG/CVL ENGNG</t>
        </is>
      </c>
      <c r="E4193" s="3" t="n">
        <v>0.29</v>
      </c>
      <c r="F4193" s="3" t="n">
        <v>0.49</v>
      </c>
      <c r="G4193" s="3">
        <f>F4193-E4193</f>
        <v/>
      </c>
      <c r="H4193" s="4">
        <f>IF(E4193=0,"",F4193/E4193-1)</f>
        <v/>
      </c>
      <c r="I4193" t="inlineStr"/>
    </row>
    <row r="4194">
      <c r="A4194" t="inlineStr">
        <is>
          <t>Stone, ceramics &amp; glass</t>
        </is>
      </c>
      <c r="B4194" t="inlineStr">
        <is>
          <t>69</t>
        </is>
      </c>
      <c r="C4194" t="inlineStr">
        <is>
          <t>69120040</t>
        </is>
      </c>
      <c r="D4194" t="inlineStr">
        <is>
          <t>CLAY ARTICLS AS TABLEWARE, KITCHENWARE ETC</t>
        </is>
      </c>
      <c r="E4194" s="3" t="n">
        <v>0.45</v>
      </c>
      <c r="F4194" s="3" t="n">
        <v>0.47</v>
      </c>
      <c r="G4194" s="3">
        <f>F4194-E4194</f>
        <v/>
      </c>
      <c r="H4194" s="4">
        <f>IF(E4194=0,"",F4194/E4194-1)</f>
        <v/>
      </c>
      <c r="I4194" t="inlineStr"/>
    </row>
    <row r="4195">
      <c r="A4195" t="inlineStr">
        <is>
          <t>Stone, ceramics &amp; glass</t>
        </is>
      </c>
      <c r="B4195" t="inlineStr">
        <is>
          <t>68</t>
        </is>
      </c>
      <c r="C4195" t="inlineStr">
        <is>
          <t>68029900</t>
        </is>
      </c>
      <c r="D4195" t="inlineStr">
        <is>
          <t>OTHER STONE</t>
        </is>
      </c>
      <c r="E4195" s="3" t="n">
        <v>0.17</v>
      </c>
      <c r="F4195" s="3" t="n">
        <v>0.45</v>
      </c>
      <c r="G4195" s="3">
        <f>F4195-E4195</f>
        <v/>
      </c>
      <c r="H4195" s="4">
        <f>IF(E4195=0,"",F4195/E4195-1)</f>
        <v/>
      </c>
      <c r="I4195" t="inlineStr"/>
    </row>
    <row r="4196">
      <c r="A4196" t="inlineStr">
        <is>
          <t>Stone, ceramics &amp; glass</t>
        </is>
      </c>
      <c r="B4196" t="inlineStr">
        <is>
          <t>69</t>
        </is>
      </c>
      <c r="C4196" t="inlineStr">
        <is>
          <t>69022030</t>
        </is>
      </c>
      <c r="D4196" t="inlineStr">
        <is>
          <t>BRICKS AND SHAPES,ALUMINA CARBON</t>
        </is>
      </c>
      <c r="E4196" s="3" t="n">
        <v>0.22</v>
      </c>
      <c r="F4196" s="3" t="n">
        <v>0.43</v>
      </c>
      <c r="G4196" s="3">
        <f>F4196-E4196</f>
        <v/>
      </c>
      <c r="H4196" s="4">
        <f>IF(E4196=0,"",F4196/E4196-1)</f>
        <v/>
      </c>
      <c r="I4196" t="inlineStr"/>
    </row>
    <row r="4197">
      <c r="A4197" t="inlineStr">
        <is>
          <t>Stone, ceramics &amp; glass</t>
        </is>
      </c>
      <c r="B4197" t="inlineStr">
        <is>
          <t>69</t>
        </is>
      </c>
      <c r="C4197" t="inlineStr">
        <is>
          <t>69073000</t>
        </is>
      </c>
      <c r="D4197" t="inlineStr">
        <is>
          <t>Mosaic cubes and the like, other than those of sub-heading 6907 40</t>
        </is>
      </c>
      <c r="E4197" s="3" t="n">
        <v>0.11</v>
      </c>
      <c r="F4197" s="3" t="n">
        <v>0.39</v>
      </c>
      <c r="G4197" s="3">
        <f>F4197-E4197</f>
        <v/>
      </c>
      <c r="H4197" s="4">
        <f>IF(E4197=0,"",F4197/E4197-1)</f>
        <v/>
      </c>
      <c r="I4197" t="inlineStr"/>
    </row>
    <row r="4198">
      <c r="A4198" t="inlineStr">
        <is>
          <t>Stone, ceramics &amp; glass</t>
        </is>
      </c>
      <c r="B4198" t="inlineStr">
        <is>
          <t>69</t>
        </is>
      </c>
      <c r="C4198" t="inlineStr">
        <is>
          <t>69111011</t>
        </is>
      </c>
      <c r="D4198" t="inlineStr">
        <is>
          <t>TBLWARE OF BON CHINA AND SFT PRCLN</t>
        </is>
      </c>
      <c r="E4198" s="3" t="n">
        <v>0.62</v>
      </c>
      <c r="F4198" s="3" t="n">
        <v>0.37</v>
      </c>
      <c r="G4198" s="3">
        <f>F4198-E4198</f>
        <v/>
      </c>
      <c r="H4198" s="4">
        <f>IF(E4198=0,"",F4198/E4198-1)</f>
        <v/>
      </c>
      <c r="I4198" t="inlineStr"/>
    </row>
    <row r="4199">
      <c r="A4199" t="inlineStr">
        <is>
          <t>Stone, ceramics &amp; glass</t>
        </is>
      </c>
      <c r="B4199" t="inlineStr">
        <is>
          <t>70</t>
        </is>
      </c>
      <c r="C4199" t="inlineStr">
        <is>
          <t>70161000</t>
        </is>
      </c>
      <c r="D4199" t="inlineStr">
        <is>
          <t>GLSS CUBES AND OTHR GLSS SMLWARES W/N ON BCKNG FR MOSAICS/SMLR PURPS</t>
        </is>
      </c>
      <c r="E4199" s="3" t="n">
        <v>0.06</v>
      </c>
      <c r="F4199" s="3" t="n">
        <v>0.35</v>
      </c>
      <c r="G4199" s="3">
        <f>F4199-E4199</f>
        <v/>
      </c>
      <c r="H4199" s="4">
        <f>IF(E4199=0,"",F4199/E4199-1)</f>
        <v/>
      </c>
      <c r="I4199" t="inlineStr"/>
    </row>
    <row r="4200">
      <c r="A4200" t="inlineStr">
        <is>
          <t>Stone, ceramics &amp; glass</t>
        </is>
      </c>
      <c r="B4200" t="inlineStr">
        <is>
          <t>68</t>
        </is>
      </c>
      <c r="C4200" t="inlineStr">
        <is>
          <t>68030000</t>
        </is>
      </c>
      <c r="D4200" t="inlineStr">
        <is>
          <t>WRKD SLATE AND ARTCLS OF SLATE/AGLMRTD SLATE</t>
        </is>
      </c>
      <c r="E4200" s="3" t="n">
        <v>0.28</v>
      </c>
      <c r="F4200" s="3" t="n">
        <v>0.34</v>
      </c>
      <c r="G4200" s="3">
        <f>F4200-E4200</f>
        <v/>
      </c>
      <c r="H4200" s="4">
        <f>IF(E4200=0,"",F4200/E4200-1)</f>
        <v/>
      </c>
      <c r="I4200" t="inlineStr"/>
    </row>
    <row r="4201">
      <c r="A4201" t="inlineStr">
        <is>
          <t>Stone, ceramics &amp; glass</t>
        </is>
      </c>
      <c r="B4201" t="inlineStr">
        <is>
          <t>69</t>
        </is>
      </c>
      <c r="C4201" t="inlineStr">
        <is>
          <t>69032010</t>
        </is>
      </c>
      <c r="D4201" t="inlineStr">
        <is>
          <t>SILICON CARBIDE CRUCIBLES</t>
        </is>
      </c>
      <c r="E4201" s="3" t="n">
        <v>0.03</v>
      </c>
      <c r="F4201" s="3" t="n">
        <v>0.33</v>
      </c>
      <c r="G4201" s="3">
        <f>F4201-E4201</f>
        <v/>
      </c>
      <c r="H4201" s="4">
        <f>IF(E4201=0,"",F4201/E4201-1)</f>
        <v/>
      </c>
      <c r="I4201" t="inlineStr"/>
    </row>
    <row r="4202">
      <c r="A4202" t="inlineStr">
        <is>
          <t>Stone, ceramics &amp; glass</t>
        </is>
      </c>
      <c r="B4202" t="inlineStr">
        <is>
          <t>70</t>
        </is>
      </c>
      <c r="C4202" t="inlineStr">
        <is>
          <t>70196100</t>
        </is>
      </c>
      <c r="D4202" t="inlineStr">
        <is>
          <t>CLOSED WOVEN FABRICS OF ROVINGS</t>
        </is>
      </c>
      <c r="E4202" s="3" t="n">
        <v>0.28</v>
      </c>
      <c r="F4202" s="3" t="n">
        <v>0.3</v>
      </c>
      <c r="G4202" s="3">
        <f>F4202-E4202</f>
        <v/>
      </c>
      <c r="H4202" s="4">
        <f>IF(E4202=0,"",F4202/E4202-1)</f>
        <v/>
      </c>
      <c r="I4202" t="inlineStr"/>
    </row>
    <row r="4203">
      <c r="A4203" t="inlineStr">
        <is>
          <t>Stone, ceramics &amp; glass</t>
        </is>
      </c>
      <c r="B4203" t="inlineStr">
        <is>
          <t>70</t>
        </is>
      </c>
      <c r="C4203" t="inlineStr">
        <is>
          <t>70099200</t>
        </is>
      </c>
      <c r="D4203" t="inlineStr">
        <is>
          <t>OTHR GLASS MIRRORS, FRAMED</t>
        </is>
      </c>
      <c r="E4203" s="3" t="n">
        <v>0.1</v>
      </c>
      <c r="F4203" s="3" t="n">
        <v>0.26</v>
      </c>
      <c r="G4203" s="3">
        <f>F4203-E4203</f>
        <v/>
      </c>
      <c r="H4203" s="4">
        <f>IF(E4203=0,"",F4203/E4203-1)</f>
        <v/>
      </c>
      <c r="I4203" t="inlineStr"/>
    </row>
    <row r="4204">
      <c r="A4204" t="inlineStr">
        <is>
          <t>Stone, ceramics &amp; glass</t>
        </is>
      </c>
      <c r="B4204" t="inlineStr">
        <is>
          <t>70</t>
        </is>
      </c>
      <c r="C4204" t="inlineStr">
        <is>
          <t>70080090</t>
        </is>
      </c>
      <c r="D4204" t="inlineStr">
        <is>
          <t>OTHERS-OF-MULTIPLE WALLED INSULATING UNITS OF GLASS</t>
        </is>
      </c>
      <c r="E4204" s="3" t="n">
        <v>0</v>
      </c>
      <c r="F4204" s="3" t="n">
        <v>0.25</v>
      </c>
      <c r="G4204" s="3">
        <f>F4204-E4204</f>
        <v/>
      </c>
      <c r="H4204" s="4">
        <f>IF(E4204=0,"",F4204/E4204-1)</f>
        <v/>
      </c>
      <c r="I4204" t="inlineStr"/>
    </row>
    <row r="4205">
      <c r="A4205" t="inlineStr">
        <is>
          <t>Stone, ceramics &amp; glass</t>
        </is>
      </c>
      <c r="B4205" t="inlineStr">
        <is>
          <t>68</t>
        </is>
      </c>
      <c r="C4205" t="inlineStr">
        <is>
          <t>68151900</t>
        </is>
      </c>
      <c r="D4205" t="inlineStr">
        <is>
          <t>OTHERS-OF-OTHERS-OF-ARTCLS OF STON/OF OTHR MNRL SUBSTNCS(INCL CRBN FIBR ARTCLS OF CRBN FIBR AND PEAT)N.E.S</t>
        </is>
      </c>
      <c r="E4205" s="3" t="n">
        <v>0.29</v>
      </c>
      <c r="F4205" s="3" t="n">
        <v>0.24</v>
      </c>
      <c r="G4205" s="3">
        <f>F4205-E4205</f>
        <v/>
      </c>
      <c r="H4205" s="4">
        <f>IF(E4205=0,"",F4205/E4205-1)</f>
        <v/>
      </c>
      <c r="I4205" t="inlineStr"/>
    </row>
    <row r="4206">
      <c r="A4206" t="inlineStr">
        <is>
          <t>Stone, ceramics &amp; glass</t>
        </is>
      </c>
      <c r="B4206" t="inlineStr">
        <is>
          <t>69</t>
        </is>
      </c>
      <c r="C4206" t="inlineStr">
        <is>
          <t>69022040</t>
        </is>
      </c>
      <c r="D4206" t="inlineStr">
        <is>
          <t>SILICON CARBIDE BRICKS AND SHAPES</t>
        </is>
      </c>
      <c r="E4206" s="3" t="n">
        <v>0.07000000000000001</v>
      </c>
      <c r="F4206" s="3" t="n">
        <v>0.22</v>
      </c>
      <c r="G4206" s="3">
        <f>F4206-E4206</f>
        <v/>
      </c>
      <c r="H4206" s="4">
        <f>IF(E4206=0,"",F4206/E4206-1)</f>
        <v/>
      </c>
      <c r="I4206" t="inlineStr"/>
    </row>
    <row r="4207">
      <c r="A4207" t="inlineStr">
        <is>
          <t>Stone, ceramics &amp; glass</t>
        </is>
      </c>
      <c r="B4207" t="inlineStr">
        <is>
          <t>69</t>
        </is>
      </c>
      <c r="C4207" t="inlineStr">
        <is>
          <t>69022090</t>
        </is>
      </c>
      <c r="D4207" t="inlineStr">
        <is>
          <t>OTHR RFRTRY BRKS CNTG &gt;50% OF ALMNA,SILICA</t>
        </is>
      </c>
      <c r="E4207" s="3" t="n">
        <v>4.96</v>
      </c>
      <c r="F4207" s="3" t="n">
        <v>0.2</v>
      </c>
      <c r="G4207" s="3">
        <f>F4207-E4207</f>
        <v/>
      </c>
      <c r="H4207" s="4">
        <f>IF(E4207=0,"",F4207/E4207-1)</f>
        <v/>
      </c>
      <c r="I4207" t="inlineStr"/>
    </row>
    <row r="4208">
      <c r="A4208" t="inlineStr">
        <is>
          <t>Stone, ceramics &amp; glass</t>
        </is>
      </c>
      <c r="B4208" t="inlineStr">
        <is>
          <t>69</t>
        </is>
      </c>
      <c r="C4208" t="inlineStr">
        <is>
          <t>69031000</t>
        </is>
      </c>
      <c r="D4208" t="inlineStr">
        <is>
          <t>CONTAINING BY WEIGHT , MORE THAN 50 % OF FREE CARBON</t>
        </is>
      </c>
      <c r="E4208" s="3" t="n">
        <v>0.07000000000000001</v>
      </c>
      <c r="F4208" s="3" t="n">
        <v>0.19</v>
      </c>
      <c r="G4208" s="3">
        <f>F4208-E4208</f>
        <v/>
      </c>
      <c r="H4208" s="4">
        <f>IF(E4208=0,"",F4208/E4208-1)</f>
        <v/>
      </c>
      <c r="I4208" t="inlineStr"/>
    </row>
    <row r="4209">
      <c r="A4209" t="inlineStr">
        <is>
          <t>Stone, ceramics &amp; glass</t>
        </is>
      </c>
      <c r="B4209" t="inlineStr">
        <is>
          <t>70</t>
        </is>
      </c>
      <c r="C4209" t="inlineStr">
        <is>
          <t>70171000</t>
        </is>
      </c>
      <c r="D4209" t="inlineStr">
        <is>
          <t>LAB GLSES ETC OF FUSD QUARTZ OR OTHR FUSD</t>
        </is>
      </c>
      <c r="E4209" s="3" t="n">
        <v>0.07000000000000001</v>
      </c>
      <c r="F4209" s="3" t="n">
        <v>0.17</v>
      </c>
      <c r="G4209" s="3">
        <f>F4209-E4209</f>
        <v/>
      </c>
      <c r="H4209" s="4">
        <f>IF(E4209=0,"",F4209/E4209-1)</f>
        <v/>
      </c>
      <c r="I4209" t="inlineStr"/>
    </row>
    <row r="4210">
      <c r="A4210" t="inlineStr">
        <is>
          <t>Stone, ceramics &amp; glass</t>
        </is>
      </c>
      <c r="B4210" t="inlineStr">
        <is>
          <t>68</t>
        </is>
      </c>
      <c r="C4210" t="inlineStr">
        <is>
          <t>68021000</t>
        </is>
      </c>
      <c r="D4210" t="inlineStr">
        <is>
          <t>TILES CUBES ETC W/N RECTNGLR(INCL SQR) WHOSE LRGST FACE BE ENCLSD IN A SQR MEASRNG&lt;49 SQ CM ARTFCLY COLRD GRNLS</t>
        </is>
      </c>
      <c r="E4210" s="3" t="n">
        <v>0.28</v>
      </c>
      <c r="F4210" s="3" t="n">
        <v>0.16</v>
      </c>
      <c r="G4210" s="3">
        <f>F4210-E4210</f>
        <v/>
      </c>
      <c r="H4210" s="4">
        <f>IF(E4210=0,"",F4210/E4210-1)</f>
        <v/>
      </c>
      <c r="I4210" t="inlineStr"/>
    </row>
    <row r="4211">
      <c r="A4211" t="inlineStr">
        <is>
          <t>Stone, ceramics &amp; glass</t>
        </is>
      </c>
      <c r="B4211" t="inlineStr">
        <is>
          <t>70</t>
        </is>
      </c>
      <c r="C4211" t="inlineStr">
        <is>
          <t>70200090</t>
        </is>
      </c>
      <c r="D4211" t="inlineStr">
        <is>
          <t>OTHER ARTICLES OF GLSS NES</t>
        </is>
      </c>
      <c r="E4211" s="3" t="n">
        <v>0</v>
      </c>
      <c r="F4211" s="3" t="n">
        <v>0.16</v>
      </c>
      <c r="G4211" s="3">
        <f>F4211-E4211</f>
        <v/>
      </c>
      <c r="H4211" s="4">
        <f>IF(E4211=0,"",F4211/E4211-1)</f>
        <v/>
      </c>
      <c r="I4211" t="inlineStr"/>
    </row>
    <row r="4212">
      <c r="A4212" t="inlineStr">
        <is>
          <t>Stone, ceramics &amp; glass</t>
        </is>
      </c>
      <c r="B4212" t="inlineStr">
        <is>
          <t>70</t>
        </is>
      </c>
      <c r="C4212" t="inlineStr">
        <is>
          <t>70182000</t>
        </is>
      </c>
      <c r="D4212" t="inlineStr">
        <is>
          <t>GLSS MCROSPHRS NT EXCDNG 1 MM IN DIAMTR</t>
        </is>
      </c>
      <c r="E4212" s="3" t="n">
        <v>0.01</v>
      </c>
      <c r="F4212" s="3" t="n">
        <v>0.15</v>
      </c>
      <c r="G4212" s="3">
        <f>F4212-E4212</f>
        <v/>
      </c>
      <c r="H4212" s="4">
        <f>IF(E4212=0,"",F4212/E4212-1)</f>
        <v/>
      </c>
      <c r="I4212" t="inlineStr"/>
    </row>
    <row r="4213">
      <c r="A4213" t="inlineStr">
        <is>
          <t>Stone, ceramics &amp; glass</t>
        </is>
      </c>
      <c r="B4213" t="inlineStr">
        <is>
          <t>70</t>
        </is>
      </c>
      <c r="C4213" t="inlineStr">
        <is>
          <t>70132800</t>
        </is>
      </c>
      <c r="D4213" t="inlineStr">
        <is>
          <t>OTHERS-OF-OTHERS-OF-GLSSWR FR TBL KTCHN,TOLT,OFFC INDOR DCORTION (EXCL GOODS OF HDG NO 7010/7018)</t>
        </is>
      </c>
      <c r="E4213" s="3" t="n">
        <v>0.01</v>
      </c>
      <c r="F4213" s="3" t="n">
        <v>0.14</v>
      </c>
      <c r="G4213" s="3">
        <f>F4213-E4213</f>
        <v/>
      </c>
      <c r="H4213" s="4">
        <f>IF(E4213=0,"",F4213/E4213-1)</f>
        <v/>
      </c>
      <c r="I4213" t="inlineStr"/>
    </row>
    <row r="4214">
      <c r="A4214" t="inlineStr">
        <is>
          <t>Stone, ceramics &amp; glass</t>
        </is>
      </c>
      <c r="B4214" t="inlineStr">
        <is>
          <t>68</t>
        </is>
      </c>
      <c r="C4214" t="inlineStr">
        <is>
          <t>68042290</t>
        </is>
      </c>
      <c r="D4214" t="inlineStr">
        <is>
          <t>OTHERS INCLUDING FINISHED PARTS</t>
        </is>
      </c>
      <c r="E4214" s="3" t="n">
        <v>0.04</v>
      </c>
      <c r="F4214" s="3" t="n">
        <v>0.13</v>
      </c>
      <c r="G4214" s="3">
        <f>F4214-E4214</f>
        <v/>
      </c>
      <c r="H4214" s="4">
        <f>IF(E4214=0,"",F4214/E4214-1)</f>
        <v/>
      </c>
      <c r="I4214" t="inlineStr"/>
    </row>
    <row r="4215">
      <c r="A4215" t="inlineStr">
        <is>
          <t>Stone, ceramics &amp; glass</t>
        </is>
      </c>
      <c r="B4215" t="inlineStr">
        <is>
          <t>68</t>
        </is>
      </c>
      <c r="C4215" t="inlineStr">
        <is>
          <t>68043010</t>
        </is>
      </c>
      <c r="D4215" t="inlineStr">
        <is>
          <t>HAND POLISHING STONES</t>
        </is>
      </c>
      <c r="E4215" s="3" t="n">
        <v>0</v>
      </c>
      <c r="F4215" s="3" t="n">
        <v>0.13</v>
      </c>
      <c r="G4215" s="3">
        <f>F4215-E4215</f>
        <v/>
      </c>
      <c r="H4215" s="4">
        <f>IF(E4215=0,"",F4215/E4215-1)</f>
        <v/>
      </c>
      <c r="I4215" t="inlineStr"/>
    </row>
    <row r="4216">
      <c r="A4216" t="inlineStr">
        <is>
          <t>Stone, ceramics &amp; glass</t>
        </is>
      </c>
      <c r="B4216" t="inlineStr">
        <is>
          <t>68</t>
        </is>
      </c>
      <c r="C4216" t="inlineStr">
        <is>
          <t>68053000</t>
        </is>
      </c>
      <c r="D4216" t="inlineStr">
        <is>
          <t>NATURAL OR ARTIFICALS ABRASIVE POWDER OR GRAIN ON A BASE OF OTHER MATERIALS</t>
        </is>
      </c>
      <c r="E4216" s="3" t="n">
        <v>0.17</v>
      </c>
      <c r="F4216" s="3" t="n">
        <v>0.13</v>
      </c>
      <c r="G4216" s="3">
        <f>F4216-E4216</f>
        <v/>
      </c>
      <c r="H4216" s="4">
        <f>IF(E4216=0,"",F4216/E4216-1)</f>
        <v/>
      </c>
      <c r="I4216" t="inlineStr"/>
    </row>
    <row r="4217">
      <c r="A4217" t="inlineStr">
        <is>
          <t>Stone, ceramics &amp; glass</t>
        </is>
      </c>
      <c r="B4217" t="inlineStr">
        <is>
          <t>70</t>
        </is>
      </c>
      <c r="C4217" t="inlineStr">
        <is>
          <t>70197100</t>
        </is>
      </c>
      <c r="D4217" t="inlineStr">
        <is>
          <t>VEILS (THIN SHEETS)</t>
        </is>
      </c>
      <c r="E4217" s="3" t="n">
        <v>0.02</v>
      </c>
      <c r="F4217" s="3" t="n">
        <v>0.13</v>
      </c>
      <c r="G4217" s="3">
        <f>F4217-E4217</f>
        <v/>
      </c>
      <c r="H4217" s="4">
        <f>IF(E4217=0,"",F4217/E4217-1)</f>
        <v/>
      </c>
      <c r="I4217" t="inlineStr"/>
    </row>
    <row r="4218">
      <c r="A4218" t="inlineStr">
        <is>
          <t>Stone, ceramics &amp; glass</t>
        </is>
      </c>
      <c r="B4218" t="inlineStr">
        <is>
          <t>68</t>
        </is>
      </c>
      <c r="C4218" t="inlineStr">
        <is>
          <t>68132090</t>
        </is>
      </c>
      <c r="D4218" t="inlineStr">
        <is>
          <t>ASBESTOS FRICTION MATERIALS</t>
        </is>
      </c>
      <c r="E4218" s="3" t="n">
        <v>0.03</v>
      </c>
      <c r="F4218" s="3" t="n">
        <v>0.12</v>
      </c>
      <c r="G4218" s="3">
        <f>F4218-E4218</f>
        <v/>
      </c>
      <c r="H4218" s="4">
        <f>IF(E4218=0,"",F4218/E4218-1)</f>
        <v/>
      </c>
      <c r="I4218" t="inlineStr"/>
    </row>
    <row r="4219">
      <c r="A4219" t="inlineStr">
        <is>
          <t>Stone, ceramics &amp; glass</t>
        </is>
      </c>
      <c r="B4219" t="inlineStr">
        <is>
          <t>68</t>
        </is>
      </c>
      <c r="C4219" t="inlineStr">
        <is>
          <t>68052010</t>
        </is>
      </c>
      <c r="D4219" t="inlineStr">
        <is>
          <t>EMERY OR CORUNDUM COATED PAPER</t>
        </is>
      </c>
      <c r="E4219" s="3" t="n">
        <v>0.01</v>
      </c>
      <c r="F4219" s="3" t="n">
        <v>0.11</v>
      </c>
      <c r="G4219" s="3">
        <f>F4219-E4219</f>
        <v/>
      </c>
      <c r="H4219" s="4">
        <f>IF(E4219=0,"",F4219/E4219-1)</f>
        <v/>
      </c>
      <c r="I4219" t="inlineStr"/>
    </row>
    <row r="4220">
      <c r="A4220" t="inlineStr">
        <is>
          <t>Stone, ceramics &amp; glass</t>
        </is>
      </c>
      <c r="B4220" t="inlineStr">
        <is>
          <t>70</t>
        </is>
      </c>
      <c r="C4220" t="inlineStr">
        <is>
          <t>70189090</t>
        </is>
      </c>
      <c r="D4220" t="inlineStr">
        <is>
          <t>OTHR THN GLS STATUE OF OTHR ARTCLE OF HDG 7018</t>
        </is>
      </c>
      <c r="E4220" s="3" t="n">
        <v>0.02</v>
      </c>
      <c r="F4220" s="3" t="n">
        <v>0.11</v>
      </c>
      <c r="G4220" s="3">
        <f>F4220-E4220</f>
        <v/>
      </c>
      <c r="H4220" s="4">
        <f>IF(E4220=0,"",F4220/E4220-1)</f>
        <v/>
      </c>
      <c r="I4220" t="inlineStr"/>
    </row>
    <row r="4221">
      <c r="A4221" t="inlineStr">
        <is>
          <t>Stone, ceramics &amp; glass</t>
        </is>
      </c>
      <c r="B4221" t="inlineStr">
        <is>
          <t>68</t>
        </is>
      </c>
      <c r="C4221" t="inlineStr">
        <is>
          <t>68118100</t>
        </is>
      </c>
      <c r="D4221" t="inlineStr">
        <is>
          <t>CORRUGATED SHEETS</t>
        </is>
      </c>
      <c r="E4221" s="3" t="n">
        <v>0.11</v>
      </c>
      <c r="F4221" s="3" t="n">
        <v>0.1</v>
      </c>
      <c r="G4221" s="3">
        <f>F4221-E4221</f>
        <v/>
      </c>
      <c r="H4221" s="4">
        <f>IF(E4221=0,"",F4221/E4221-1)</f>
        <v/>
      </c>
      <c r="I4221" t="inlineStr"/>
    </row>
    <row r="4222">
      <c r="A4222" t="inlineStr">
        <is>
          <t>Stone, ceramics &amp; glass</t>
        </is>
      </c>
      <c r="B4222" t="inlineStr">
        <is>
          <t>69</t>
        </is>
      </c>
      <c r="C4222" t="inlineStr">
        <is>
          <t>69010090</t>
        </is>
      </c>
      <c r="D4222" t="inlineStr">
        <is>
          <t>OTHERS-OF-BRICKS,BLOCKS ETC OF SILICEOUS FOSSIL MEAL(KIESELGUHR ETC)/OF SMLR SILICEOUS EARTHS</t>
        </is>
      </c>
      <c r="E4222" s="3" t="n">
        <v>0</v>
      </c>
      <c r="F4222" s="3" t="n">
        <v>0.1</v>
      </c>
      <c r="G4222" s="3">
        <f>F4222-E4222</f>
        <v/>
      </c>
      <c r="H4222" s="4">
        <f>IF(E4222=0,"",F4222/E4222-1)</f>
        <v/>
      </c>
      <c r="I4222" t="inlineStr"/>
    </row>
    <row r="4223">
      <c r="A4223" t="inlineStr">
        <is>
          <t>Stone, ceramics &amp; glass</t>
        </is>
      </c>
      <c r="B4223" t="inlineStr">
        <is>
          <t>70</t>
        </is>
      </c>
      <c r="C4223" t="inlineStr">
        <is>
          <t>70191500</t>
        </is>
      </c>
      <c r="D4223" t="inlineStr">
        <is>
          <t>CHEMICALLY BONDED MATS</t>
        </is>
      </c>
      <c r="E4223" s="3" t="n">
        <v>0</v>
      </c>
      <c r="F4223" s="3" t="n">
        <v>0.1</v>
      </c>
      <c r="G4223" s="3">
        <f>F4223-E4223</f>
        <v/>
      </c>
      <c r="H4223" s="4">
        <f>IF(E4223=0,"",F4223/E4223-1)</f>
        <v/>
      </c>
      <c r="I4223" t="inlineStr"/>
    </row>
    <row r="4224">
      <c r="A4224" t="inlineStr">
        <is>
          <t>Stone, ceramics &amp; glass</t>
        </is>
      </c>
      <c r="B4224" t="inlineStr">
        <is>
          <t>70</t>
        </is>
      </c>
      <c r="C4224" t="inlineStr">
        <is>
          <t>70181020</t>
        </is>
      </c>
      <c r="D4224" t="inlineStr">
        <is>
          <t>BEADS IMTN PRLS IMTN PRCS AND SEMI PRCS STNS</t>
        </is>
      </c>
      <c r="E4224" s="3" t="n">
        <v>0.12</v>
      </c>
      <c r="F4224" s="3" t="n">
        <v>0.09</v>
      </c>
      <c r="G4224" s="3">
        <f>F4224-E4224</f>
        <v/>
      </c>
      <c r="H4224" s="4">
        <f>IF(E4224=0,"",F4224/E4224-1)</f>
        <v/>
      </c>
      <c r="I4224" t="inlineStr"/>
    </row>
    <row r="4225">
      <c r="A4225" t="inlineStr">
        <is>
          <t>Stone, ceramics &amp; glass</t>
        </is>
      </c>
      <c r="B4225" t="inlineStr">
        <is>
          <t>68</t>
        </is>
      </c>
      <c r="C4225" t="inlineStr">
        <is>
          <t>68042390</t>
        </is>
      </c>
      <c r="D4225" t="inlineStr">
        <is>
          <t>OTHERS INCLUDING FINISHIED PARTS</t>
        </is>
      </c>
      <c r="E4225" s="3" t="n">
        <v>0.06</v>
      </c>
      <c r="F4225" s="3" t="n">
        <v>0.08</v>
      </c>
      <c r="G4225" s="3">
        <f>F4225-E4225</f>
        <v/>
      </c>
      <c r="H4225" s="4">
        <f>IF(E4225=0,"",F4225/E4225-1)</f>
        <v/>
      </c>
      <c r="I4225" t="inlineStr"/>
    </row>
    <row r="4226">
      <c r="A4226" t="inlineStr">
        <is>
          <t>Stone, ceramics &amp; glass</t>
        </is>
      </c>
      <c r="B4226" t="inlineStr">
        <is>
          <t>68</t>
        </is>
      </c>
      <c r="C4226" t="inlineStr">
        <is>
          <t>68138900</t>
        </is>
      </c>
      <c r="D4226" t="inlineStr">
        <is>
          <t>OTHERS-OF-OTHERS-OF-FRICTION MATRL AND ARTCLS NT MOUNTD FOR BRAKES ETC WTH A BASIS OF ASBSTS/ CELLULOSEETC W/N CMBND WTH TXTL/</t>
        </is>
      </c>
      <c r="E4226" s="3" t="n">
        <v>0.66</v>
      </c>
      <c r="F4226" s="3" t="n">
        <v>0.08</v>
      </c>
      <c r="G4226" s="3">
        <f>F4226-E4226</f>
        <v/>
      </c>
      <c r="H4226" s="4">
        <f>IF(E4226=0,"",F4226/E4226-1)</f>
        <v/>
      </c>
      <c r="I4226" t="inlineStr"/>
    </row>
    <row r="4227">
      <c r="A4227" t="inlineStr">
        <is>
          <t>Stone, ceramics &amp; glass</t>
        </is>
      </c>
      <c r="B4227" t="inlineStr">
        <is>
          <t>69</t>
        </is>
      </c>
      <c r="C4227" t="inlineStr">
        <is>
          <t>69099000</t>
        </is>
      </c>
      <c r="D4227" t="inlineStr">
        <is>
          <t>CEREMIC TROUGHS,TUBS;POTS JARS AND THE LIKE</t>
        </is>
      </c>
      <c r="E4227" s="3" t="n">
        <v>0.46</v>
      </c>
      <c r="F4227" s="3" t="n">
        <v>0.08</v>
      </c>
      <c r="G4227" s="3">
        <f>F4227-E4227</f>
        <v/>
      </c>
      <c r="H4227" s="4">
        <f>IF(E4227=0,"",F4227/E4227-1)</f>
        <v/>
      </c>
      <c r="I4227" t="inlineStr"/>
    </row>
    <row r="4228">
      <c r="A4228" t="inlineStr">
        <is>
          <t>Stone, ceramics &amp; glass</t>
        </is>
      </c>
      <c r="B4228" t="inlineStr">
        <is>
          <t>70</t>
        </is>
      </c>
      <c r="C4228" t="inlineStr">
        <is>
          <t>70091090</t>
        </is>
      </c>
      <c r="D4228" t="inlineStr">
        <is>
          <t>OTHR REAR VEW MIROR FOR VEHCLE</t>
        </is>
      </c>
      <c r="E4228" s="3" t="n">
        <v>0.02</v>
      </c>
      <c r="F4228" s="3" t="n">
        <v>0.08</v>
      </c>
      <c r="G4228" s="3">
        <f>F4228-E4228</f>
        <v/>
      </c>
      <c r="H4228" s="4">
        <f>IF(E4228=0,"",F4228/E4228-1)</f>
        <v/>
      </c>
      <c r="I4228" t="inlineStr"/>
    </row>
    <row r="4229">
      <c r="A4229" t="inlineStr">
        <is>
          <t>Stone, ceramics &amp; glass</t>
        </is>
      </c>
      <c r="B4229" t="inlineStr">
        <is>
          <t>68</t>
        </is>
      </c>
      <c r="C4229" t="inlineStr">
        <is>
          <t>68062000</t>
        </is>
      </c>
      <c r="D4229" t="inlineStr">
        <is>
          <t>EXFOLTD VERMCULT EXPND CLAYS FOAMD SLAG AND SMLR EXPND MNRL MATRLS(INCL INTERMXTRS)</t>
        </is>
      </c>
      <c r="E4229" s="3" t="n">
        <v>0.82</v>
      </c>
      <c r="F4229" s="3" t="n">
        <v>0.07000000000000001</v>
      </c>
      <c r="G4229" s="3">
        <f>F4229-E4229</f>
        <v/>
      </c>
      <c r="H4229" s="4">
        <f>IF(E4229=0,"",F4229/E4229-1)</f>
        <v/>
      </c>
      <c r="I4229" t="inlineStr"/>
    </row>
    <row r="4230">
      <c r="A4230" t="inlineStr">
        <is>
          <t>Stone, ceramics &amp; glass</t>
        </is>
      </c>
      <c r="B4230" t="inlineStr">
        <is>
          <t>69</t>
        </is>
      </c>
      <c r="C4230" t="inlineStr">
        <is>
          <t>69022050</t>
        </is>
      </c>
      <c r="D4230" t="inlineStr">
        <is>
          <t>MULLITE BRICKS</t>
        </is>
      </c>
      <c r="E4230" s="3" t="n">
        <v>0</v>
      </c>
      <c r="F4230" s="3" t="n">
        <v>0.07000000000000001</v>
      </c>
      <c r="G4230" s="3">
        <f>F4230-E4230</f>
        <v/>
      </c>
      <c r="H4230" s="4">
        <f>IF(E4230=0,"",F4230/E4230-1)</f>
        <v/>
      </c>
      <c r="I4230" t="inlineStr"/>
    </row>
    <row r="4231">
      <c r="A4231" t="inlineStr">
        <is>
          <t>Stone, ceramics &amp; glass</t>
        </is>
      </c>
      <c r="B4231" t="inlineStr">
        <is>
          <t>69</t>
        </is>
      </c>
      <c r="C4231" t="inlineStr">
        <is>
          <t>69051000</t>
        </is>
      </c>
      <c r="D4231" t="inlineStr">
        <is>
          <t>ROOFING TILES</t>
        </is>
      </c>
      <c r="E4231" s="3" t="n">
        <v>0.05</v>
      </c>
      <c r="F4231" s="3" t="n">
        <v>0.07000000000000001</v>
      </c>
      <c r="G4231" s="3">
        <f>F4231-E4231</f>
        <v/>
      </c>
      <c r="H4231" s="4">
        <f>IF(E4231=0,"",F4231/E4231-1)</f>
        <v/>
      </c>
      <c r="I4231" t="inlineStr"/>
    </row>
    <row r="4232">
      <c r="A4232" t="inlineStr">
        <is>
          <t>Stone, ceramics &amp; glass</t>
        </is>
      </c>
      <c r="B4232" t="inlineStr">
        <is>
          <t>69</t>
        </is>
      </c>
      <c r="C4232" t="inlineStr">
        <is>
          <t>69120090</t>
        </is>
      </c>
      <c r="D4232" t="inlineStr">
        <is>
          <t>OTHERS-OF-CERMC TABLEWARE,KITCHENWARE,OTHR HOUSEHOLDARTCLS ETC OTHR THAN OF PORCELIAN OR CHINA</t>
        </is>
      </c>
      <c r="E4232" s="3" t="n">
        <v>0.04</v>
      </c>
      <c r="F4232" s="3" t="n">
        <v>0.07000000000000001</v>
      </c>
      <c r="G4232" s="3">
        <f>F4232-E4232</f>
        <v/>
      </c>
      <c r="H4232" s="4">
        <f>IF(E4232=0,"",F4232/E4232-1)</f>
        <v/>
      </c>
      <c r="I4232" t="inlineStr"/>
    </row>
    <row r="4233">
      <c r="A4233" t="inlineStr">
        <is>
          <t>Stone, ceramics &amp; glass</t>
        </is>
      </c>
      <c r="B4233" t="inlineStr">
        <is>
          <t>68</t>
        </is>
      </c>
      <c r="C4233" t="inlineStr">
        <is>
          <t>68041000</t>
        </is>
      </c>
      <c r="D4233" t="inlineStr">
        <is>
          <t>MLSTNS AND GRNDSTNS FR MLNG,GRNDNG/PULPNG</t>
        </is>
      </c>
      <c r="E4233" s="3" t="n">
        <v>0</v>
      </c>
      <c r="F4233" s="3" t="n">
        <v>0.06</v>
      </c>
      <c r="G4233" s="3">
        <f>F4233-E4233</f>
        <v/>
      </c>
      <c r="H4233" s="4">
        <f>IF(E4233=0,"",F4233/E4233-1)</f>
        <v/>
      </c>
      <c r="I4233" t="inlineStr"/>
    </row>
    <row r="4234">
      <c r="A4234" t="inlineStr">
        <is>
          <t>Stone, ceramics &amp; glass</t>
        </is>
      </c>
      <c r="B4234" t="inlineStr">
        <is>
          <t>68</t>
        </is>
      </c>
      <c r="C4234" t="inlineStr">
        <is>
          <t>68129922</t>
        </is>
      </c>
      <c r="D4234" t="inlineStr">
        <is>
          <t>ASBESTOS GASKETS</t>
        </is>
      </c>
      <c r="E4234" s="3" t="n">
        <v>0.04</v>
      </c>
      <c r="F4234" s="3" t="n">
        <v>0.06</v>
      </c>
      <c r="G4234" s="3">
        <f>F4234-E4234</f>
        <v/>
      </c>
      <c r="H4234" s="4">
        <f>IF(E4234=0,"",F4234/E4234-1)</f>
        <v/>
      </c>
      <c r="I4234" t="inlineStr"/>
    </row>
    <row r="4235">
      <c r="A4235" t="inlineStr">
        <is>
          <t>Stone, ceramics &amp; glass</t>
        </is>
      </c>
      <c r="B4235" t="inlineStr">
        <is>
          <t>68</t>
        </is>
      </c>
      <c r="C4235" t="inlineStr">
        <is>
          <t>68022110</t>
        </is>
      </c>
      <c r="D4235" t="inlineStr">
        <is>
          <t>MARBLE BLOCKS/TILES,POLISHED</t>
        </is>
      </c>
      <c r="E4235" s="3" t="n">
        <v>0.14</v>
      </c>
      <c r="F4235" s="3" t="n">
        <v>0.05</v>
      </c>
      <c r="G4235" s="3">
        <f>F4235-E4235</f>
        <v/>
      </c>
      <c r="H4235" s="4">
        <f>IF(E4235=0,"",F4235/E4235-1)</f>
        <v/>
      </c>
      <c r="I4235" t="inlineStr"/>
    </row>
    <row r="4236">
      <c r="A4236" t="inlineStr">
        <is>
          <t>Stone, ceramics &amp; glass</t>
        </is>
      </c>
      <c r="B4236" t="inlineStr">
        <is>
          <t>68</t>
        </is>
      </c>
      <c r="C4236" t="inlineStr">
        <is>
          <t>68042310</t>
        </is>
      </c>
      <c r="D4236" t="inlineStr">
        <is>
          <t>GRINDING WHEELS MADE OF NATURAL STONE</t>
        </is>
      </c>
      <c r="E4236" s="3" t="n">
        <v>0.02</v>
      </c>
      <c r="F4236" s="3" t="n">
        <v>0.05</v>
      </c>
      <c r="G4236" s="3">
        <f>F4236-E4236</f>
        <v/>
      </c>
      <c r="H4236" s="4">
        <f>IF(E4236=0,"",F4236/E4236-1)</f>
        <v/>
      </c>
      <c r="I4236" t="inlineStr"/>
    </row>
    <row r="4237">
      <c r="A4237" t="inlineStr">
        <is>
          <t>Stone, ceramics &amp; glass</t>
        </is>
      </c>
      <c r="B4237" t="inlineStr">
        <is>
          <t>68</t>
        </is>
      </c>
      <c r="C4237" t="inlineStr">
        <is>
          <t>68132010</t>
        </is>
      </c>
      <c r="D4237" t="inlineStr">
        <is>
          <t>BRAKE LINING AND PADS</t>
        </is>
      </c>
      <c r="E4237" s="3" t="n">
        <v>0.04</v>
      </c>
      <c r="F4237" s="3" t="n">
        <v>0.05</v>
      </c>
      <c r="G4237" s="3">
        <f>F4237-E4237</f>
        <v/>
      </c>
      <c r="H4237" s="4">
        <f>IF(E4237=0,"",F4237/E4237-1)</f>
        <v/>
      </c>
      <c r="I4237" t="inlineStr"/>
    </row>
    <row r="4238">
      <c r="A4238" t="inlineStr">
        <is>
          <t>Stone, ceramics &amp; glass</t>
        </is>
      </c>
      <c r="B4238" t="inlineStr">
        <is>
          <t>69</t>
        </is>
      </c>
      <c r="C4238" t="inlineStr">
        <is>
          <t>69091100</t>
        </is>
      </c>
      <c r="D4238" t="inlineStr">
        <is>
          <t>CERMC WARES FR LABRTRY ETC OF PORCELAIN</t>
        </is>
      </c>
      <c r="E4238" s="3" t="n">
        <v>0</v>
      </c>
      <c r="F4238" s="3" t="n">
        <v>0.05</v>
      </c>
      <c r="G4238" s="3">
        <f>F4238-E4238</f>
        <v/>
      </c>
      <c r="H4238" s="4">
        <f>IF(E4238=0,"",F4238/E4238-1)</f>
        <v/>
      </c>
      <c r="I4238" t="inlineStr"/>
    </row>
    <row r="4239">
      <c r="A4239" t="inlineStr">
        <is>
          <t>Stone, ceramics &amp; glass</t>
        </is>
      </c>
      <c r="B4239" t="inlineStr">
        <is>
          <t>70</t>
        </is>
      </c>
      <c r="C4239" t="inlineStr">
        <is>
          <t>70049099</t>
        </is>
      </c>
      <c r="D4239" t="inlineStr">
        <is>
          <t>OTHR WND GLS OTHR THN OTHR DRN AND BLN GLS</t>
        </is>
      </c>
      <c r="E4239" s="3" t="n">
        <v>0</v>
      </c>
      <c r="F4239" s="3" t="n">
        <v>0.05</v>
      </c>
      <c r="G4239" s="3">
        <f>F4239-E4239</f>
        <v/>
      </c>
      <c r="H4239" s="4">
        <f>IF(E4239=0,"",F4239/E4239-1)</f>
        <v/>
      </c>
      <c r="I4239" t="inlineStr"/>
    </row>
    <row r="4240">
      <c r="A4240" t="inlineStr">
        <is>
          <t>Stone, ceramics &amp; glass</t>
        </is>
      </c>
      <c r="B4240" t="inlineStr">
        <is>
          <t>70</t>
        </is>
      </c>
      <c r="C4240" t="inlineStr">
        <is>
          <t>70072190</t>
        </is>
      </c>
      <c r="D4240" t="inlineStr">
        <is>
          <t>OTHERS-OF-LMNTD SAFTY GLSS OF SZE AND SHP SUITBL FR INCRPRTN ON VHCLS ARCRFT SPCECRFT/VSSLS</t>
        </is>
      </c>
      <c r="E4240" s="3" t="n">
        <v>0</v>
      </c>
      <c r="F4240" s="3" t="n">
        <v>0.05</v>
      </c>
      <c r="G4240" s="3">
        <f>F4240-E4240</f>
        <v/>
      </c>
      <c r="H4240" s="4">
        <f>IF(E4240=0,"",F4240/E4240-1)</f>
        <v/>
      </c>
      <c r="I4240" t="inlineStr"/>
    </row>
    <row r="4241">
      <c r="A4241" t="inlineStr">
        <is>
          <t>Stone, ceramics &amp; glass</t>
        </is>
      </c>
      <c r="B4241" t="inlineStr">
        <is>
          <t>68</t>
        </is>
      </c>
      <c r="C4241" t="inlineStr">
        <is>
          <t>68052040</t>
        </is>
      </c>
      <c r="D4241" t="inlineStr">
        <is>
          <t>OTHER ABRASIVE PAPER</t>
        </is>
      </c>
      <c r="E4241" s="3" t="n">
        <v>0.3</v>
      </c>
      <c r="F4241" s="3" t="n">
        <v>0.04</v>
      </c>
      <c r="G4241" s="3">
        <f>F4241-E4241</f>
        <v/>
      </c>
      <c r="H4241" s="4">
        <f>IF(E4241=0,"",F4241/E4241-1)</f>
        <v/>
      </c>
      <c r="I4241" t="inlineStr"/>
    </row>
    <row r="4242">
      <c r="A4242" t="inlineStr">
        <is>
          <t>Stone, ceramics &amp; glass</t>
        </is>
      </c>
      <c r="B4242" t="inlineStr">
        <is>
          <t>68</t>
        </is>
      </c>
      <c r="C4242" t="inlineStr">
        <is>
          <t>68052090</t>
        </is>
      </c>
      <c r="D4242" t="inlineStr">
        <is>
          <t>OTHR</t>
        </is>
      </c>
      <c r="E4242" s="3" t="n">
        <v>0.16</v>
      </c>
      <c r="F4242" s="3" t="n">
        <v>0.04</v>
      </c>
      <c r="G4242" s="3">
        <f>F4242-E4242</f>
        <v/>
      </c>
      <c r="H4242" s="4">
        <f>IF(E4242=0,"",F4242/E4242-1)</f>
        <v/>
      </c>
      <c r="I4242" t="inlineStr"/>
    </row>
    <row r="4243">
      <c r="A4243" t="inlineStr">
        <is>
          <t>Stone, ceramics &amp; glass</t>
        </is>
      </c>
      <c r="B4243" t="inlineStr">
        <is>
          <t>68</t>
        </is>
      </c>
      <c r="C4243" t="inlineStr">
        <is>
          <t>68129990</t>
        </is>
      </c>
      <c r="D4243" t="inlineStr">
        <is>
          <t>OTHERS-OF-OTHERS-OF-FBRCTD ASBSTS FBRS,ASBSTS AND MG-CARBONATEBASED MXTRS/ARTCLS OF THESE MXTRS,W/N REINFRCD,EXCL GOODS OF 681</t>
        </is>
      </c>
      <c r="E4243" s="3" t="n">
        <v>0.1</v>
      </c>
      <c r="F4243" s="3" t="n">
        <v>0.04</v>
      </c>
      <c r="G4243" s="3">
        <f>F4243-E4243</f>
        <v/>
      </c>
      <c r="H4243" s="4">
        <f>IF(E4243=0,"",F4243/E4243-1)</f>
        <v/>
      </c>
      <c r="I4243" t="inlineStr"/>
    </row>
    <row r="4244">
      <c r="A4244" t="inlineStr">
        <is>
          <t>Stone, ceramics &amp; glass</t>
        </is>
      </c>
      <c r="B4244" t="inlineStr">
        <is>
          <t>70</t>
        </is>
      </c>
      <c r="C4244" t="inlineStr">
        <is>
          <t>70052910</t>
        </is>
      </c>
      <c r="D4244" t="inlineStr">
        <is>
          <t>TNTD OTHR N-WIRED FLOAT AND SRFC GRND/PLSHD</t>
        </is>
      </c>
      <c r="E4244" s="3" t="n">
        <v>0</v>
      </c>
      <c r="F4244" s="3" t="n">
        <v>0.04</v>
      </c>
      <c r="G4244" s="3">
        <f>F4244-E4244</f>
        <v/>
      </c>
      <c r="H4244" s="4">
        <f>IF(E4244=0,"",F4244/E4244-1)</f>
        <v/>
      </c>
      <c r="I4244" t="inlineStr"/>
    </row>
    <row r="4245">
      <c r="A4245" t="inlineStr">
        <is>
          <t>Stone, ceramics &amp; glass</t>
        </is>
      </c>
      <c r="B4245" t="inlineStr">
        <is>
          <t>70</t>
        </is>
      </c>
      <c r="C4245" t="inlineStr">
        <is>
          <t>70132200</t>
        </is>
      </c>
      <c r="D4245" t="inlineStr">
        <is>
          <t>OF LEAD CRYSTAL</t>
        </is>
      </c>
      <c r="E4245" s="3" t="n">
        <v>0</v>
      </c>
      <c r="F4245" s="3" t="n">
        <v>0.04</v>
      </c>
      <c r="G4245" s="3">
        <f>F4245-E4245</f>
        <v/>
      </c>
      <c r="H4245" s="4">
        <f>IF(E4245=0,"",F4245/E4245-1)</f>
        <v/>
      </c>
      <c r="I4245" t="inlineStr"/>
    </row>
    <row r="4246">
      <c r="A4246" t="inlineStr">
        <is>
          <t>Stone, ceramics &amp; glass</t>
        </is>
      </c>
      <c r="B4246" t="inlineStr">
        <is>
          <t>70</t>
        </is>
      </c>
      <c r="C4246" t="inlineStr">
        <is>
          <t>70196400</t>
        </is>
      </c>
      <c r="D4246" t="inlineStr">
        <is>
          <t>CLOSED WOVEN FABRICS,PLAIN WEAVE,OF YARNS , COATED OR LAMINATED</t>
        </is>
      </c>
      <c r="E4246" s="3" t="n">
        <v>0.01</v>
      </c>
      <c r="F4246" s="3" t="n">
        <v>0.04</v>
      </c>
      <c r="G4246" s="3">
        <f>F4246-E4246</f>
        <v/>
      </c>
      <c r="H4246" s="4">
        <f>IF(E4246=0,"",F4246/E4246-1)</f>
        <v/>
      </c>
      <c r="I4246" t="inlineStr"/>
    </row>
    <row r="4247">
      <c r="A4247" t="inlineStr">
        <is>
          <t>Stone, ceramics &amp; glass</t>
        </is>
      </c>
      <c r="B4247" t="inlineStr">
        <is>
          <t>68</t>
        </is>
      </c>
      <c r="C4247" t="inlineStr">
        <is>
          <t>68129919</t>
        </is>
      </c>
      <c r="D4247" t="inlineStr">
        <is>
          <t>OTHER LAGGING</t>
        </is>
      </c>
      <c r="E4247" s="3" t="n">
        <v>0</v>
      </c>
      <c r="F4247" s="3" t="n">
        <v>0.03</v>
      </c>
      <c r="G4247" s="3">
        <f>F4247-E4247</f>
        <v/>
      </c>
      <c r="H4247" s="4">
        <f>IF(E4247=0,"",F4247/E4247-1)</f>
        <v/>
      </c>
      <c r="I4247" t="inlineStr"/>
    </row>
    <row r="4248">
      <c r="A4248" t="inlineStr">
        <is>
          <t>Stone, ceramics &amp; glass</t>
        </is>
      </c>
      <c r="B4248" t="inlineStr">
        <is>
          <t>68</t>
        </is>
      </c>
      <c r="C4248" t="inlineStr">
        <is>
          <t>68149010</t>
        </is>
      </c>
      <c r="D4248" t="inlineStr">
        <is>
          <t>MICA STACKED UNITS</t>
        </is>
      </c>
      <c r="E4248" s="3" t="n">
        <v>0</v>
      </c>
      <c r="F4248" s="3" t="n">
        <v>0.03</v>
      </c>
      <c r="G4248" s="3">
        <f>F4248-E4248</f>
        <v/>
      </c>
      <c r="H4248" s="4">
        <f>IF(E4248=0,"",F4248/E4248-1)</f>
        <v/>
      </c>
      <c r="I4248" t="inlineStr"/>
    </row>
    <row r="4249">
      <c r="A4249" t="inlineStr">
        <is>
          <t>Stone, ceramics &amp; glass</t>
        </is>
      </c>
      <c r="B4249" t="inlineStr">
        <is>
          <t>69</t>
        </is>
      </c>
      <c r="C4249" t="inlineStr">
        <is>
          <t>69091990</t>
        </is>
      </c>
      <c r="D4249" t="inlineStr">
        <is>
          <t>OTHERS-OF-OTHR CERMC WARES FR LABRTRY ETC</t>
        </is>
      </c>
      <c r="E4249" s="3" t="n">
        <v>0.05</v>
      </c>
      <c r="F4249" s="3" t="n">
        <v>0.03</v>
      </c>
      <c r="G4249" s="3">
        <f>F4249-E4249</f>
        <v/>
      </c>
      <c r="H4249" s="4">
        <f>IF(E4249=0,"",F4249/E4249-1)</f>
        <v/>
      </c>
      <c r="I4249" t="inlineStr"/>
    </row>
    <row r="4250">
      <c r="A4250" t="inlineStr">
        <is>
          <t>Stone, ceramics &amp; glass</t>
        </is>
      </c>
      <c r="B4250" t="inlineStr">
        <is>
          <t>69</t>
        </is>
      </c>
      <c r="C4250" t="inlineStr">
        <is>
          <t>69111029</t>
        </is>
      </c>
      <c r="D4250" t="inlineStr">
        <is>
          <t>KTCHNWARE OF OTHR THN BON CHNA AND SFT PRCLN</t>
        </is>
      </c>
      <c r="E4250" s="3" t="n">
        <v>0.06</v>
      </c>
      <c r="F4250" s="3" t="n">
        <v>0.03</v>
      </c>
      <c r="G4250" s="3">
        <f>F4250-E4250</f>
        <v/>
      </c>
      <c r="H4250" s="4">
        <f>IF(E4250=0,"",F4250/E4250-1)</f>
        <v/>
      </c>
      <c r="I4250" t="inlineStr"/>
    </row>
    <row r="4251">
      <c r="A4251" t="inlineStr">
        <is>
          <t>Stone, ceramics &amp; glass</t>
        </is>
      </c>
      <c r="B4251" t="inlineStr">
        <is>
          <t>70</t>
        </is>
      </c>
      <c r="C4251" t="inlineStr">
        <is>
          <t>70071100</t>
        </is>
      </c>
      <c r="D4251" t="inlineStr">
        <is>
          <t>TOUGHENED(TEMPERED)SAFETY GLASS OF SIZE AND SHAPE SUITABLE FOR INCORPORATION IN VEHICLES AIRCRAFT,SPACECRAFT OR VESS</t>
        </is>
      </c>
      <c r="E4251" s="3" t="n">
        <v>0.01</v>
      </c>
      <c r="F4251" s="3" t="n">
        <v>0.03</v>
      </c>
      <c r="G4251" s="3">
        <f>F4251-E4251</f>
        <v/>
      </c>
      <c r="H4251" s="4">
        <f>IF(E4251=0,"",F4251/E4251-1)</f>
        <v/>
      </c>
      <c r="I4251" t="inlineStr"/>
    </row>
    <row r="4252">
      <c r="A4252" t="inlineStr">
        <is>
          <t>Stone, ceramics &amp; glass</t>
        </is>
      </c>
      <c r="B4252" t="inlineStr">
        <is>
          <t>70</t>
        </is>
      </c>
      <c r="C4252" t="inlineStr">
        <is>
          <t>70072900</t>
        </is>
      </c>
      <c r="D4252" t="inlineStr">
        <is>
          <t>OTHER LAMINATED SAFETY GLASS</t>
        </is>
      </c>
      <c r="E4252" s="3" t="n">
        <v>0.14</v>
      </c>
      <c r="F4252" s="3" t="n">
        <v>0.03</v>
      </c>
      <c r="G4252" s="3">
        <f>F4252-E4252</f>
        <v/>
      </c>
      <c r="H4252" s="4">
        <f>IF(E4252=0,"",F4252/E4252-1)</f>
        <v/>
      </c>
      <c r="I4252" t="inlineStr"/>
    </row>
    <row r="4253">
      <c r="A4253" t="inlineStr">
        <is>
          <t>Stone, ceramics &amp; glass</t>
        </is>
      </c>
      <c r="B4253" t="inlineStr">
        <is>
          <t>70</t>
        </is>
      </c>
      <c r="C4253" t="inlineStr">
        <is>
          <t>70091010</t>
        </is>
      </c>
      <c r="D4253" t="inlineStr">
        <is>
          <t>PRSMTIC REAR VEW MIROR FOR VEHICLE</t>
        </is>
      </c>
      <c r="E4253" s="3" t="n">
        <v>0</v>
      </c>
      <c r="F4253" s="3" t="n">
        <v>0.03</v>
      </c>
      <c r="G4253" s="3">
        <f>F4253-E4253</f>
        <v/>
      </c>
      <c r="H4253" s="4">
        <f>IF(E4253=0,"",F4253/E4253-1)</f>
        <v/>
      </c>
      <c r="I4253" t="inlineStr"/>
    </row>
    <row r="4254">
      <c r="A4254" t="inlineStr">
        <is>
          <t>Stone, ceramics &amp; glass</t>
        </is>
      </c>
      <c r="B4254" t="inlineStr">
        <is>
          <t>70</t>
        </is>
      </c>
      <c r="C4254" t="inlineStr">
        <is>
          <t>70101000</t>
        </is>
      </c>
      <c r="D4254" t="inlineStr">
        <is>
          <t>AMPOULES</t>
        </is>
      </c>
      <c r="E4254" s="3" t="n">
        <v>0</v>
      </c>
      <c r="F4254" s="3" t="n">
        <v>0.03</v>
      </c>
      <c r="G4254" s="3">
        <f>F4254-E4254</f>
        <v/>
      </c>
      <c r="H4254" s="4">
        <f>IF(E4254=0,"",F4254/E4254-1)</f>
        <v/>
      </c>
      <c r="I4254" t="inlineStr"/>
    </row>
    <row r="4255">
      <c r="A4255" t="inlineStr">
        <is>
          <t>Stone, ceramics &amp; glass</t>
        </is>
      </c>
      <c r="B4255" t="inlineStr">
        <is>
          <t>70</t>
        </is>
      </c>
      <c r="C4255" t="inlineStr">
        <is>
          <t>70172000</t>
        </is>
      </c>
      <c r="D4255" t="inlineStr">
        <is>
          <t>LBRTRY HYGNC/PHRMCTCL GLSSWARE OF OTHR GLSS HVNG A LNR COEFCNT OF EXPNSN NT EXDNG5X10 -6/KLVN WTHN TMP BTWN 0 7</t>
        </is>
      </c>
      <c r="E4255" s="3" t="n">
        <v>0.11</v>
      </c>
      <c r="F4255" s="3" t="n">
        <v>0.03</v>
      </c>
      <c r="G4255" s="3">
        <f>F4255-E4255</f>
        <v/>
      </c>
      <c r="H4255" s="4">
        <f>IF(E4255=0,"",F4255/E4255-1)</f>
        <v/>
      </c>
      <c r="I4255" t="inlineStr"/>
    </row>
    <row r="4256">
      <c r="A4256" t="inlineStr">
        <is>
          <t>Stone, ceramics &amp; glass</t>
        </is>
      </c>
      <c r="B4256" t="inlineStr">
        <is>
          <t>68</t>
        </is>
      </c>
      <c r="C4256" t="inlineStr">
        <is>
          <t>68042110</t>
        </is>
      </c>
      <c r="D4256" t="inlineStr">
        <is>
          <t>DIAMOND IMPREGNATED WHEELS</t>
        </is>
      </c>
      <c r="E4256" s="3" t="n">
        <v>0.15</v>
      </c>
      <c r="F4256" s="3" t="n">
        <v>0.02</v>
      </c>
      <c r="G4256" s="3">
        <f>F4256-E4256</f>
        <v/>
      </c>
      <c r="H4256" s="4">
        <f>IF(E4256=0,"",F4256/E4256-1)</f>
        <v/>
      </c>
      <c r="I4256" t="inlineStr"/>
    </row>
    <row r="4257">
      <c r="A4257" t="inlineStr">
        <is>
          <t>Stone, ceramics &amp; glass</t>
        </is>
      </c>
      <c r="B4257" t="inlineStr">
        <is>
          <t>68</t>
        </is>
      </c>
      <c r="C4257" t="inlineStr">
        <is>
          <t>68042220</t>
        </is>
      </c>
      <c r="D4257" t="inlineStr">
        <is>
          <t>GRINDING WHEELS PAPER ETC</t>
        </is>
      </c>
      <c r="E4257" s="3" t="n">
        <v>0</v>
      </c>
      <c r="F4257" s="3" t="n">
        <v>0.02</v>
      </c>
      <c r="G4257" s="3">
        <f>F4257-E4257</f>
        <v/>
      </c>
      <c r="H4257" s="4">
        <f>IF(E4257=0,"",F4257/E4257-1)</f>
        <v/>
      </c>
      <c r="I4257" t="inlineStr"/>
    </row>
    <row r="4258">
      <c r="A4258" t="inlineStr">
        <is>
          <t>Stone, ceramics &amp; glass</t>
        </is>
      </c>
      <c r="B4258" t="inlineStr">
        <is>
          <t>68</t>
        </is>
      </c>
      <c r="C4258" t="inlineStr">
        <is>
          <t>68129911</t>
        </is>
      </c>
      <c r="D4258" t="inlineStr">
        <is>
          <t>ASBESTOS LAGGING COMPOUNDS</t>
        </is>
      </c>
      <c r="E4258" s="3" t="n">
        <v>0</v>
      </c>
      <c r="F4258" s="3" t="n">
        <v>0.02</v>
      </c>
      <c r="G4258" s="3">
        <f>F4258-E4258</f>
        <v/>
      </c>
      <c r="H4258" s="4">
        <f>IF(E4258=0,"",F4258/E4258-1)</f>
        <v/>
      </c>
      <c r="I4258" t="inlineStr"/>
    </row>
    <row r="4259">
      <c r="A4259" t="inlineStr">
        <is>
          <t>Stone, ceramics &amp; glass</t>
        </is>
      </c>
      <c r="B4259" t="inlineStr">
        <is>
          <t>69</t>
        </is>
      </c>
      <c r="C4259" t="inlineStr">
        <is>
          <t>69021020</t>
        </is>
      </c>
      <c r="D4259" t="inlineStr">
        <is>
          <t>CHROME MAGNESITE BRICKS AND SHAPES</t>
        </is>
      </c>
      <c r="E4259" s="3" t="n">
        <v>0.02</v>
      </c>
      <c r="F4259" s="3" t="n">
        <v>0.02</v>
      </c>
      <c r="G4259" s="3">
        <f>F4259-E4259</f>
        <v/>
      </c>
      <c r="H4259" s="4">
        <f>IF(E4259=0,"",F4259/E4259-1)</f>
        <v/>
      </c>
      <c r="I4259" t="inlineStr"/>
    </row>
    <row r="4260">
      <c r="A4260" t="inlineStr">
        <is>
          <t>Stone, ceramics &amp; glass</t>
        </is>
      </c>
      <c r="B4260" t="inlineStr">
        <is>
          <t>70</t>
        </is>
      </c>
      <c r="C4260" t="inlineStr">
        <is>
          <t>70191100</t>
        </is>
      </c>
      <c r="D4260" t="inlineStr">
        <is>
          <t>CHOPPED STRANDS , OF A LENGTH &lt;=50 MM</t>
        </is>
      </c>
      <c r="E4260" s="3" t="n">
        <v>0</v>
      </c>
      <c r="F4260" s="3" t="n">
        <v>0.02</v>
      </c>
      <c r="G4260" s="3">
        <f>F4260-E4260</f>
        <v/>
      </c>
      <c r="H4260" s="4">
        <f>IF(E4260=0,"",F4260/E4260-1)</f>
        <v/>
      </c>
      <c r="I4260" t="inlineStr"/>
    </row>
    <row r="4261">
      <c r="A4261" t="inlineStr">
        <is>
          <t>Stone, ceramics &amp; glass</t>
        </is>
      </c>
      <c r="B4261" t="inlineStr">
        <is>
          <t>68</t>
        </is>
      </c>
      <c r="C4261" t="inlineStr">
        <is>
          <t>68022900</t>
        </is>
      </c>
      <c r="D4261" t="inlineStr">
        <is>
          <t>OTR SMPLY CUT/SWN STNE WTH A FLT EVN SRFCE</t>
        </is>
      </c>
      <c r="E4261" s="3" t="n">
        <v>0</v>
      </c>
      <c r="F4261" s="3" t="n">
        <v>0.01</v>
      </c>
      <c r="G4261" s="3">
        <f>F4261-E4261</f>
        <v/>
      </c>
      <c r="H4261" s="4">
        <f>IF(E4261=0,"",F4261/E4261-1)</f>
        <v/>
      </c>
      <c r="I4261" t="inlineStr"/>
    </row>
    <row r="4262">
      <c r="A4262" t="inlineStr">
        <is>
          <t>Stone, ceramics &amp; glass</t>
        </is>
      </c>
      <c r="B4262" t="inlineStr">
        <is>
          <t>68</t>
        </is>
      </c>
      <c r="C4262" t="inlineStr">
        <is>
          <t>68051090</t>
        </is>
      </c>
      <c r="D4262" t="inlineStr">
        <is>
          <t>OTHERS-OF-NATURAL OR ARTIFICIAL ABRASIVE POWDER ORGRAIN ON A BASE OF WOVN TXTILE FABRIC ONLY</t>
        </is>
      </c>
      <c r="E4262" s="3" t="n">
        <v>0.05</v>
      </c>
      <c r="F4262" s="3" t="n">
        <v>0.01</v>
      </c>
      <c r="G4262" s="3">
        <f>F4262-E4262</f>
        <v/>
      </c>
      <c r="H4262" s="4">
        <f>IF(E4262=0,"",F4262/E4262-1)</f>
        <v/>
      </c>
      <c r="I4262" t="inlineStr"/>
    </row>
    <row r="4263">
      <c r="A4263" t="inlineStr">
        <is>
          <t>Stone, ceramics &amp; glass</t>
        </is>
      </c>
      <c r="B4263" t="inlineStr">
        <is>
          <t>68</t>
        </is>
      </c>
      <c r="C4263" t="inlineStr">
        <is>
          <t>68129921</t>
        </is>
      </c>
      <c r="D4263" t="inlineStr">
        <is>
          <t>ASBESTOS PACKING JOINTS</t>
        </is>
      </c>
      <c r="E4263" s="3" t="n">
        <v>0</v>
      </c>
      <c r="F4263" s="3" t="n">
        <v>0.01</v>
      </c>
      <c r="G4263" s="3">
        <f>F4263-E4263</f>
        <v/>
      </c>
      <c r="H4263" s="4">
        <f>IF(E4263=0,"",F4263/E4263-1)</f>
        <v/>
      </c>
      <c r="I4263" t="inlineStr"/>
    </row>
    <row r="4264">
      <c r="A4264" t="inlineStr">
        <is>
          <t>Stone, ceramics &amp; glass</t>
        </is>
      </c>
      <c r="B4264" t="inlineStr">
        <is>
          <t>68</t>
        </is>
      </c>
      <c r="C4264" t="inlineStr">
        <is>
          <t>68141020</t>
        </is>
      </c>
      <c r="D4264" t="inlineStr">
        <is>
          <t>SHEETS AND STRIPS CUT TO SHAPE</t>
        </is>
      </c>
      <c r="E4264" s="3" t="n">
        <v>0</v>
      </c>
      <c r="F4264" s="3" t="n">
        <v>0.01</v>
      </c>
      <c r="G4264" s="3">
        <f>F4264-E4264</f>
        <v/>
      </c>
      <c r="H4264" s="4">
        <f>IF(E4264=0,"",F4264/E4264-1)</f>
        <v/>
      </c>
      <c r="I4264" t="inlineStr"/>
    </row>
    <row r="4265">
      <c r="A4265" t="inlineStr">
        <is>
          <t>Stone, ceramics &amp; glass</t>
        </is>
      </c>
      <c r="B4265" t="inlineStr">
        <is>
          <t>68</t>
        </is>
      </c>
      <c r="C4265" t="inlineStr">
        <is>
          <t>68149090</t>
        </is>
      </c>
      <c r="D4265" t="inlineStr">
        <is>
          <t>OTHERS (INCL PARTS AND FBRCTD MICA N.E.S.)</t>
        </is>
      </c>
      <c r="E4265" s="3" t="n">
        <v>0.04</v>
      </c>
      <c r="F4265" s="3" t="n">
        <v>0.01</v>
      </c>
      <c r="G4265" s="3">
        <f>F4265-E4265</f>
        <v/>
      </c>
      <c r="H4265" s="4">
        <f>IF(E4265=0,"",F4265/E4265-1)</f>
        <v/>
      </c>
      <c r="I4265" t="inlineStr"/>
    </row>
    <row r="4266">
      <c r="A4266" t="inlineStr">
        <is>
          <t>Stone, ceramics &amp; glass</t>
        </is>
      </c>
      <c r="B4266" t="inlineStr">
        <is>
          <t>68</t>
        </is>
      </c>
      <c r="C4266" t="inlineStr">
        <is>
          <t>68159920</t>
        </is>
      </c>
      <c r="D4266" t="inlineStr">
        <is>
          <t>SANITAY WARES, KITCHEN WARES AND OTHER MADE UP ARTICLES 0F FLY ASH</t>
        </is>
      </c>
      <c r="E4266" s="3" t="n">
        <v>0</v>
      </c>
      <c r="F4266" s="3" t="n">
        <v>0.01</v>
      </c>
      <c r="G4266" s="3">
        <f>F4266-E4266</f>
        <v/>
      </c>
      <c r="H4266" s="4">
        <f>IF(E4266=0,"",F4266/E4266-1)</f>
        <v/>
      </c>
      <c r="I4266" t="inlineStr"/>
    </row>
    <row r="4267">
      <c r="A4267" t="inlineStr">
        <is>
          <t>Stone, ceramics &amp; glass</t>
        </is>
      </c>
      <c r="B4267" t="inlineStr">
        <is>
          <t>69</t>
        </is>
      </c>
      <c r="C4267" t="inlineStr">
        <is>
          <t>69021030</t>
        </is>
      </c>
      <c r="D4267" t="inlineStr">
        <is>
          <t>MAGNESITE CHROME BRICKS AND SHAPES</t>
        </is>
      </c>
      <c r="E4267" s="3" t="n">
        <v>0</v>
      </c>
      <c r="F4267" s="3" t="n">
        <v>0.01</v>
      </c>
      <c r="G4267" s="3">
        <f>F4267-E4267</f>
        <v/>
      </c>
      <c r="H4267" s="4">
        <f>IF(E4267=0,"",F4267/E4267-1)</f>
        <v/>
      </c>
      <c r="I4267" t="inlineStr"/>
    </row>
    <row r="4268">
      <c r="A4268" t="inlineStr">
        <is>
          <t>Stone, ceramics &amp; glass</t>
        </is>
      </c>
      <c r="B4268" t="inlineStr">
        <is>
          <t>69</t>
        </is>
      </c>
      <c r="C4268" t="inlineStr">
        <is>
          <t>69041000</t>
        </is>
      </c>
      <c r="D4268" t="inlineStr">
        <is>
          <t>BUILDING BRICKS</t>
        </is>
      </c>
      <c r="E4268" s="3" t="n">
        <v>0.06</v>
      </c>
      <c r="F4268" s="3" t="n">
        <v>0.01</v>
      </c>
      <c r="G4268" s="3">
        <f>F4268-E4268</f>
        <v/>
      </c>
      <c r="H4268" s="4">
        <f>IF(E4268=0,"",F4268/E4268-1)</f>
        <v/>
      </c>
      <c r="I4268" t="inlineStr"/>
    </row>
    <row r="4269">
      <c r="A4269" t="inlineStr">
        <is>
          <t>Stone, ceramics &amp; glass</t>
        </is>
      </c>
      <c r="B4269" t="inlineStr">
        <is>
          <t>69</t>
        </is>
      </c>
      <c r="C4269" t="inlineStr">
        <is>
          <t>69091200</t>
        </is>
      </c>
      <c r="D4269" t="inlineStr">
        <is>
          <t>CERAMIC ARTCLS E.G TROUGHS TUBS ETC HAVNG HRDNS &gt;=9 ON THE MOHS SCALE</t>
        </is>
      </c>
      <c r="E4269" s="3" t="n">
        <v>0</v>
      </c>
      <c r="F4269" s="3" t="n">
        <v>0.01</v>
      </c>
      <c r="G4269" s="3">
        <f>F4269-E4269</f>
        <v/>
      </c>
      <c r="H4269" s="4">
        <f>IF(E4269=0,"",F4269/E4269-1)</f>
        <v/>
      </c>
      <c r="I4269" t="inlineStr"/>
    </row>
    <row r="4270">
      <c r="A4270" t="inlineStr">
        <is>
          <t>Stone, ceramics &amp; glass</t>
        </is>
      </c>
      <c r="B4270" t="inlineStr">
        <is>
          <t>69</t>
        </is>
      </c>
      <c r="C4270" t="inlineStr">
        <is>
          <t>69119090</t>
        </is>
      </c>
      <c r="D4270" t="inlineStr">
        <is>
          <t>OTHR OF OTHR HSEHLD AND TOLT ARTCLS OF PRCLN</t>
        </is>
      </c>
      <c r="E4270" s="3" t="n">
        <v>0</v>
      </c>
      <c r="F4270" s="3" t="n">
        <v>0.01</v>
      </c>
      <c r="G4270" s="3">
        <f>F4270-E4270</f>
        <v/>
      </c>
      <c r="H4270" s="4">
        <f>IF(E4270=0,"",F4270/E4270-1)</f>
        <v/>
      </c>
      <c r="I4270" t="inlineStr"/>
    </row>
    <row r="4271">
      <c r="A4271" t="inlineStr">
        <is>
          <t>Stone, ceramics &amp; glass</t>
        </is>
      </c>
      <c r="B4271" t="inlineStr">
        <is>
          <t>69</t>
        </is>
      </c>
      <c r="C4271" t="inlineStr">
        <is>
          <t>69120010</t>
        </is>
      </c>
      <c r="D4271" t="inlineStr">
        <is>
          <t>CERAMIC TABLEWARE (E.G. OF IMITATION PORCELAIN/OR SEMI-PORCELAIN)</t>
        </is>
      </c>
      <c r="E4271" s="3" t="n">
        <v>0</v>
      </c>
      <c r="F4271" s="3" t="n">
        <v>0.01</v>
      </c>
      <c r="G4271" s="3">
        <f>F4271-E4271</f>
        <v/>
      </c>
      <c r="H4271" s="4">
        <f>IF(E4271=0,"",F4271/E4271-1)</f>
        <v/>
      </c>
      <c r="I4271" t="inlineStr"/>
    </row>
    <row r="4272">
      <c r="A4272" t="inlineStr">
        <is>
          <t>Stone, ceramics &amp; glass</t>
        </is>
      </c>
      <c r="B4272" t="inlineStr">
        <is>
          <t>70</t>
        </is>
      </c>
      <c r="C4272" t="inlineStr">
        <is>
          <t>70023900</t>
        </is>
      </c>
      <c r="D4272" t="inlineStr">
        <is>
          <t>OTHER GLASS TUBES</t>
        </is>
      </c>
      <c r="E4272" s="3" t="n">
        <v>0</v>
      </c>
      <c r="F4272" s="3" t="n">
        <v>0.01</v>
      </c>
      <c r="G4272" s="3">
        <f>F4272-E4272</f>
        <v/>
      </c>
      <c r="H4272" s="4">
        <f>IF(E4272=0,"",F4272/E4272-1)</f>
        <v/>
      </c>
      <c r="I4272" t="inlineStr"/>
    </row>
    <row r="4273">
      <c r="A4273" t="inlineStr">
        <is>
          <t>Stone, ceramics &amp; glass</t>
        </is>
      </c>
      <c r="B4273" t="inlineStr">
        <is>
          <t>70</t>
        </is>
      </c>
      <c r="C4273" t="inlineStr">
        <is>
          <t>70131000</t>
        </is>
      </c>
      <c r="D4273" t="inlineStr">
        <is>
          <t>GLASSWARE OF GLASS CERAMICS</t>
        </is>
      </c>
      <c r="E4273" s="3" t="n">
        <v>0.07000000000000001</v>
      </c>
      <c r="F4273" s="3" t="n">
        <v>0.01</v>
      </c>
      <c r="G4273" s="3">
        <f>F4273-E4273</f>
        <v/>
      </c>
      <c r="H4273" s="4">
        <f>IF(E4273=0,"",F4273/E4273-1)</f>
        <v/>
      </c>
      <c r="I4273" t="inlineStr"/>
    </row>
    <row r="4274">
      <c r="A4274" t="inlineStr">
        <is>
          <t>Stone, ceramics &amp; glass</t>
        </is>
      </c>
      <c r="B4274" t="inlineStr">
        <is>
          <t>70</t>
        </is>
      </c>
      <c r="C4274" t="inlineStr">
        <is>
          <t>70159090</t>
        </is>
      </c>
      <c r="D4274" t="inlineStr">
        <is>
          <t>OTHR CLOCK/WATCH AND SIMILAR GLASSES NES</t>
        </is>
      </c>
      <c r="E4274" s="3" t="n">
        <v>0.02</v>
      </c>
      <c r="F4274" s="3" t="n">
        <v>0.01</v>
      </c>
      <c r="G4274" s="3">
        <f>F4274-E4274</f>
        <v/>
      </c>
      <c r="H4274" s="4">
        <f>IF(E4274=0,"",F4274/E4274-1)</f>
        <v/>
      </c>
      <c r="I4274" t="inlineStr"/>
    </row>
    <row r="4275">
      <c r="A4275" t="inlineStr">
        <is>
          <t>Stone, ceramics &amp; glass</t>
        </is>
      </c>
      <c r="B4275" t="inlineStr">
        <is>
          <t>70</t>
        </is>
      </c>
      <c r="C4275" t="inlineStr">
        <is>
          <t>70181010</t>
        </is>
      </c>
      <c r="D4275" t="inlineStr">
        <is>
          <t>BANGLES</t>
        </is>
      </c>
      <c r="E4275" s="3" t="n">
        <v>0.02</v>
      </c>
      <c r="F4275" s="3" t="n">
        <v>0.01</v>
      </c>
      <c r="G4275" s="3">
        <f>F4275-E4275</f>
        <v/>
      </c>
      <c r="H4275" s="4">
        <f>IF(E4275=0,"",F4275/E4275-1)</f>
        <v/>
      </c>
      <c r="I4275" t="inlineStr"/>
    </row>
    <row r="4276">
      <c r="A4276" t="inlineStr">
        <is>
          <t>Stone, ceramics &amp; glass</t>
        </is>
      </c>
      <c r="B4276" t="inlineStr">
        <is>
          <t>68</t>
        </is>
      </c>
      <c r="C4276" t="inlineStr">
        <is>
          <t>68022120</t>
        </is>
      </c>
      <c r="D4276" t="inlineStr">
        <is>
          <t>MARBLE MONUMENTS</t>
        </is>
      </c>
      <c r="E4276" s="3" t="n">
        <v>0.05</v>
      </c>
      <c r="F4276" s="3" t="n">
        <v>0</v>
      </c>
      <c r="G4276" s="3">
        <f>F4276-E4276</f>
        <v/>
      </c>
      <c r="H4276" s="4">
        <f>IF(E4276=0,"",F4276/E4276-1)</f>
        <v/>
      </c>
      <c r="I4276" t="inlineStr"/>
    </row>
    <row r="4277">
      <c r="A4277" t="inlineStr">
        <is>
          <t>Stone, ceramics &amp; glass</t>
        </is>
      </c>
      <c r="B4277" t="inlineStr">
        <is>
          <t>68</t>
        </is>
      </c>
      <c r="C4277" t="inlineStr">
        <is>
          <t>68043020</t>
        </is>
      </c>
      <c r="D4277" t="inlineStr">
        <is>
          <t>SHARPENING STONES</t>
        </is>
      </c>
      <c r="E4277" s="3" t="n">
        <v>0</v>
      </c>
      <c r="F4277" s="3" t="n">
        <v>0</v>
      </c>
      <c r="G4277" s="3">
        <f>F4277-E4277</f>
        <v/>
      </c>
      <c r="H4277" s="4">
        <f>IF(E4277=0,"",F4277/E4277-1)</f>
        <v/>
      </c>
      <c r="I4277" t="inlineStr"/>
    </row>
    <row r="4278">
      <c r="A4278" t="inlineStr">
        <is>
          <t>Stone, ceramics &amp; glass</t>
        </is>
      </c>
      <c r="B4278" t="inlineStr">
        <is>
          <t>68</t>
        </is>
      </c>
      <c r="C4278" t="inlineStr">
        <is>
          <t>68052020</t>
        </is>
      </c>
      <c r="D4278" t="inlineStr">
        <is>
          <t>FLINT COATED PAPER</t>
        </is>
      </c>
      <c r="E4278" s="3" t="n">
        <v>0</v>
      </c>
      <c r="F4278" s="3" t="n">
        <v>0</v>
      </c>
      <c r="G4278" s="3">
        <f>F4278-E4278</f>
        <v/>
      </c>
      <c r="H4278" s="4">
        <f>IF(E4278=0,"",F4278/E4278-1)</f>
        <v/>
      </c>
      <c r="I4278" t="inlineStr"/>
    </row>
    <row r="4279">
      <c r="A4279" t="inlineStr">
        <is>
          <t>Stone, ceramics &amp; glass</t>
        </is>
      </c>
      <c r="B4279" t="inlineStr">
        <is>
          <t>68</t>
        </is>
      </c>
      <c r="C4279" t="inlineStr">
        <is>
          <t>68080000</t>
        </is>
      </c>
      <c r="D4279" t="inlineStr">
        <is>
          <t>PANELS BOARDS ETC OFVGTBL FIBR OF STRAW/ OF SHVNGS CHIPS SAWDUST/OTHR WASTE OF WOODWOOD,AGLMRTD WTH CMNT,PLSTR/OTHR</t>
        </is>
      </c>
      <c r="E4279" s="3" t="n">
        <v>0.06</v>
      </c>
      <c r="F4279" s="3" t="n">
        <v>0</v>
      </c>
      <c r="G4279" s="3">
        <f>F4279-E4279</f>
        <v/>
      </c>
      <c r="H4279" s="4">
        <f>IF(E4279=0,"",F4279/E4279-1)</f>
        <v/>
      </c>
      <c r="I4279" t="inlineStr"/>
    </row>
    <row r="4280">
      <c r="A4280" t="inlineStr">
        <is>
          <t>Stone, ceramics &amp; glass</t>
        </is>
      </c>
      <c r="B4280" t="inlineStr">
        <is>
          <t>68</t>
        </is>
      </c>
      <c r="C4280" t="inlineStr">
        <is>
          <t>68091900</t>
        </is>
      </c>
      <c r="D4280" t="inlineStr">
        <is>
          <t>OTHER BOARDS SHEETS PANELS ETC NON ORNMNTD</t>
        </is>
      </c>
      <c r="E4280" s="3" t="n">
        <v>0.01</v>
      </c>
      <c r="F4280" s="3" t="n">
        <v>0</v>
      </c>
      <c r="G4280" s="3">
        <f>F4280-E4280</f>
        <v/>
      </c>
      <c r="H4280" s="4">
        <f>IF(E4280=0,"",F4280/E4280-1)</f>
        <v/>
      </c>
      <c r="I4280" t="inlineStr"/>
    </row>
    <row r="4281">
      <c r="A4281" t="inlineStr">
        <is>
          <t>Stone, ceramics &amp; glass</t>
        </is>
      </c>
      <c r="B4281" t="inlineStr">
        <is>
          <t>68</t>
        </is>
      </c>
      <c r="C4281" t="inlineStr">
        <is>
          <t>68114010</t>
        </is>
      </c>
      <c r="D4281" t="inlineStr">
        <is>
          <t>ASBSTS CEMNT SHETS(OTHR THN CORRGTD SHETS)</t>
        </is>
      </c>
      <c r="E4281" s="3" t="n">
        <v>0.08</v>
      </c>
      <c r="F4281" s="3" t="n">
        <v>0</v>
      </c>
      <c r="G4281" s="3">
        <f>F4281-E4281</f>
        <v/>
      </c>
      <c r="H4281" s="4">
        <f>IF(E4281=0,"",F4281/E4281-1)</f>
        <v/>
      </c>
      <c r="I4281" t="inlineStr"/>
    </row>
    <row r="4282">
      <c r="A4282" t="inlineStr">
        <is>
          <t>Stone, ceramics &amp; glass</t>
        </is>
      </c>
      <c r="B4282" t="inlineStr">
        <is>
          <t>68</t>
        </is>
      </c>
      <c r="C4282" t="inlineStr">
        <is>
          <t>68114090</t>
        </is>
      </c>
      <c r="D4282" t="inlineStr">
        <is>
          <t>OTHERS-OF-CONTAINING ASBESTOS:</t>
        </is>
      </c>
      <c r="E4282" s="3" t="n">
        <v>0</v>
      </c>
      <c r="F4282" s="3" t="n">
        <v>0</v>
      </c>
      <c r="G4282" s="3">
        <f>F4282-E4282</f>
        <v/>
      </c>
      <c r="H4282" s="4">
        <f>IF(E4282=0,"",F4282/E4282-1)</f>
        <v/>
      </c>
      <c r="I4282" t="inlineStr"/>
    </row>
    <row r="4283">
      <c r="A4283" t="inlineStr">
        <is>
          <t>Stone, ceramics &amp; glass</t>
        </is>
      </c>
      <c r="B4283" t="inlineStr">
        <is>
          <t>68</t>
        </is>
      </c>
      <c r="C4283" t="inlineStr">
        <is>
          <t>68118910</t>
        </is>
      </c>
      <c r="D4283" t="inlineStr">
        <is>
          <t>TUBES, PIPES AND TUBE OR PIPE FITTINGS</t>
        </is>
      </c>
      <c r="E4283" s="3" t="n">
        <v>0.01</v>
      </c>
      <c r="F4283" s="3" t="n">
        <v>0</v>
      </c>
      <c r="G4283" s="3">
        <f>F4283-E4283</f>
        <v/>
      </c>
      <c r="H4283" s="4">
        <f>IF(E4283=0,"",F4283/E4283-1)</f>
        <v/>
      </c>
      <c r="I4283" t="inlineStr"/>
    </row>
    <row r="4284">
      <c r="A4284" t="inlineStr">
        <is>
          <t>Stone, ceramics &amp; glass</t>
        </is>
      </c>
      <c r="B4284" t="inlineStr">
        <is>
          <t>68</t>
        </is>
      </c>
      <c r="C4284" t="inlineStr">
        <is>
          <t>68129100</t>
        </is>
      </c>
      <c r="D4284" t="inlineStr">
        <is>
          <t>CLOTHNG CLOTHNG ACCSRS FOOTWEAR AND HEADGEAR</t>
        </is>
      </c>
      <c r="E4284" s="3" t="n">
        <v>0.01</v>
      </c>
      <c r="F4284" s="3" t="n">
        <v>0</v>
      </c>
      <c r="G4284" s="3">
        <f>F4284-E4284</f>
        <v/>
      </c>
      <c r="H4284" s="4">
        <f>IF(E4284=0,"",F4284/E4284-1)</f>
        <v/>
      </c>
      <c r="I4284" t="inlineStr"/>
    </row>
    <row r="4285">
      <c r="A4285" t="inlineStr">
        <is>
          <t>Stone, ceramics &amp; glass</t>
        </is>
      </c>
      <c r="B4285" t="inlineStr">
        <is>
          <t>68</t>
        </is>
      </c>
      <c r="C4285" t="inlineStr">
        <is>
          <t>68151200</t>
        </is>
      </c>
      <c r="D4285" t="inlineStr">
        <is>
          <t>FABRICS OF CARBON FIBRES</t>
        </is>
      </c>
      <c r="E4285" s="3" t="n">
        <v>0.01</v>
      </c>
      <c r="F4285" s="3" t="n">
        <v>0</v>
      </c>
      <c r="G4285" s="3">
        <f>F4285-E4285</f>
        <v/>
      </c>
      <c r="H4285" s="4">
        <f>IF(E4285=0,"",F4285/E4285-1)</f>
        <v/>
      </c>
      <c r="I4285" t="inlineStr"/>
    </row>
    <row r="4286">
      <c r="A4286" t="inlineStr">
        <is>
          <t>Stone, ceramics &amp; glass</t>
        </is>
      </c>
      <c r="B4286" t="inlineStr">
        <is>
          <t>68</t>
        </is>
      </c>
      <c r="C4286" t="inlineStr">
        <is>
          <t>68151300</t>
        </is>
      </c>
      <c r="D4286" t="inlineStr">
        <is>
          <t>OTHER ARTICLES OF CARBON FIBRES</t>
        </is>
      </c>
      <c r="E4286" s="3" t="n">
        <v>0.08</v>
      </c>
      <c r="F4286" s="3" t="n">
        <v>0</v>
      </c>
      <c r="G4286" s="3">
        <f>F4286-E4286</f>
        <v/>
      </c>
      <c r="H4286" s="4">
        <f>IF(E4286=0,"",F4286/E4286-1)</f>
        <v/>
      </c>
      <c r="I4286" t="inlineStr"/>
    </row>
    <row r="4287">
      <c r="A4287" t="inlineStr">
        <is>
          <t>Stone, ceramics &amp; glass</t>
        </is>
      </c>
      <c r="B4287" t="inlineStr">
        <is>
          <t>68</t>
        </is>
      </c>
      <c r="C4287" t="inlineStr">
        <is>
          <t>68159100</t>
        </is>
      </c>
      <c r="D4287" t="inlineStr">
        <is>
          <t>CONTAINING MAGNESITE, MAGNESIA IN THE FORM OF PERICLASE ,DOLOMITE INCLUDING IN THE FORM OF DOLIME , OR CHROMITE</t>
        </is>
      </c>
      <c r="E4287" s="3" t="n">
        <v>0.28</v>
      </c>
      <c r="F4287" s="3" t="n">
        <v>0</v>
      </c>
      <c r="G4287" s="3">
        <f>F4287-E4287</f>
        <v/>
      </c>
      <c r="H4287" s="4">
        <f>IF(E4287=0,"",F4287/E4287-1)</f>
        <v/>
      </c>
      <c r="I4287" t="inlineStr"/>
    </row>
    <row r="4288">
      <c r="A4288" t="inlineStr">
        <is>
          <t>Stone, ceramics &amp; glass</t>
        </is>
      </c>
      <c r="B4288" t="inlineStr">
        <is>
          <t>69</t>
        </is>
      </c>
      <c r="C4288" t="inlineStr">
        <is>
          <t>69010030</t>
        </is>
      </c>
      <c r="D4288" t="inlineStr">
        <is>
          <t>TILES</t>
        </is>
      </c>
      <c r="E4288" s="3" t="n">
        <v>0.04</v>
      </c>
      <c r="F4288" s="3" t="n">
        <v>0</v>
      </c>
      <c r="G4288" s="3">
        <f>F4288-E4288</f>
        <v/>
      </c>
      <c r="H4288" s="4">
        <f>IF(E4288=0,"",F4288/E4288-1)</f>
        <v/>
      </c>
      <c r="I4288" t="inlineStr"/>
    </row>
    <row r="4289">
      <c r="A4289" t="inlineStr">
        <is>
          <t>Stone, ceramics &amp; glass</t>
        </is>
      </c>
      <c r="B4289" t="inlineStr">
        <is>
          <t>69</t>
        </is>
      </c>
      <c r="C4289" t="inlineStr">
        <is>
          <t>69021040</t>
        </is>
      </c>
      <c r="D4289" t="inlineStr">
        <is>
          <t>BRICKS AND SHAPES MAGNESIA CARBON</t>
        </is>
      </c>
      <c r="E4289" s="3" t="n">
        <v>0.55</v>
      </c>
      <c r="F4289" s="3" t="n">
        <v>0</v>
      </c>
      <c r="G4289" s="3">
        <f>F4289-E4289</f>
        <v/>
      </c>
      <c r="H4289" s="4">
        <f>IF(E4289=0,"",F4289/E4289-1)</f>
        <v/>
      </c>
      <c r="I4289" t="inlineStr"/>
    </row>
    <row r="4290">
      <c r="A4290" t="inlineStr">
        <is>
          <t>Stone, ceramics &amp; glass</t>
        </is>
      </c>
      <c r="B4290" t="inlineStr">
        <is>
          <t>69</t>
        </is>
      </c>
      <c r="C4290" t="inlineStr">
        <is>
          <t>69029040</t>
        </is>
      </c>
      <c r="D4290" t="inlineStr">
        <is>
          <t>CLAY GRAPHITE STOPPER HEADS</t>
        </is>
      </c>
      <c r="E4290" s="3" t="n">
        <v>0</v>
      </c>
      <c r="F4290" s="3" t="n">
        <v>0</v>
      </c>
      <c r="G4290" s="3">
        <f>F4290-E4290</f>
        <v/>
      </c>
      <c r="H4290" s="4">
        <f>IF(E4290=0,"",F4290/E4290-1)</f>
        <v/>
      </c>
      <c r="I4290" t="inlineStr"/>
    </row>
    <row r="4291">
      <c r="A4291" t="inlineStr">
        <is>
          <t>Stone, ceramics &amp; glass</t>
        </is>
      </c>
      <c r="B4291" t="inlineStr">
        <is>
          <t>69</t>
        </is>
      </c>
      <c r="C4291" t="inlineStr">
        <is>
          <t>69039010</t>
        </is>
      </c>
      <c r="D4291" t="inlineStr">
        <is>
          <t>ZIRCON/ZIRCON-MULLITE REFRACTORIES</t>
        </is>
      </c>
      <c r="E4291" s="3" t="n">
        <v>0.01</v>
      </c>
      <c r="F4291" s="3" t="n">
        <v>0</v>
      </c>
      <c r="G4291" s="3">
        <f>F4291-E4291</f>
        <v/>
      </c>
      <c r="H4291" s="4">
        <f>IF(E4291=0,"",F4291/E4291-1)</f>
        <v/>
      </c>
      <c r="I4291" t="inlineStr"/>
    </row>
    <row r="4292">
      <c r="A4292" t="inlineStr">
        <is>
          <t>Stone, ceramics &amp; glass</t>
        </is>
      </c>
      <c r="B4292" t="inlineStr">
        <is>
          <t>69</t>
        </is>
      </c>
      <c r="C4292" t="inlineStr">
        <is>
          <t>69049000</t>
        </is>
      </c>
      <c r="D4292" t="inlineStr">
        <is>
          <t>FLOORING BLOCKS,SUPPORT/FILLER TILES ETC</t>
        </is>
      </c>
      <c r="E4292" s="3" t="n">
        <v>0</v>
      </c>
      <c r="F4292" s="3" t="n">
        <v>0</v>
      </c>
      <c r="G4292" s="3">
        <f>F4292-E4292</f>
        <v/>
      </c>
      <c r="H4292" s="4">
        <f>IF(E4292=0,"",F4292/E4292-1)</f>
        <v/>
      </c>
      <c r="I4292" t="inlineStr"/>
    </row>
    <row r="4293">
      <c r="A4293" t="inlineStr">
        <is>
          <t>Stone, ceramics &amp; glass</t>
        </is>
      </c>
      <c r="B4293" t="inlineStr">
        <is>
          <t>69</t>
        </is>
      </c>
      <c r="C4293" t="inlineStr">
        <is>
          <t>69059000</t>
        </is>
      </c>
      <c r="D4293" t="inlineStr">
        <is>
          <t>CHMNY POTS AND LNRS,COWLS,OTHR CNSTRCTNL GDS</t>
        </is>
      </c>
      <c r="E4293" s="3" t="n">
        <v>0.04</v>
      </c>
      <c r="F4293" s="3" t="n">
        <v>0</v>
      </c>
      <c r="G4293" s="3">
        <f>F4293-E4293</f>
        <v/>
      </c>
      <c r="H4293" s="4">
        <f>IF(E4293=0,"",F4293/E4293-1)</f>
        <v/>
      </c>
      <c r="I4293" t="inlineStr"/>
    </row>
    <row r="4294">
      <c r="A4294" t="inlineStr">
        <is>
          <t>Stone, ceramics &amp; glass</t>
        </is>
      </c>
      <c r="B4294" t="inlineStr">
        <is>
          <t>69</t>
        </is>
      </c>
      <c r="C4294" t="inlineStr">
        <is>
          <t>69111019</t>
        </is>
      </c>
      <c r="D4294" t="inlineStr">
        <is>
          <t>TBLWARE OF OTHR THN BON CHINA AND SFT PRCLN</t>
        </is>
      </c>
      <c r="E4294" s="3" t="n">
        <v>0.04</v>
      </c>
      <c r="F4294" s="3" t="n">
        <v>0</v>
      </c>
      <c r="G4294" s="3">
        <f>F4294-E4294</f>
        <v/>
      </c>
      <c r="H4294" s="4">
        <f>IF(E4294=0,"",F4294/E4294-1)</f>
        <v/>
      </c>
      <c r="I4294" t="inlineStr"/>
    </row>
    <row r="4295">
      <c r="A4295" t="inlineStr">
        <is>
          <t>Stone, ceramics &amp; glass</t>
        </is>
      </c>
      <c r="B4295" t="inlineStr">
        <is>
          <t>69</t>
        </is>
      </c>
      <c r="C4295" t="inlineStr">
        <is>
          <t>69111021</t>
        </is>
      </c>
      <c r="D4295" t="inlineStr">
        <is>
          <t>KTCHNWARE OF BON CHINA AND SFT PRCLN</t>
        </is>
      </c>
      <c r="E4295" s="3" t="n">
        <v>0.03</v>
      </c>
      <c r="F4295" s="3" t="n">
        <v>0</v>
      </c>
      <c r="G4295" s="3">
        <f>F4295-E4295</f>
        <v/>
      </c>
      <c r="H4295" s="4">
        <f>IF(E4295=0,"",F4295/E4295-1)</f>
        <v/>
      </c>
      <c r="I4295" t="inlineStr"/>
    </row>
    <row r="4296">
      <c r="A4296" t="inlineStr">
        <is>
          <t>Stone, ceramics &amp; glass</t>
        </is>
      </c>
      <c r="B4296" t="inlineStr">
        <is>
          <t>69</t>
        </is>
      </c>
      <c r="C4296" t="inlineStr">
        <is>
          <t>69120020</t>
        </is>
      </c>
      <c r="D4296" t="inlineStr">
        <is>
          <t>CEREMIC KITCHENWARE</t>
        </is>
      </c>
      <c r="E4296" s="3" t="n">
        <v>0</v>
      </c>
      <c r="F4296" s="3" t="n">
        <v>0</v>
      </c>
      <c r="G4296" s="3">
        <f>F4296-E4296</f>
        <v/>
      </c>
      <c r="H4296" s="4">
        <f>IF(E4296=0,"",F4296/E4296-1)</f>
        <v/>
      </c>
      <c r="I4296" t="inlineStr"/>
    </row>
    <row r="4297">
      <c r="A4297" t="inlineStr">
        <is>
          <t>Stone, ceramics &amp; glass</t>
        </is>
      </c>
      <c r="B4297" t="inlineStr">
        <is>
          <t>69</t>
        </is>
      </c>
      <c r="C4297" t="inlineStr">
        <is>
          <t>69131000</t>
        </is>
      </c>
      <c r="D4297" t="inlineStr">
        <is>
          <t>STATUETTES ETC OF PORCELAIN/CHINA</t>
        </is>
      </c>
      <c r="E4297" s="3" t="n">
        <v>0</v>
      </c>
      <c r="F4297" s="3" t="n">
        <v>0</v>
      </c>
      <c r="G4297" s="3">
        <f>F4297-E4297</f>
        <v/>
      </c>
      <c r="H4297" s="4">
        <f>IF(E4297=0,"",F4297/E4297-1)</f>
        <v/>
      </c>
      <c r="I4297" t="inlineStr"/>
    </row>
    <row r="4298">
      <c r="A4298" t="inlineStr">
        <is>
          <t>Stone, ceramics &amp; glass</t>
        </is>
      </c>
      <c r="B4298" t="inlineStr">
        <is>
          <t>69</t>
        </is>
      </c>
      <c r="C4298" t="inlineStr">
        <is>
          <t>69139000</t>
        </is>
      </c>
      <c r="D4298" t="inlineStr">
        <is>
          <t>OTHR STATUETTE ETC(EXCL OF PORCLAIN/CHINA)</t>
        </is>
      </c>
      <c r="E4298" s="3" t="n">
        <v>0</v>
      </c>
      <c r="F4298" s="3" t="n">
        <v>0</v>
      </c>
      <c r="G4298" s="3">
        <f>F4298-E4298</f>
        <v/>
      </c>
      <c r="H4298" s="4">
        <f>IF(E4298=0,"",F4298/E4298-1)</f>
        <v/>
      </c>
      <c r="I4298" t="inlineStr"/>
    </row>
    <row r="4299">
      <c r="A4299" t="inlineStr">
        <is>
          <t>Stone, ceramics &amp; glass</t>
        </is>
      </c>
      <c r="B4299" t="inlineStr">
        <is>
          <t>69</t>
        </is>
      </c>
      <c r="C4299" t="inlineStr">
        <is>
          <t>69141000</t>
        </is>
      </c>
      <c r="D4299" t="inlineStr">
        <is>
          <t>OTHR CERMC ARTCLS OF PORCELAIN/CHINA</t>
        </is>
      </c>
      <c r="E4299" s="3" t="n">
        <v>0.39</v>
      </c>
      <c r="F4299" s="3" t="n">
        <v>0</v>
      </c>
      <c r="G4299" s="3">
        <f>F4299-E4299</f>
        <v/>
      </c>
      <c r="H4299" s="4">
        <f>IF(E4299=0,"",F4299/E4299-1)</f>
        <v/>
      </c>
      <c r="I4299" t="inlineStr"/>
    </row>
    <row r="4300">
      <c r="A4300" t="inlineStr">
        <is>
          <t>Stone, ceramics &amp; glass</t>
        </is>
      </c>
      <c r="B4300" t="inlineStr">
        <is>
          <t>69</t>
        </is>
      </c>
      <c r="C4300" t="inlineStr">
        <is>
          <t>69149000</t>
        </is>
      </c>
      <c r="D4300" t="inlineStr">
        <is>
          <t>*OTHR CERMC ARTCLS EXCL OF PORCELAIN/CHINA</t>
        </is>
      </c>
      <c r="E4300" s="3" t="n">
        <v>0.96</v>
      </c>
      <c r="F4300" s="3" t="n">
        <v>0</v>
      </c>
      <c r="G4300" s="3">
        <f>F4300-E4300</f>
        <v/>
      </c>
      <c r="H4300" s="4">
        <f>IF(E4300=0,"",F4300/E4300-1)</f>
        <v/>
      </c>
      <c r="I4300" t="inlineStr"/>
    </row>
    <row r="4301">
      <c r="A4301" t="inlineStr">
        <is>
          <t>Stone, ceramics &amp; glass</t>
        </is>
      </c>
      <c r="B4301" t="inlineStr">
        <is>
          <t>70</t>
        </is>
      </c>
      <c r="C4301" t="inlineStr">
        <is>
          <t>70010010</t>
        </is>
      </c>
      <c r="D4301" t="inlineStr">
        <is>
          <t>GLASS IN THE MASS(EXCLUGING OPTICAL GLASS AND ENAMEL GLASS)WASTE GLASS (CULLET)</t>
        </is>
      </c>
      <c r="E4301" s="3" t="n">
        <v>0.12</v>
      </c>
      <c r="F4301" s="3" t="n">
        <v>0</v>
      </c>
      <c r="G4301" s="3">
        <f>F4301-E4301</f>
        <v/>
      </c>
      <c r="H4301" s="4">
        <f>IF(E4301=0,"",F4301/E4301-1)</f>
        <v/>
      </c>
      <c r="I4301" t="inlineStr"/>
    </row>
    <row r="4302">
      <c r="A4302" t="inlineStr">
        <is>
          <t>Stone, ceramics &amp; glass</t>
        </is>
      </c>
      <c r="B4302" t="inlineStr">
        <is>
          <t>70</t>
        </is>
      </c>
      <c r="C4302" t="inlineStr">
        <is>
          <t>70021000</t>
        </is>
      </c>
      <c r="D4302" t="inlineStr">
        <is>
          <t>GLASS IN BALLS</t>
        </is>
      </c>
      <c r="E4302" s="3" t="n">
        <v>0.01</v>
      </c>
      <c r="F4302" s="3" t="n">
        <v>0</v>
      </c>
      <c r="G4302" s="3">
        <f>F4302-E4302</f>
        <v/>
      </c>
      <c r="H4302" s="4">
        <f>IF(E4302=0,"",F4302/E4302-1)</f>
        <v/>
      </c>
      <c r="I4302" t="inlineStr"/>
    </row>
    <row r="4303">
      <c r="A4303" t="inlineStr">
        <is>
          <t>Stone, ceramics &amp; glass</t>
        </is>
      </c>
      <c r="B4303" t="inlineStr">
        <is>
          <t>70</t>
        </is>
      </c>
      <c r="C4303" t="inlineStr">
        <is>
          <t>70022090</t>
        </is>
      </c>
      <c r="D4303" t="inlineStr">
        <is>
          <t>OTHR GLS RODS</t>
        </is>
      </c>
      <c r="E4303" s="3" t="n">
        <v>0</v>
      </c>
      <c r="F4303" s="3" t="n">
        <v>0</v>
      </c>
      <c r="G4303" s="3">
        <f>F4303-E4303</f>
        <v/>
      </c>
      <c r="H4303" s="4">
        <f>IF(E4303=0,"",F4303/E4303-1)</f>
        <v/>
      </c>
      <c r="I4303" t="inlineStr"/>
    </row>
    <row r="4304">
      <c r="A4304" t="inlineStr">
        <is>
          <t>Stone, ceramics &amp; glass</t>
        </is>
      </c>
      <c r="B4304" t="inlineStr">
        <is>
          <t>70</t>
        </is>
      </c>
      <c r="C4304" t="inlineStr">
        <is>
          <t>70023100</t>
        </is>
      </c>
      <c r="D4304" t="inlineStr">
        <is>
          <t>TUBES OF FUSED QUARTZ/OTHR FUSED SILICA</t>
        </is>
      </c>
      <c r="E4304" s="3" t="n">
        <v>0</v>
      </c>
      <c r="F4304" s="3" t="n">
        <v>0</v>
      </c>
      <c r="G4304" s="3">
        <f>F4304-E4304</f>
        <v/>
      </c>
      <c r="H4304" s="4">
        <f>IF(E4304=0,"",F4304/E4304-1)</f>
        <v/>
      </c>
      <c r="I4304" t="inlineStr"/>
    </row>
    <row r="4305">
      <c r="A4305" t="inlineStr">
        <is>
          <t>Stone, ceramics &amp; glass</t>
        </is>
      </c>
      <c r="B4305" t="inlineStr">
        <is>
          <t>70</t>
        </is>
      </c>
      <c r="C4305" t="inlineStr">
        <is>
          <t>70023200</t>
        </is>
      </c>
      <c r="D4305" t="inlineStr">
        <is>
          <t>TUBS OF OTHR GLS HAVNG A LINEAR COEFICNT OF EXPNSION NT EXCDNG 5X10-6 PR KLVN WTHN A TMPRATRE RANGE OF 0 DGR.C TO 300 D</t>
        </is>
      </c>
      <c r="E4305" s="3" t="n">
        <v>0</v>
      </c>
      <c r="F4305" s="3" t="n">
        <v>0</v>
      </c>
      <c r="G4305" s="3">
        <f>F4305-E4305</f>
        <v/>
      </c>
      <c r="H4305" s="4">
        <f>IF(E4305=0,"",F4305/E4305-1)</f>
        <v/>
      </c>
      <c r="I4305" t="inlineStr"/>
    </row>
    <row r="4306">
      <c r="A4306" t="inlineStr">
        <is>
          <t>Stone, ceramics &amp; glass</t>
        </is>
      </c>
      <c r="B4306" t="inlineStr">
        <is>
          <t>70</t>
        </is>
      </c>
      <c r="C4306" t="inlineStr">
        <is>
          <t>70042019</t>
        </is>
      </c>
      <c r="D4306" t="inlineStr">
        <is>
          <t>OTHR WND GLS COLRD THRU OUT MASS</t>
        </is>
      </c>
      <c r="E4306" s="3" t="n">
        <v>0.03</v>
      </c>
      <c r="F4306" s="3" t="n">
        <v>0</v>
      </c>
      <c r="G4306" s="3">
        <f>F4306-E4306</f>
        <v/>
      </c>
      <c r="H4306" s="4">
        <f>IF(E4306=0,"",F4306/E4306-1)</f>
        <v/>
      </c>
      <c r="I4306" t="inlineStr"/>
    </row>
    <row r="4307">
      <c r="A4307" t="inlineStr">
        <is>
          <t>Stone, ceramics &amp; glass</t>
        </is>
      </c>
      <c r="B4307" t="inlineStr">
        <is>
          <t>70</t>
        </is>
      </c>
      <c r="C4307" t="inlineStr">
        <is>
          <t>70042099</t>
        </is>
      </c>
      <c r="D4307" t="inlineStr">
        <is>
          <t>OTHR WND GLS OTHR THN COLRD THRU OUT MASS</t>
        </is>
      </c>
      <c r="E4307" s="3" t="n">
        <v>0</v>
      </c>
      <c r="F4307" s="3" t="n">
        <v>0</v>
      </c>
      <c r="G4307" s="3">
        <f>F4307-E4307</f>
        <v/>
      </c>
      <c r="H4307" s="4">
        <f>IF(E4307=0,"",F4307/E4307-1)</f>
        <v/>
      </c>
      <c r="I4307" t="inlineStr"/>
    </row>
    <row r="4308">
      <c r="A4308" t="inlineStr">
        <is>
          <t>Stone, ceramics &amp; glass</t>
        </is>
      </c>
      <c r="B4308" t="inlineStr">
        <is>
          <t>70</t>
        </is>
      </c>
      <c r="C4308" t="inlineStr">
        <is>
          <t>70049019</t>
        </is>
      </c>
      <c r="D4308" t="inlineStr">
        <is>
          <t>OTHR WND GLS OTHR DRN AND BLN GLS</t>
        </is>
      </c>
      <c r="E4308" s="3" t="n">
        <v>0</v>
      </c>
      <c r="F4308" s="3" t="n">
        <v>0</v>
      </c>
      <c r="G4308" s="3">
        <f>F4308-E4308</f>
        <v/>
      </c>
      <c r="H4308" s="4">
        <f>IF(E4308=0,"",F4308/E4308-1)</f>
        <v/>
      </c>
      <c r="I4308" t="inlineStr"/>
    </row>
    <row r="4309">
      <c r="A4309" t="inlineStr">
        <is>
          <t>Stone, ceramics &amp; glass</t>
        </is>
      </c>
      <c r="B4309" t="inlineStr">
        <is>
          <t>70</t>
        </is>
      </c>
      <c r="C4309" t="inlineStr">
        <is>
          <t>70053090</t>
        </is>
      </c>
      <c r="D4309" t="inlineStr">
        <is>
          <t>OTHR WIRED,FLOAT AND SURFACE GRND/PLOSHD GLS</t>
        </is>
      </c>
      <c r="E4309" s="3" t="n">
        <v>0</v>
      </c>
      <c r="F4309" s="3" t="n">
        <v>0</v>
      </c>
      <c r="G4309" s="3">
        <f>F4309-E4309</f>
        <v/>
      </c>
      <c r="H4309" s="4">
        <f>IF(E4309=0,"",F4309/E4309-1)</f>
        <v/>
      </c>
      <c r="I4309" t="inlineStr"/>
    </row>
    <row r="4310">
      <c r="A4310" t="inlineStr">
        <is>
          <t>Stone, ceramics &amp; glass</t>
        </is>
      </c>
      <c r="B4310" t="inlineStr">
        <is>
          <t>70</t>
        </is>
      </c>
      <c r="C4310" t="inlineStr">
        <is>
          <t>70072110</t>
        </is>
      </c>
      <c r="D4310" t="inlineStr">
        <is>
          <t>BULLET PROOF GLASS</t>
        </is>
      </c>
      <c r="E4310" s="3" t="n">
        <v>0.09</v>
      </c>
      <c r="F4310" s="3" t="n">
        <v>0</v>
      </c>
      <c r="G4310" s="3">
        <f>F4310-E4310</f>
        <v/>
      </c>
      <c r="H4310" s="4">
        <f>IF(E4310=0,"",F4310/E4310-1)</f>
        <v/>
      </c>
      <c r="I4310" t="inlineStr"/>
    </row>
    <row r="4311">
      <c r="A4311" t="inlineStr">
        <is>
          <t>Stone, ceramics &amp; glass</t>
        </is>
      </c>
      <c r="B4311" t="inlineStr">
        <is>
          <t>70</t>
        </is>
      </c>
      <c r="C4311" t="inlineStr">
        <is>
          <t>70099100</t>
        </is>
      </c>
      <c r="D4311" t="inlineStr">
        <is>
          <t>OTHER UNFRAMED GLASS MIRRORS</t>
        </is>
      </c>
      <c r="E4311" s="3" t="n">
        <v>0</v>
      </c>
      <c r="F4311" s="3" t="n">
        <v>0</v>
      </c>
      <c r="G4311" s="3">
        <f>F4311-E4311</f>
        <v/>
      </c>
      <c r="H4311" s="4">
        <f>IF(E4311=0,"",F4311/E4311-1)</f>
        <v/>
      </c>
      <c r="I4311" t="inlineStr"/>
    </row>
    <row r="4312">
      <c r="A4312" t="inlineStr">
        <is>
          <t>Stone, ceramics &amp; glass</t>
        </is>
      </c>
      <c r="B4312" t="inlineStr">
        <is>
          <t>70</t>
        </is>
      </c>
      <c r="C4312" t="inlineStr">
        <is>
          <t>70119090</t>
        </is>
      </c>
      <c r="D4312" t="inlineStr">
        <is>
          <t>OTHERS-OF-OTHER GLASS ENVELOPES</t>
        </is>
      </c>
      <c r="E4312" s="3" t="n">
        <v>0.01</v>
      </c>
      <c r="F4312" s="3" t="n">
        <v>0</v>
      </c>
      <c r="G4312" s="3">
        <f>F4312-E4312</f>
        <v/>
      </c>
      <c r="H4312" s="4">
        <f>IF(E4312=0,"",F4312/E4312-1)</f>
        <v/>
      </c>
      <c r="I4312" t="inlineStr"/>
    </row>
    <row r="4313">
      <c r="A4313" t="inlineStr">
        <is>
          <t>Stone, ceramics &amp; glass</t>
        </is>
      </c>
      <c r="B4313" t="inlineStr">
        <is>
          <t>70</t>
        </is>
      </c>
      <c r="C4313" t="inlineStr">
        <is>
          <t>70133700</t>
        </is>
      </c>
      <c r="D4313" t="inlineStr">
        <is>
          <t>OTHERS-OF-OTHERS-OF-GLSSWR FR TBL KTCHN,TOLT,OFFC INDOR DCORTION (EXCL GOODS OF HDG NO 7010/7018)</t>
        </is>
      </c>
      <c r="E4313" s="3" t="n">
        <v>0</v>
      </c>
      <c r="F4313" s="3" t="n">
        <v>0</v>
      </c>
      <c r="G4313" s="3">
        <f>F4313-E4313</f>
        <v/>
      </c>
      <c r="H4313" s="4">
        <f>IF(E4313=0,"",F4313/E4313-1)</f>
        <v/>
      </c>
      <c r="I4313" t="inlineStr"/>
    </row>
    <row r="4314">
      <c r="A4314" t="inlineStr">
        <is>
          <t>Stone, ceramics &amp; glass</t>
        </is>
      </c>
      <c r="B4314" t="inlineStr">
        <is>
          <t>70</t>
        </is>
      </c>
      <c r="C4314" t="inlineStr">
        <is>
          <t>70134200</t>
        </is>
      </c>
      <c r="D4314" t="inlineStr">
        <is>
          <t>GLSWRE OF GLS HVNG A LNR COEFCNT OF EXPNSNNT EXCDNG 5X10-6 PER KLVN WTHN A TMP RANGEOF 0 DEGREE C TO 300 DEGREE C</t>
        </is>
      </c>
      <c r="E4314" s="3" t="n">
        <v>0.03</v>
      </c>
      <c r="F4314" s="3" t="n">
        <v>0</v>
      </c>
      <c r="G4314" s="3">
        <f>F4314-E4314</f>
        <v/>
      </c>
      <c r="H4314" s="4">
        <f>IF(E4314=0,"",F4314/E4314-1)</f>
        <v/>
      </c>
      <c r="I4314" t="inlineStr"/>
    </row>
    <row r="4315">
      <c r="A4315" t="inlineStr">
        <is>
          <t>Stone, ceramics &amp; glass</t>
        </is>
      </c>
      <c r="B4315" t="inlineStr">
        <is>
          <t>70</t>
        </is>
      </c>
      <c r="C4315" t="inlineStr">
        <is>
          <t>70159010</t>
        </is>
      </c>
      <c r="D4315" t="inlineStr">
        <is>
          <t>CLCK/WTCH GLSS,CRVD,BENT ETC GLSS SPHRS AND SGMNTS OF SPHRS FR MNFCTRNG CLCK/WTCH GLSS</t>
        </is>
      </c>
      <c r="E4315" s="3" t="n">
        <v>0</v>
      </c>
      <c r="F4315" s="3" t="n">
        <v>0</v>
      </c>
      <c r="G4315" s="3">
        <f>F4315-E4315</f>
        <v/>
      </c>
      <c r="H4315" s="4">
        <f>IF(E4315=0,"",F4315/E4315-1)</f>
        <v/>
      </c>
      <c r="I4315" t="inlineStr"/>
    </row>
    <row r="4316">
      <c r="A4316" t="inlineStr">
        <is>
          <t>Stone, ceramics &amp; glass</t>
        </is>
      </c>
      <c r="B4316" t="inlineStr">
        <is>
          <t>70</t>
        </is>
      </c>
      <c r="C4316" t="inlineStr">
        <is>
          <t>70169000</t>
        </is>
      </c>
      <c r="D4316" t="inlineStr">
        <is>
          <t>OTHER ARTICLES OF GLASS OF HEADING 7016</t>
        </is>
      </c>
      <c r="E4316" s="3" t="n">
        <v>0.05</v>
      </c>
      <c r="F4316" s="3" t="n">
        <v>0</v>
      </c>
      <c r="G4316" s="3">
        <f>F4316-E4316</f>
        <v/>
      </c>
      <c r="H4316" s="4">
        <f>IF(E4316=0,"",F4316/E4316-1)</f>
        <v/>
      </c>
      <c r="I4316" t="inlineStr"/>
    </row>
    <row r="4317">
      <c r="A4317" t="inlineStr">
        <is>
          <t>Stone, ceramics &amp; glass</t>
        </is>
      </c>
      <c r="B4317" t="inlineStr">
        <is>
          <t>70</t>
        </is>
      </c>
      <c r="C4317" t="inlineStr">
        <is>
          <t>70179030</t>
        </is>
      </c>
      <c r="D4317" t="inlineStr">
        <is>
          <t>OTHER HYGEINIC GLASS-WARE</t>
        </is>
      </c>
      <c r="E4317" s="3" t="n">
        <v>0</v>
      </c>
      <c r="F4317" s="3" t="n">
        <v>0</v>
      </c>
      <c r="G4317" s="3">
        <f>F4317-E4317</f>
        <v/>
      </c>
      <c r="H4317" s="4">
        <f>IF(E4317=0,"",F4317/E4317-1)</f>
        <v/>
      </c>
      <c r="I4317" t="inlineStr"/>
    </row>
    <row r="4318">
      <c r="A4318" t="inlineStr">
        <is>
          <t>Stone, ceramics &amp; glass</t>
        </is>
      </c>
      <c r="B4318" t="inlineStr">
        <is>
          <t>70</t>
        </is>
      </c>
      <c r="C4318" t="inlineStr">
        <is>
          <t>70181090</t>
        </is>
      </c>
      <c r="D4318" t="inlineStr">
        <is>
          <t>OTHERS-OF-GLSS BEADS,IMTN PERLS,IMTN PRCS STONES/ SEMI PRCS STONES AND SMLR GLSS SMALLWARES</t>
        </is>
      </c>
      <c r="E4318" s="3" t="n">
        <v>0</v>
      </c>
      <c r="F4318" s="3" t="n">
        <v>0</v>
      </c>
      <c r="G4318" s="3">
        <f>F4318-E4318</f>
        <v/>
      </c>
      <c r="H4318" s="4">
        <f>IF(E4318=0,"",F4318/E4318-1)</f>
        <v/>
      </c>
      <c r="I4318" t="inlineStr"/>
    </row>
    <row r="4319">
      <c r="A4319" t="inlineStr">
        <is>
          <t>Stone, ceramics &amp; glass</t>
        </is>
      </c>
      <c r="B4319" t="inlineStr">
        <is>
          <t>70</t>
        </is>
      </c>
      <c r="C4319" t="inlineStr">
        <is>
          <t>70196900</t>
        </is>
      </c>
      <c r="D4319" t="inlineStr">
        <is>
          <t>OTHERS-OF-OTHERS-OF-GLSS FBRS(INCL GLSS WOOL) AND ARTCL THEROF(E.G. YARN,ROVINGS, WOVN FBRCS)</t>
        </is>
      </c>
      <c r="E4319" s="3" t="n">
        <v>0</v>
      </c>
      <c r="F4319" s="3" t="n">
        <v>0</v>
      </c>
      <c r="G4319" s="3">
        <f>F4319-E4319</f>
        <v/>
      </c>
      <c r="H4319" s="4">
        <f>IF(E4319=0,"",F4319/E4319-1)</f>
        <v/>
      </c>
      <c r="I4319" t="inlineStr"/>
    </row>
    <row r="4320">
      <c r="A4320" t="inlineStr">
        <is>
          <t>Stone, ceramics &amp; glass</t>
        </is>
      </c>
      <c r="B4320" t="inlineStr">
        <is>
          <t>70</t>
        </is>
      </c>
      <c r="C4320" t="inlineStr">
        <is>
          <t>70200019</t>
        </is>
      </c>
      <c r="D4320" t="inlineStr">
        <is>
          <t>OTHR GLASS SHELLS</t>
        </is>
      </c>
      <c r="E4320" s="3" t="n">
        <v>0.02</v>
      </c>
      <c r="F4320" s="3" t="n">
        <v>0</v>
      </c>
      <c r="G4320" s="3">
        <f>F4320-E4320</f>
        <v/>
      </c>
      <c r="H4320" s="4">
        <f>IF(E4320=0,"",F4320/E4320-1)</f>
        <v/>
      </c>
      <c r="I4320" t="inlineStr"/>
    </row>
    <row r="4321">
      <c r="A4321" t="inlineStr">
        <is>
          <t>Stone, ceramics &amp; glass</t>
        </is>
      </c>
      <c r="B4321" t="inlineStr">
        <is>
          <t>70</t>
        </is>
      </c>
      <c r="C4321" t="inlineStr">
        <is>
          <t>70200021</t>
        </is>
      </c>
      <c r="D4321" t="inlineStr">
        <is>
          <t>GLS CHIMENEYS FOR LAMPS AND LANTERNS</t>
        </is>
      </c>
      <c r="E4321" s="3" t="n">
        <v>0</v>
      </c>
      <c r="F4321" s="3" t="n">
        <v>0</v>
      </c>
      <c r="G4321" s="3">
        <f>F4321-E4321</f>
        <v/>
      </c>
      <c r="H4321" s="4">
        <f>IF(E4321=0,"",F4321/E4321-1)</f>
        <v/>
      </c>
      <c r="I4321" t="inlineStr"/>
    </row>
    <row r="4322">
      <c r="A4322" t="inlineStr">
        <is>
          <t>Stone, ceramics &amp; glass</t>
        </is>
      </c>
      <c r="B4322" t="inlineStr">
        <is>
          <t>70</t>
        </is>
      </c>
      <c r="C4322" t="inlineStr">
        <is>
          <t>70200029</t>
        </is>
      </c>
      <c r="D4322" t="inlineStr">
        <is>
          <t>OTHER GLS CHIMENEYS</t>
        </is>
      </c>
      <c r="E4322" s="3" t="n">
        <v>0</v>
      </c>
      <c r="F4322" s="3" t="n">
        <v>0</v>
      </c>
      <c r="G4322" s="3">
        <f>F4322-E4322</f>
        <v/>
      </c>
      <c r="H4322" s="4">
        <f>IF(E4322=0,"",F4322/E4322-1)</f>
        <v/>
      </c>
      <c r="I4322" t="inlineStr"/>
    </row>
    <row r="4323">
      <c r="A4323" s="6" t="inlineStr">
        <is>
          <t>Plastics &amp; rubber  —  338 lines</t>
        </is>
      </c>
      <c r="B4323" s="6" t="inlineStr"/>
      <c r="C4323" s="6" t="inlineStr"/>
      <c r="D4323" s="6" t="inlineStr"/>
      <c r="E4323" s="7" t="n">
        <v>673.4</v>
      </c>
      <c r="F4323" s="7" t="n">
        <v>780.75</v>
      </c>
      <c r="G4323" s="7" t="n">
        <v>107.35</v>
      </c>
      <c r="H4323" s="8" t="n">
        <v>0.1594149094149098</v>
      </c>
      <c r="I4323" s="6" t="inlineStr"/>
    </row>
    <row r="4324">
      <c r="A4324" t="inlineStr">
        <is>
          <t>Plastics &amp; rubber</t>
        </is>
      </c>
      <c r="B4324" t="inlineStr">
        <is>
          <t>39</t>
        </is>
      </c>
      <c r="C4324" t="inlineStr">
        <is>
          <t>39076190</t>
        </is>
      </c>
      <c r="D4324" t="inlineStr">
        <is>
          <t>OTHER PRIMARY FORM</t>
        </is>
      </c>
      <c r="E4324" s="3" t="n">
        <v>52.42</v>
      </c>
      <c r="F4324" s="3" t="n">
        <v>107.25</v>
      </c>
      <c r="G4324" s="3">
        <f>F4324-E4324</f>
        <v/>
      </c>
      <c r="H4324" s="4">
        <f>IF(E4324=0,"",F4324/E4324-1)</f>
        <v/>
      </c>
      <c r="I4324" t="inlineStr"/>
    </row>
    <row r="4325">
      <c r="A4325" t="inlineStr">
        <is>
          <t>Plastics &amp; rubber</t>
        </is>
      </c>
      <c r="B4325" t="inlineStr">
        <is>
          <t>39</t>
        </is>
      </c>
      <c r="C4325" t="inlineStr">
        <is>
          <t>39076930</t>
        </is>
      </c>
      <c r="D4325" t="inlineStr">
        <is>
          <t>PET FLAKE (CHIP)</t>
        </is>
      </c>
      <c r="E4325" s="3" t="n">
        <v>49.74</v>
      </c>
      <c r="F4325" s="3" t="n">
        <v>90.08</v>
      </c>
      <c r="G4325" s="3">
        <f>F4325-E4325</f>
        <v/>
      </c>
      <c r="H4325" s="4">
        <f>IF(E4325=0,"",F4325/E4325-1)</f>
        <v/>
      </c>
      <c r="I4325" t="inlineStr"/>
    </row>
    <row r="4326">
      <c r="A4326" t="inlineStr">
        <is>
          <t>Plastics &amp; rubber</t>
        </is>
      </c>
      <c r="B4326" t="inlineStr">
        <is>
          <t>39</t>
        </is>
      </c>
      <c r="C4326" t="inlineStr">
        <is>
          <t>39232990</t>
        </is>
      </c>
      <c r="D4326" t="inlineStr">
        <is>
          <t>*SACK AND BAG (INCL CONES)OF OTHR PLASTIC NES</t>
        </is>
      </c>
      <c r="E4326" s="3" t="n">
        <v>39.93</v>
      </c>
      <c r="F4326" s="3" t="n">
        <v>47.49</v>
      </c>
      <c r="G4326" s="3">
        <f>F4326-E4326</f>
        <v/>
      </c>
      <c r="H4326" s="4">
        <f>IF(E4326=0,"",F4326/E4326-1)</f>
        <v/>
      </c>
      <c r="I4326" t="inlineStr"/>
    </row>
    <row r="4327">
      <c r="A4327" t="inlineStr">
        <is>
          <t>Plastics &amp; rubber</t>
        </is>
      </c>
      <c r="B4327" t="inlineStr">
        <is>
          <t>39</t>
        </is>
      </c>
      <c r="C4327" t="inlineStr">
        <is>
          <t>39269099</t>
        </is>
      </c>
      <c r="D4327" t="inlineStr">
        <is>
          <t>OTHR ARTICLE OF PLASTIC NES</t>
        </is>
      </c>
      <c r="E4327" s="3" t="n">
        <v>50.48</v>
      </c>
      <c r="F4327" s="3" t="n">
        <v>43.73</v>
      </c>
      <c r="G4327" s="3">
        <f>F4327-E4327</f>
        <v/>
      </c>
      <c r="H4327" s="4">
        <f>IF(E4327=0,"",F4327/E4327-1)</f>
        <v/>
      </c>
      <c r="I4327" t="inlineStr"/>
    </row>
    <row r="4328">
      <c r="A4328" t="inlineStr">
        <is>
          <t>Plastics &amp; rubber</t>
        </is>
      </c>
      <c r="B4328" t="inlineStr">
        <is>
          <t>39</t>
        </is>
      </c>
      <c r="C4328" t="inlineStr">
        <is>
          <t>39011090</t>
        </is>
      </c>
      <c r="D4328" t="inlineStr">
        <is>
          <t>OTHR POLYETHYLENE HVNG A SPFC GRVTY &lt; 0.94</t>
        </is>
      </c>
      <c r="E4328" s="3" t="n">
        <v>60.4</v>
      </c>
      <c r="F4328" s="3" t="n">
        <v>37.16</v>
      </c>
      <c r="G4328" s="3">
        <f>F4328-E4328</f>
        <v/>
      </c>
      <c r="H4328" s="4">
        <f>IF(E4328=0,"",F4328/E4328-1)</f>
        <v/>
      </c>
      <c r="I4328" t="inlineStr"/>
    </row>
    <row r="4329">
      <c r="A4329" t="inlineStr">
        <is>
          <t>Plastics &amp; rubber</t>
        </is>
      </c>
      <c r="B4329" t="inlineStr">
        <is>
          <t>39</t>
        </is>
      </c>
      <c r="C4329" t="inlineStr">
        <is>
          <t>39019000</t>
        </is>
      </c>
      <c r="D4329" t="inlineStr">
        <is>
          <t>OTHERS-OF-OTHR POLYMERSOF ETHYLINE IN PRIMARY FORMS</t>
        </is>
      </c>
      <c r="E4329" s="3" t="n">
        <v>24.14</v>
      </c>
      <c r="F4329" s="3" t="n">
        <v>36.43</v>
      </c>
      <c r="G4329" s="3">
        <f>F4329-E4329</f>
        <v/>
      </c>
      <c r="H4329" s="4">
        <f>IF(E4329=0,"",F4329/E4329-1)</f>
        <v/>
      </c>
      <c r="I4329" t="inlineStr"/>
    </row>
    <row r="4330">
      <c r="A4330" t="inlineStr">
        <is>
          <t>Plastics &amp; rubber</t>
        </is>
      </c>
      <c r="B4330" t="inlineStr">
        <is>
          <t>40</t>
        </is>
      </c>
      <c r="C4330" t="inlineStr">
        <is>
          <t>40112010</t>
        </is>
      </c>
      <c r="D4330" t="inlineStr">
        <is>
          <t>RADIALS TYRES USED ON BUSES/LORRIES</t>
        </is>
      </c>
      <c r="E4330" s="3" t="n">
        <v>30.9</v>
      </c>
      <c r="F4330" s="3" t="n">
        <v>35.61</v>
      </c>
      <c r="G4330" s="3">
        <f>F4330-E4330</f>
        <v/>
      </c>
      <c r="H4330" s="4">
        <f>IF(E4330=0,"",F4330/E4330-1)</f>
        <v/>
      </c>
      <c r="I4330" t="inlineStr"/>
    </row>
    <row r="4331">
      <c r="A4331" t="inlineStr">
        <is>
          <t>Plastics &amp; rubber</t>
        </is>
      </c>
      <c r="B4331" t="inlineStr">
        <is>
          <t>39</t>
        </is>
      </c>
      <c r="C4331" t="inlineStr">
        <is>
          <t>39259090</t>
        </is>
      </c>
      <c r="D4331" t="inlineStr">
        <is>
          <t>OTHER BUILDERS WARE OF PLASTICS NES</t>
        </is>
      </c>
      <c r="E4331" s="3" t="n">
        <v>24.35</v>
      </c>
      <c r="F4331" s="3" t="n">
        <v>25.48</v>
      </c>
      <c r="G4331" s="3">
        <f>F4331-E4331</f>
        <v/>
      </c>
      <c r="H4331" s="4">
        <f>IF(E4331=0,"",F4331/E4331-1)</f>
        <v/>
      </c>
      <c r="I4331" t="inlineStr"/>
    </row>
    <row r="4332">
      <c r="A4332" t="inlineStr">
        <is>
          <t>Plastics &amp; rubber</t>
        </is>
      </c>
      <c r="B4332" t="inlineStr">
        <is>
          <t>39</t>
        </is>
      </c>
      <c r="C4332" t="inlineStr">
        <is>
          <t>39069090</t>
        </is>
      </c>
      <c r="D4332" t="inlineStr">
        <is>
          <t>OTHERS ACRYLIC POLYMERS IN PRIMARY FORMS EXCL. POLY (METHYL METHACRYLATE</t>
        </is>
      </c>
      <c r="E4332" s="3" t="n">
        <v>13.22</v>
      </c>
      <c r="F4332" s="3" t="n">
        <v>25.12</v>
      </c>
      <c r="G4332" s="3">
        <f>F4332-E4332</f>
        <v/>
      </c>
      <c r="H4332" s="4">
        <f>IF(E4332=0,"",F4332/E4332-1)</f>
        <v/>
      </c>
      <c r="I4332" t="inlineStr"/>
    </row>
    <row r="4333">
      <c r="A4333" t="inlineStr">
        <is>
          <t>Plastics &amp; rubber</t>
        </is>
      </c>
      <c r="B4333" t="inlineStr">
        <is>
          <t>39</t>
        </is>
      </c>
      <c r="C4333" t="inlineStr">
        <is>
          <t>39172390</t>
        </is>
      </c>
      <c r="D4333" t="inlineStr">
        <is>
          <t>OTHR TUBE PIPEAND HOSES OF POLYVINYL CHLORDE</t>
        </is>
      </c>
      <c r="E4333" s="3" t="n">
        <v>21.62</v>
      </c>
      <c r="F4333" s="3" t="n">
        <v>24.37</v>
      </c>
      <c r="G4333" s="3">
        <f>F4333-E4333</f>
        <v/>
      </c>
      <c r="H4333" s="4">
        <f>IF(E4333=0,"",F4333/E4333-1)</f>
        <v/>
      </c>
      <c r="I4333" t="inlineStr"/>
    </row>
    <row r="4334">
      <c r="A4334" t="inlineStr">
        <is>
          <t>Plastics &amp; rubber</t>
        </is>
      </c>
      <c r="B4334" t="inlineStr">
        <is>
          <t>40</t>
        </is>
      </c>
      <c r="C4334" t="inlineStr">
        <is>
          <t>40118000</t>
        </is>
      </c>
      <c r="D4334" t="inlineStr">
        <is>
          <t>OF A KIND USED ON CONSTRUCTION, MINING OR INDUSTRIAL HANDLING VEHICLES AND MACHINES</t>
        </is>
      </c>
      <c r="E4334" s="3" t="n">
        <v>18.74</v>
      </c>
      <c r="F4334" s="3" t="n">
        <v>24.17</v>
      </c>
      <c r="G4334" s="3">
        <f>F4334-E4334</f>
        <v/>
      </c>
      <c r="H4334" s="4">
        <f>IF(E4334=0,"",F4334/E4334-1)</f>
        <v/>
      </c>
      <c r="I4334" t="inlineStr"/>
    </row>
    <row r="4335">
      <c r="A4335" t="inlineStr">
        <is>
          <t>Plastics &amp; rubber</t>
        </is>
      </c>
      <c r="B4335" t="inlineStr">
        <is>
          <t>39</t>
        </is>
      </c>
      <c r="C4335" t="inlineStr">
        <is>
          <t>39206919</t>
        </is>
      </c>
      <c r="D4335" t="inlineStr">
        <is>
          <t>PACKAG FILM OF OTHR POLYESTERS NES</t>
        </is>
      </c>
      <c r="E4335" s="3" t="n">
        <v>2.7</v>
      </c>
      <c r="F4335" s="3" t="n">
        <v>14.45</v>
      </c>
      <c r="G4335" s="3">
        <f>F4335-E4335</f>
        <v/>
      </c>
      <c r="H4335" s="4">
        <f>IF(E4335=0,"",F4335/E4335-1)</f>
        <v/>
      </c>
      <c r="I4335" t="inlineStr"/>
    </row>
    <row r="4336">
      <c r="A4336" t="inlineStr">
        <is>
          <t>Plastics &amp; rubber</t>
        </is>
      </c>
      <c r="B4336" t="inlineStr">
        <is>
          <t>39</t>
        </is>
      </c>
      <c r="C4336" t="inlineStr">
        <is>
          <t>39239090</t>
        </is>
      </c>
      <c r="D4336" t="inlineStr">
        <is>
          <t>OTHR ARTCLS FOR CNVYNCE/PCKNG OF GOODS NES</t>
        </is>
      </c>
      <c r="E4336" s="3" t="n">
        <v>11.49</v>
      </c>
      <c r="F4336" s="3" t="n">
        <v>12.97</v>
      </c>
      <c r="G4336" s="3">
        <f>F4336-E4336</f>
        <v/>
      </c>
      <c r="H4336" s="4">
        <f>IF(E4336=0,"",F4336/E4336-1)</f>
        <v/>
      </c>
      <c r="I4336" t="inlineStr"/>
    </row>
    <row r="4337">
      <c r="A4337" t="inlineStr">
        <is>
          <t>Plastics &amp; rubber</t>
        </is>
      </c>
      <c r="B4337" t="inlineStr">
        <is>
          <t>39</t>
        </is>
      </c>
      <c r="C4337" t="inlineStr">
        <is>
          <t>39174000</t>
        </is>
      </c>
      <c r="D4337" t="inlineStr">
        <is>
          <t>FITTINGS FOR TUBES PIPES AND HOSES OF PLSTC</t>
        </is>
      </c>
      <c r="E4337" s="3" t="n">
        <v>12.41</v>
      </c>
      <c r="F4337" s="3" t="n">
        <v>12.21</v>
      </c>
      <c r="G4337" s="3">
        <f>F4337-E4337</f>
        <v/>
      </c>
      <c r="H4337" s="4">
        <f>IF(E4337=0,"",F4337/E4337-1)</f>
        <v/>
      </c>
      <c r="I4337" t="inlineStr"/>
    </row>
    <row r="4338">
      <c r="A4338" t="inlineStr">
        <is>
          <t>Plastics &amp; rubber</t>
        </is>
      </c>
      <c r="B4338" t="inlineStr">
        <is>
          <t>39</t>
        </is>
      </c>
      <c r="C4338" t="inlineStr">
        <is>
          <t>39079120</t>
        </is>
      </c>
      <c r="D4338" t="inlineStr">
        <is>
          <t>POLYESTER OR CONTRACT RESINS UNSATURATED</t>
        </is>
      </c>
      <c r="E4338" s="3" t="n">
        <v>17.18</v>
      </c>
      <c r="F4338" s="3" t="n">
        <v>10.11</v>
      </c>
      <c r="G4338" s="3">
        <f>F4338-E4338</f>
        <v/>
      </c>
      <c r="H4338" s="4">
        <f>IF(E4338=0,"",F4338/E4338-1)</f>
        <v/>
      </c>
      <c r="I4338" t="inlineStr"/>
    </row>
    <row r="4339">
      <c r="A4339" t="inlineStr">
        <is>
          <t>Plastics &amp; rubber</t>
        </is>
      </c>
      <c r="B4339" t="inlineStr">
        <is>
          <t>39</t>
        </is>
      </c>
      <c r="C4339" t="inlineStr">
        <is>
          <t>39201099</t>
        </is>
      </c>
      <c r="D4339" t="inlineStr">
        <is>
          <t>OTHR PLTS,SHEET OF POLYMRS OF ETHYLENE NES</t>
        </is>
      </c>
      <c r="E4339" s="3" t="n">
        <v>4.56</v>
      </c>
      <c r="F4339" s="3" t="n">
        <v>7.85</v>
      </c>
      <c r="G4339" s="3">
        <f>F4339-E4339</f>
        <v/>
      </c>
      <c r="H4339" s="4">
        <f>IF(E4339=0,"",F4339/E4339-1)</f>
        <v/>
      </c>
      <c r="I4339" t="inlineStr"/>
    </row>
    <row r="4340">
      <c r="A4340" t="inlineStr">
        <is>
          <t>Plastics &amp; rubber</t>
        </is>
      </c>
      <c r="B4340" t="inlineStr">
        <is>
          <t>39</t>
        </is>
      </c>
      <c r="C4340" t="inlineStr">
        <is>
          <t>39206220</t>
        </is>
      </c>
      <c r="D4340" t="inlineStr">
        <is>
          <t>PLTES SHTS ETC OF PLYETHYLN TEREPHTHALTE FLEXIBLE, PLAIN</t>
        </is>
      </c>
      <c r="E4340" s="3" t="n">
        <v>9.17</v>
      </c>
      <c r="F4340" s="3" t="n">
        <v>7.53</v>
      </c>
      <c r="G4340" s="3">
        <f>F4340-E4340</f>
        <v/>
      </c>
      <c r="H4340" s="4">
        <f>IF(E4340=0,"",F4340/E4340-1)</f>
        <v/>
      </c>
      <c r="I4340" t="inlineStr"/>
    </row>
    <row r="4341">
      <c r="A4341" t="inlineStr">
        <is>
          <t>Plastics &amp; rubber</t>
        </is>
      </c>
      <c r="B4341" t="inlineStr">
        <is>
          <t>40</t>
        </is>
      </c>
      <c r="C4341" t="inlineStr">
        <is>
          <t>40101290</t>
        </is>
      </c>
      <c r="D4341" t="inlineStr">
        <is>
          <t>(CNVYR BLT/BLTNG)RENFRCD WTH TXTL MTRLS WHERE RUBR COMPD CONTENT MORE THAN 25% BY WEIGHT</t>
        </is>
      </c>
      <c r="E4341" s="3" t="n">
        <v>4.42</v>
      </c>
      <c r="F4341" s="3" t="n">
        <v>7.18</v>
      </c>
      <c r="G4341" s="3">
        <f>F4341-E4341</f>
        <v/>
      </c>
      <c r="H4341" s="4">
        <f>IF(E4341=0,"",F4341/E4341-1)</f>
        <v/>
      </c>
      <c r="I4341" t="inlineStr"/>
    </row>
    <row r="4342">
      <c r="A4342" t="inlineStr">
        <is>
          <t>Plastics &amp; rubber</t>
        </is>
      </c>
      <c r="B4342" t="inlineStr">
        <is>
          <t>39</t>
        </is>
      </c>
      <c r="C4342" t="inlineStr">
        <is>
          <t>39076990</t>
        </is>
      </c>
      <c r="D4342" t="inlineStr">
        <is>
          <t>OTHERS-OF-OTHER: POLY(ETHYLENE TEREPHTHALATE)</t>
        </is>
      </c>
      <c r="E4342" s="3" t="n">
        <v>16.08</v>
      </c>
      <c r="F4342" s="3" t="n">
        <v>6.41</v>
      </c>
      <c r="G4342" s="3">
        <f>F4342-E4342</f>
        <v/>
      </c>
      <c r="H4342" s="4">
        <f>IF(E4342=0,"",F4342/E4342-1)</f>
        <v/>
      </c>
      <c r="I4342" t="inlineStr"/>
    </row>
    <row r="4343">
      <c r="A4343" t="inlineStr">
        <is>
          <t>Plastics &amp; rubber</t>
        </is>
      </c>
      <c r="B4343" t="inlineStr">
        <is>
          <t>39</t>
        </is>
      </c>
      <c r="C4343" t="inlineStr">
        <is>
          <t>39204900</t>
        </is>
      </c>
      <c r="D4343" t="inlineStr">
        <is>
          <t>OTHR PLTES SHTS OF POLYMR OF VINYL CHLORID</t>
        </is>
      </c>
      <c r="E4343" s="3" t="n">
        <v>10.36</v>
      </c>
      <c r="F4343" s="3" t="n">
        <v>5.74</v>
      </c>
      <c r="G4343" s="3">
        <f>F4343-E4343</f>
        <v/>
      </c>
      <c r="H4343" s="4">
        <f>IF(E4343=0,"",F4343/E4343-1)</f>
        <v/>
      </c>
      <c r="I4343" t="inlineStr"/>
    </row>
    <row r="4344">
      <c r="A4344" t="inlineStr">
        <is>
          <t>Plastics &amp; rubber</t>
        </is>
      </c>
      <c r="B4344" t="inlineStr">
        <is>
          <t>40</t>
        </is>
      </c>
      <c r="C4344" t="inlineStr">
        <is>
          <t>40111010</t>
        </is>
      </c>
      <c r="D4344" t="inlineStr">
        <is>
          <t>RADIALS TYRES USED ON MOTOR CARS (INCL STATION WAGONS AND RACING CARS)</t>
        </is>
      </c>
      <c r="E4344" s="3" t="n">
        <v>7.64</v>
      </c>
      <c r="F4344" s="3" t="n">
        <v>5.67</v>
      </c>
      <c r="G4344" s="3">
        <f>F4344-E4344</f>
        <v/>
      </c>
      <c r="H4344" s="4">
        <f>IF(E4344=0,"",F4344/E4344-1)</f>
        <v/>
      </c>
      <c r="I4344" t="inlineStr"/>
    </row>
    <row r="4345">
      <c r="A4345" t="inlineStr">
        <is>
          <t>Plastics &amp; rubber</t>
        </is>
      </c>
      <c r="B4345" t="inlineStr">
        <is>
          <t>39</t>
        </is>
      </c>
      <c r="C4345" t="inlineStr">
        <is>
          <t>39181090</t>
        </is>
      </c>
      <c r="D4345" t="inlineStr">
        <is>
          <t>OTHER POLYMERS OF VENYL CHLORIDE</t>
        </is>
      </c>
      <c r="E4345" s="3" t="n">
        <v>4.41</v>
      </c>
      <c r="F4345" s="3" t="n">
        <v>5.62</v>
      </c>
      <c r="G4345" s="3">
        <f>F4345-E4345</f>
        <v/>
      </c>
      <c r="H4345" s="4">
        <f>IF(E4345=0,"",F4345/E4345-1)</f>
        <v/>
      </c>
      <c r="I4345" t="inlineStr"/>
    </row>
    <row r="4346">
      <c r="A4346" t="inlineStr">
        <is>
          <t>Plastics &amp; rubber</t>
        </is>
      </c>
      <c r="B4346" t="inlineStr">
        <is>
          <t>39</t>
        </is>
      </c>
      <c r="C4346" t="inlineStr">
        <is>
          <t>39199090</t>
        </is>
      </c>
      <c r="D4346" t="inlineStr">
        <is>
          <t>OTHER SELF-ADHSV PLTS ETC NES</t>
        </is>
      </c>
      <c r="E4346" s="3" t="n">
        <v>2.93</v>
      </c>
      <c r="F4346" s="3" t="n">
        <v>5.51</v>
      </c>
      <c r="G4346" s="3">
        <f>F4346-E4346</f>
        <v/>
      </c>
      <c r="H4346" s="4">
        <f>IF(E4346=0,"",F4346/E4346-1)</f>
        <v/>
      </c>
      <c r="I4346" t="inlineStr"/>
    </row>
    <row r="4347">
      <c r="A4347" t="inlineStr">
        <is>
          <t>Plastics &amp; rubber</t>
        </is>
      </c>
      <c r="B4347" t="inlineStr">
        <is>
          <t>39</t>
        </is>
      </c>
      <c r="C4347" t="inlineStr">
        <is>
          <t>39219099</t>
        </is>
      </c>
      <c r="D4347" t="inlineStr">
        <is>
          <t>OTHR PLTS,SHTS,FILM FOIL,STRIP ETC NES OTHER</t>
        </is>
      </c>
      <c r="E4347" s="3" t="n">
        <v>2.58</v>
      </c>
      <c r="F4347" s="3" t="n">
        <v>5.4</v>
      </c>
      <c r="G4347" s="3">
        <f>F4347-E4347</f>
        <v/>
      </c>
      <c r="H4347" s="4">
        <f>IF(E4347=0,"",F4347/E4347-1)</f>
        <v/>
      </c>
      <c r="I4347" t="inlineStr"/>
    </row>
    <row r="4348">
      <c r="A4348" t="inlineStr">
        <is>
          <t>Plastics &amp; rubber</t>
        </is>
      </c>
      <c r="B4348" t="inlineStr">
        <is>
          <t>39</t>
        </is>
      </c>
      <c r="C4348" t="inlineStr">
        <is>
          <t>39252000</t>
        </is>
      </c>
      <c r="D4348" t="inlineStr">
        <is>
          <t>DOORS WNDOWS AND THR FRMS THRSHLDS FOR DOORS</t>
        </is>
      </c>
      <c r="E4348" s="3" t="n">
        <v>7.34</v>
      </c>
      <c r="F4348" s="3" t="n">
        <v>5.13</v>
      </c>
      <c r="G4348" s="3">
        <f>F4348-E4348</f>
        <v/>
      </c>
      <c r="H4348" s="4">
        <f>IF(E4348=0,"",F4348/E4348-1)</f>
        <v/>
      </c>
      <c r="I4348" t="inlineStr"/>
    </row>
    <row r="4349">
      <c r="A4349" t="inlineStr">
        <is>
          <t>Plastics &amp; rubber</t>
        </is>
      </c>
      <c r="B4349" t="inlineStr">
        <is>
          <t>39</t>
        </is>
      </c>
      <c r="C4349" t="inlineStr">
        <is>
          <t>39249090</t>
        </is>
      </c>
      <c r="D4349" t="inlineStr">
        <is>
          <t>OTHR HOUSHOLD ANDTOILT ARTCLS OF PLSTCS NES</t>
        </is>
      </c>
      <c r="E4349" s="3" t="n">
        <v>3.96</v>
      </c>
      <c r="F4349" s="3" t="n">
        <v>5.06</v>
      </c>
      <c r="G4349" s="3">
        <f>F4349-E4349</f>
        <v/>
      </c>
      <c r="H4349" s="4">
        <f>IF(E4349=0,"",F4349/E4349-1)</f>
        <v/>
      </c>
      <c r="I4349" t="inlineStr"/>
    </row>
    <row r="4350">
      <c r="A4350" t="inlineStr">
        <is>
          <t>Plastics &amp; rubber</t>
        </is>
      </c>
      <c r="B4350" t="inlineStr">
        <is>
          <t>39</t>
        </is>
      </c>
      <c r="C4350" t="inlineStr">
        <is>
          <t>39269080</t>
        </is>
      </c>
      <c r="D4350" t="inlineStr">
        <is>
          <t>POLYPROPYLENE ARTICLES,N.E.S.</t>
        </is>
      </c>
      <c r="E4350" s="3" t="n">
        <v>4.25</v>
      </c>
      <c r="F4350" s="3" t="n">
        <v>5</v>
      </c>
      <c r="G4350" s="3">
        <f>F4350-E4350</f>
        <v/>
      </c>
      <c r="H4350" s="4">
        <f>IF(E4350=0,"",F4350/E4350-1)</f>
        <v/>
      </c>
      <c r="I4350" t="inlineStr"/>
    </row>
    <row r="4351">
      <c r="A4351" t="inlineStr">
        <is>
          <t>Plastics &amp; rubber</t>
        </is>
      </c>
      <c r="B4351" t="inlineStr">
        <is>
          <t>39</t>
        </is>
      </c>
      <c r="C4351" t="inlineStr">
        <is>
          <t>39233090</t>
        </is>
      </c>
      <c r="D4351" t="inlineStr">
        <is>
          <t>CRBYS BTTLS FLSKAND SMLR ARTCL OF PLSTCS NES</t>
        </is>
      </c>
      <c r="E4351" s="3" t="n">
        <v>2.86</v>
      </c>
      <c r="F4351" s="3" t="n">
        <v>4.68</v>
      </c>
      <c r="G4351" s="3">
        <f>F4351-E4351</f>
        <v/>
      </c>
      <c r="H4351" s="4">
        <f>IF(E4351=0,"",F4351/E4351-1)</f>
        <v/>
      </c>
      <c r="I4351" t="inlineStr"/>
    </row>
    <row r="4352">
      <c r="A4352" t="inlineStr">
        <is>
          <t>Plastics &amp; rubber</t>
        </is>
      </c>
      <c r="B4352" t="inlineStr">
        <is>
          <t>39</t>
        </is>
      </c>
      <c r="C4352" t="inlineStr">
        <is>
          <t>39206912</t>
        </is>
      </c>
      <c r="D4352" t="inlineStr">
        <is>
          <t>PACKAG FILM OF OTHR POLYESTR FLEXIBL PLAIN</t>
        </is>
      </c>
      <c r="E4352" s="3" t="n">
        <v>0</v>
      </c>
      <c r="F4352" s="3" t="n">
        <v>4.63</v>
      </c>
      <c r="G4352" s="3">
        <f>F4352-E4352</f>
        <v/>
      </c>
      <c r="H4352" s="4">
        <f>IF(E4352=0,"",F4352/E4352-1)</f>
        <v/>
      </c>
      <c r="I4352" t="inlineStr"/>
    </row>
    <row r="4353">
      <c r="A4353" t="inlineStr">
        <is>
          <t>Plastics &amp; rubber</t>
        </is>
      </c>
      <c r="B4353" t="inlineStr">
        <is>
          <t>39</t>
        </is>
      </c>
      <c r="C4353" t="inlineStr">
        <is>
          <t>39219010</t>
        </is>
      </c>
      <c r="D4353" t="inlineStr">
        <is>
          <t>THERM0C0L</t>
        </is>
      </c>
      <c r="E4353" s="3" t="n">
        <v>3.92</v>
      </c>
      <c r="F4353" s="3" t="n">
        <v>4.57</v>
      </c>
      <c r="G4353" s="3">
        <f>F4353-E4353</f>
        <v/>
      </c>
      <c r="H4353" s="4">
        <f>IF(E4353=0,"",F4353/E4353-1)</f>
        <v/>
      </c>
      <c r="I4353" t="inlineStr"/>
    </row>
    <row r="4354">
      <c r="A4354" t="inlineStr">
        <is>
          <t>Plastics &amp; rubber</t>
        </is>
      </c>
      <c r="B4354" t="inlineStr">
        <is>
          <t>39</t>
        </is>
      </c>
      <c r="C4354" t="inlineStr">
        <is>
          <t>39202090</t>
        </is>
      </c>
      <c r="D4354" t="inlineStr">
        <is>
          <t>PLTES SHTS OF POLYMRS OF PROPYLN NES</t>
        </is>
      </c>
      <c r="E4354" s="3" t="n">
        <v>3.19</v>
      </c>
      <c r="F4354" s="3" t="n">
        <v>4.4</v>
      </c>
      <c r="G4354" s="3">
        <f>F4354-E4354</f>
        <v/>
      </c>
      <c r="H4354" s="4">
        <f>IF(E4354=0,"",F4354/E4354-1)</f>
        <v/>
      </c>
      <c r="I4354" t="inlineStr"/>
    </row>
    <row r="4355">
      <c r="A4355" t="inlineStr">
        <is>
          <t>Plastics &amp; rubber</t>
        </is>
      </c>
      <c r="B4355" t="inlineStr">
        <is>
          <t>40</t>
        </is>
      </c>
      <c r="C4355" t="inlineStr">
        <is>
          <t>40082190</t>
        </is>
      </c>
      <c r="D4355" t="inlineStr">
        <is>
          <t>OTHER FORM OF PLTS,SHTS,STRIPS OF NON- CELLULAR RUBR</t>
        </is>
      </c>
      <c r="E4355" s="3" t="n">
        <v>2.18</v>
      </c>
      <c r="F4355" s="3" t="n">
        <v>4.12</v>
      </c>
      <c r="G4355" s="3">
        <f>F4355-E4355</f>
        <v/>
      </c>
      <c r="H4355" s="4">
        <f>IF(E4355=0,"",F4355/E4355-1)</f>
        <v/>
      </c>
      <c r="I4355" t="inlineStr"/>
    </row>
    <row r="4356">
      <c r="A4356" t="inlineStr">
        <is>
          <t>Plastics &amp; rubber</t>
        </is>
      </c>
      <c r="B4356" t="inlineStr">
        <is>
          <t>39</t>
        </is>
      </c>
      <c r="C4356" t="inlineStr">
        <is>
          <t>39042200</t>
        </is>
      </c>
      <c r="D4356" t="inlineStr">
        <is>
          <t>OTHER POLY (VINYL CHORIDE), MIXED WITH OTHER SUBSTANCES -- PLASTICISED</t>
        </is>
      </c>
      <c r="E4356" s="3" t="n">
        <v>1.56</v>
      </c>
      <c r="F4356" s="3" t="n">
        <v>4.1</v>
      </c>
      <c r="G4356" s="3">
        <f>F4356-E4356</f>
        <v/>
      </c>
      <c r="H4356" s="4">
        <f>IF(E4356=0,"",F4356/E4356-1)</f>
        <v/>
      </c>
      <c r="I4356" t="inlineStr"/>
    </row>
    <row r="4357">
      <c r="A4357" t="inlineStr">
        <is>
          <t>Plastics &amp; rubber</t>
        </is>
      </c>
      <c r="B4357" t="inlineStr">
        <is>
          <t>40</t>
        </is>
      </c>
      <c r="C4357" t="inlineStr">
        <is>
          <t>40169990</t>
        </is>
      </c>
      <c r="D4357" t="inlineStr">
        <is>
          <t>OTHERS ARTICLES OF VULCANISED RUBBER EXCL. MATS/GASKETS AND OTHER INFLATABLE ARTICLES</t>
        </is>
      </c>
      <c r="E4357" s="3" t="n">
        <v>3.11</v>
      </c>
      <c r="F4357" s="3" t="n">
        <v>3.97</v>
      </c>
      <c r="G4357" s="3">
        <f>F4357-E4357</f>
        <v/>
      </c>
      <c r="H4357" s="4">
        <f>IF(E4357=0,"",F4357/E4357-1)</f>
        <v/>
      </c>
      <c r="I4357" t="inlineStr"/>
    </row>
    <row r="4358">
      <c r="A4358" t="inlineStr">
        <is>
          <t>Plastics &amp; rubber</t>
        </is>
      </c>
      <c r="B4358" t="inlineStr">
        <is>
          <t>39</t>
        </is>
      </c>
      <c r="C4358" t="inlineStr">
        <is>
          <t>39021000</t>
        </is>
      </c>
      <c r="D4358" t="inlineStr">
        <is>
          <t>POLYPROPYLENE</t>
        </is>
      </c>
      <c r="E4358" s="3" t="n">
        <v>3.49</v>
      </c>
      <c r="F4358" s="3" t="n">
        <v>3.78</v>
      </c>
      <c r="G4358" s="3">
        <f>F4358-E4358</f>
        <v/>
      </c>
      <c r="H4358" s="4">
        <f>IF(E4358=0,"",F4358/E4358-1)</f>
        <v/>
      </c>
      <c r="I4358" t="inlineStr"/>
    </row>
    <row r="4359">
      <c r="A4359" t="inlineStr">
        <is>
          <t>Plastics &amp; rubber</t>
        </is>
      </c>
      <c r="B4359" t="inlineStr">
        <is>
          <t>39</t>
        </is>
      </c>
      <c r="C4359" t="inlineStr">
        <is>
          <t>39231090</t>
        </is>
      </c>
      <c r="D4359" t="inlineStr">
        <is>
          <t>BOX CASE CRATE AND SMLR ARTCLS OF PLSTCS NES</t>
        </is>
      </c>
      <c r="E4359" s="3" t="n">
        <v>4.77</v>
      </c>
      <c r="F4359" s="3" t="n">
        <v>3.69</v>
      </c>
      <c r="G4359" s="3">
        <f>F4359-E4359</f>
        <v/>
      </c>
      <c r="H4359" s="4">
        <f>IF(E4359=0,"",F4359/E4359-1)</f>
        <v/>
      </c>
      <c r="I4359" t="inlineStr"/>
    </row>
    <row r="4360">
      <c r="A4360" t="inlineStr">
        <is>
          <t>Plastics &amp; rubber</t>
        </is>
      </c>
      <c r="B4360" t="inlineStr">
        <is>
          <t>39</t>
        </is>
      </c>
      <c r="C4360" t="inlineStr">
        <is>
          <t>39232100</t>
        </is>
      </c>
      <c r="D4360" t="inlineStr">
        <is>
          <t>SACKS AND BAGS OF POLYETHYLENE (INCL CONES)</t>
        </is>
      </c>
      <c r="E4360" s="3" t="n">
        <v>2.21</v>
      </c>
      <c r="F4360" s="3" t="n">
        <v>3.69</v>
      </c>
      <c r="G4360" s="3">
        <f>F4360-E4360</f>
        <v/>
      </c>
      <c r="H4360" s="4">
        <f>IF(E4360=0,"",F4360/E4360-1)</f>
        <v/>
      </c>
      <c r="I4360" t="inlineStr"/>
    </row>
    <row r="4361">
      <c r="A4361" t="inlineStr">
        <is>
          <t>Plastics &amp; rubber</t>
        </is>
      </c>
      <c r="B4361" t="inlineStr">
        <is>
          <t>39</t>
        </is>
      </c>
      <c r="C4361" t="inlineStr">
        <is>
          <t>39089000</t>
        </is>
      </c>
      <c r="D4361" t="inlineStr">
        <is>
          <t>OTHERS-OF-OTHER POLYAMIDES</t>
        </is>
      </c>
      <c r="E4361" s="3" t="n">
        <v>1.97</v>
      </c>
      <c r="F4361" s="3" t="n">
        <v>3.64</v>
      </c>
      <c r="G4361" s="3">
        <f>F4361-E4361</f>
        <v/>
      </c>
      <c r="H4361" s="4">
        <f>IF(E4361=0,"",F4361/E4361-1)</f>
        <v/>
      </c>
      <c r="I4361" t="inlineStr"/>
    </row>
    <row r="4362">
      <c r="A4362" t="inlineStr">
        <is>
          <t>Plastics &amp; rubber</t>
        </is>
      </c>
      <c r="B4362" t="inlineStr">
        <is>
          <t>39</t>
        </is>
      </c>
      <c r="C4362" t="inlineStr">
        <is>
          <t>39235090</t>
        </is>
      </c>
      <c r="D4362" t="inlineStr">
        <is>
          <t>OTHR STOPRS LID CAPSANDOTHR CLSRES OF PLSTCS</t>
        </is>
      </c>
      <c r="E4362" s="3" t="n">
        <v>2.86</v>
      </c>
      <c r="F4362" s="3" t="n">
        <v>3.55</v>
      </c>
      <c r="G4362" s="3">
        <f>F4362-E4362</f>
        <v/>
      </c>
      <c r="H4362" s="4">
        <f>IF(E4362=0,"",F4362/E4362-1)</f>
        <v/>
      </c>
      <c r="I4362" t="inlineStr"/>
    </row>
    <row r="4363">
      <c r="A4363" t="inlineStr">
        <is>
          <t>Plastics &amp; rubber</t>
        </is>
      </c>
      <c r="B4363" t="inlineStr">
        <is>
          <t>39</t>
        </is>
      </c>
      <c r="C4363" t="inlineStr">
        <is>
          <t>39241090</t>
        </is>
      </c>
      <c r="D4363" t="inlineStr">
        <is>
          <t>OTHER TABLEWARE AND KITCHENWARE OF PLASTICS</t>
        </is>
      </c>
      <c r="E4363" s="3" t="n">
        <v>4.75</v>
      </c>
      <c r="F4363" s="3" t="n">
        <v>3.52</v>
      </c>
      <c r="G4363" s="3">
        <f>F4363-E4363</f>
        <v/>
      </c>
      <c r="H4363" s="4">
        <f>IF(E4363=0,"",F4363/E4363-1)</f>
        <v/>
      </c>
      <c r="I4363" t="inlineStr"/>
    </row>
    <row r="4364">
      <c r="A4364" t="inlineStr">
        <is>
          <t>Plastics &amp; rubber</t>
        </is>
      </c>
      <c r="B4364" t="inlineStr">
        <is>
          <t>39</t>
        </is>
      </c>
      <c r="C4364" t="inlineStr">
        <is>
          <t>39039090</t>
        </is>
      </c>
      <c r="D4364" t="inlineStr">
        <is>
          <t>OTHR POLYMERS OF STYRENE IN PRIMARY FORMS</t>
        </is>
      </c>
      <c r="E4364" s="3" t="n">
        <v>2.39</v>
      </c>
      <c r="F4364" s="3" t="n">
        <v>3.36</v>
      </c>
      <c r="G4364" s="3">
        <f>F4364-E4364</f>
        <v/>
      </c>
      <c r="H4364" s="4">
        <f>IF(E4364=0,"",F4364/E4364-1)</f>
        <v/>
      </c>
      <c r="I4364" t="inlineStr"/>
    </row>
    <row r="4365">
      <c r="A4365" t="inlineStr">
        <is>
          <t>Plastics &amp; rubber</t>
        </is>
      </c>
      <c r="B4365" t="inlineStr">
        <is>
          <t>39</t>
        </is>
      </c>
      <c r="C4365" t="inlineStr">
        <is>
          <t>39072910</t>
        </is>
      </c>
      <c r="D4365" t="inlineStr">
        <is>
          <t>POLY(ETHER ALCOHOLS)</t>
        </is>
      </c>
      <c r="E4365" s="3" t="n">
        <v>2.32</v>
      </c>
      <c r="F4365" s="3" t="n">
        <v>3.25</v>
      </c>
      <c r="G4365" s="3">
        <f>F4365-E4365</f>
        <v/>
      </c>
      <c r="H4365" s="4">
        <f>IF(E4365=0,"",F4365/E4365-1)</f>
        <v/>
      </c>
      <c r="I4365" t="inlineStr"/>
    </row>
    <row r="4366">
      <c r="A4366" t="inlineStr">
        <is>
          <t>Plastics &amp; rubber</t>
        </is>
      </c>
      <c r="B4366" t="inlineStr">
        <is>
          <t>39</t>
        </is>
      </c>
      <c r="C4366" t="inlineStr">
        <is>
          <t>39031990</t>
        </is>
      </c>
      <c r="D4366" t="inlineStr">
        <is>
          <t>OTHER POLYSTYRENE NES</t>
        </is>
      </c>
      <c r="E4366" s="3" t="n">
        <v>1.29</v>
      </c>
      <c r="F4366" s="3" t="n">
        <v>3.22</v>
      </c>
      <c r="G4366" s="3">
        <f>F4366-E4366</f>
        <v/>
      </c>
      <c r="H4366" s="4">
        <f>IF(E4366=0,"",F4366/E4366-1)</f>
        <v/>
      </c>
      <c r="I4366" t="inlineStr"/>
    </row>
    <row r="4367">
      <c r="A4367" t="inlineStr">
        <is>
          <t>Plastics &amp; rubber</t>
        </is>
      </c>
      <c r="B4367" t="inlineStr">
        <is>
          <t>39</t>
        </is>
      </c>
      <c r="C4367" t="inlineStr">
        <is>
          <t>39235010</t>
        </is>
      </c>
      <c r="D4367" t="inlineStr">
        <is>
          <t>CAPS AND CLOSURES FOR BOTTLES</t>
        </is>
      </c>
      <c r="E4367" s="3" t="n">
        <v>1.7</v>
      </c>
      <c r="F4367" s="3" t="n">
        <v>3.01</v>
      </c>
      <c r="G4367" s="3">
        <f>F4367-E4367</f>
        <v/>
      </c>
      <c r="H4367" s="4">
        <f>IF(E4367=0,"",F4367/E4367-1)</f>
        <v/>
      </c>
      <c r="I4367" t="inlineStr"/>
    </row>
    <row r="4368">
      <c r="A4368" t="inlineStr">
        <is>
          <t>Plastics &amp; rubber</t>
        </is>
      </c>
      <c r="B4368" t="inlineStr">
        <is>
          <t>39</t>
        </is>
      </c>
      <c r="C4368" t="inlineStr">
        <is>
          <t>39241010</t>
        </is>
      </c>
      <c r="D4368" t="inlineStr">
        <is>
          <t>TABLEWARE AND KITCHENWARE OF PLASTICS INSULATED WARE</t>
        </is>
      </c>
      <c r="E4368" s="3" t="n">
        <v>3.35</v>
      </c>
      <c r="F4368" s="3" t="n">
        <v>2.96</v>
      </c>
      <c r="G4368" s="3">
        <f>F4368-E4368</f>
        <v/>
      </c>
      <c r="H4368" s="4">
        <f>IF(E4368=0,"",F4368/E4368-1)</f>
        <v/>
      </c>
      <c r="I4368" t="inlineStr"/>
    </row>
    <row r="4369">
      <c r="A4369" t="inlineStr">
        <is>
          <t>Plastics &amp; rubber</t>
        </is>
      </c>
      <c r="B4369" t="inlineStr">
        <is>
          <t>39</t>
        </is>
      </c>
      <c r="C4369" t="inlineStr">
        <is>
          <t>39173210</t>
        </is>
      </c>
      <c r="D4369" t="inlineStr">
        <is>
          <t>TUBE PIPEANDHOSES OF CONDENSATON / REARANGMNTPOLYMERIZATON PRODUCT, W/N CHEMICALY MODFD</t>
        </is>
      </c>
      <c r="E4369" s="3" t="n">
        <v>4.51</v>
      </c>
      <c r="F4369" s="3" t="n">
        <v>2.79</v>
      </c>
      <c r="G4369" s="3">
        <f>F4369-E4369</f>
        <v/>
      </c>
      <c r="H4369" s="4">
        <f>IF(E4369=0,"",F4369/E4369-1)</f>
        <v/>
      </c>
      <c r="I4369" t="inlineStr"/>
    </row>
    <row r="4370">
      <c r="A4370" t="inlineStr">
        <is>
          <t>Plastics &amp; rubber</t>
        </is>
      </c>
      <c r="B4370" t="inlineStr">
        <is>
          <t>39</t>
        </is>
      </c>
      <c r="C4370" t="inlineStr">
        <is>
          <t>39094030</t>
        </is>
      </c>
      <c r="D4370" t="inlineStr">
        <is>
          <t>ALKYL PHENOL-FORMALDEHYDE RESINS</t>
        </is>
      </c>
      <c r="E4370" s="3" t="n">
        <v>3.18</v>
      </c>
      <c r="F4370" s="3" t="n">
        <v>2.45</v>
      </c>
      <c r="G4370" s="3">
        <f>F4370-E4370</f>
        <v/>
      </c>
      <c r="H4370" s="4">
        <f>IF(E4370=0,"",F4370/E4370-1)</f>
        <v/>
      </c>
      <c r="I4370" t="inlineStr"/>
    </row>
    <row r="4371">
      <c r="A4371" t="inlineStr">
        <is>
          <t>Plastics &amp; rubber</t>
        </is>
      </c>
      <c r="B4371" t="inlineStr">
        <is>
          <t>40</t>
        </is>
      </c>
      <c r="C4371" t="inlineStr">
        <is>
          <t>40112090</t>
        </is>
      </c>
      <c r="D4371" t="inlineStr">
        <is>
          <t>OTHER TYRES USED ON BUSES/LORRIES</t>
        </is>
      </c>
      <c r="E4371" s="3" t="n">
        <v>1.16</v>
      </c>
      <c r="F4371" s="3" t="n">
        <v>2.34</v>
      </c>
      <c r="G4371" s="3">
        <f>F4371-E4371</f>
        <v/>
      </c>
      <c r="H4371" s="4">
        <f>IF(E4371=0,"",F4371/E4371-1)</f>
        <v/>
      </c>
      <c r="I4371" t="inlineStr"/>
    </row>
    <row r="4372">
      <c r="A4372" t="inlineStr">
        <is>
          <t>Plastics &amp; rubber</t>
        </is>
      </c>
      <c r="B4372" t="inlineStr">
        <is>
          <t>39</t>
        </is>
      </c>
      <c r="C4372" t="inlineStr">
        <is>
          <t>39231030</t>
        </is>
      </c>
      <c r="D4372" t="inlineStr">
        <is>
          <t>BOXS CASES CRATES AND SMLR ARTCLS OF PLSTCS INSULATED WARE</t>
        </is>
      </c>
      <c r="E4372" s="3" t="n">
        <v>1.98</v>
      </c>
      <c r="F4372" s="3" t="n">
        <v>2.14</v>
      </c>
      <c r="G4372" s="3">
        <f>F4372-E4372</f>
        <v/>
      </c>
      <c r="H4372" s="4">
        <f>IF(E4372=0,"",F4372/E4372-1)</f>
        <v/>
      </c>
      <c r="I4372" t="inlineStr"/>
    </row>
    <row r="4373">
      <c r="A4373" t="inlineStr">
        <is>
          <t>Plastics &amp; rubber</t>
        </is>
      </c>
      <c r="B4373" t="inlineStr">
        <is>
          <t>39</t>
        </is>
      </c>
      <c r="C4373" t="inlineStr">
        <is>
          <t>39129090</t>
        </is>
      </c>
      <c r="D4373" t="inlineStr">
        <is>
          <t>OTHERS CELLULOSE,ITS CHEMCL DRVTVS IN PRIMARY FORMS EXCL CELLULOSE ACETATES/ CELLULOSE NITRATES/CELLULOSE ETHERS/</t>
        </is>
      </c>
      <c r="E4373" s="3" t="n">
        <v>1.32</v>
      </c>
      <c r="F4373" s="3" t="n">
        <v>2.13</v>
      </c>
      <c r="G4373" s="3">
        <f>F4373-E4373</f>
        <v/>
      </c>
      <c r="H4373" s="4">
        <f>IF(E4373=0,"",F4373/E4373-1)</f>
        <v/>
      </c>
      <c r="I4373" t="inlineStr"/>
    </row>
    <row r="4374">
      <c r="A4374" t="inlineStr">
        <is>
          <t>Plastics &amp; rubber</t>
        </is>
      </c>
      <c r="B4374" t="inlineStr">
        <is>
          <t>39</t>
        </is>
      </c>
      <c r="C4374" t="inlineStr">
        <is>
          <t>39205111</t>
        </is>
      </c>
      <c r="D4374" t="inlineStr">
        <is>
          <t>SHTS OF PLYMTHYL METHACRYLTE RIGID, PLAIN</t>
        </is>
      </c>
      <c r="E4374" s="3" t="n">
        <v>0.14</v>
      </c>
      <c r="F4374" s="3" t="n">
        <v>2.06</v>
      </c>
      <c r="G4374" s="3">
        <f>F4374-E4374</f>
        <v/>
      </c>
      <c r="H4374" s="4">
        <f>IF(E4374=0,"",F4374/E4374-1)</f>
        <v/>
      </c>
      <c r="I4374" t="inlineStr"/>
    </row>
    <row r="4375">
      <c r="A4375" t="inlineStr">
        <is>
          <t>Plastics &amp; rubber</t>
        </is>
      </c>
      <c r="B4375" t="inlineStr">
        <is>
          <t>40</t>
        </is>
      </c>
      <c r="C4375" t="inlineStr">
        <is>
          <t>40117000</t>
        </is>
      </c>
      <c r="D4375" t="inlineStr">
        <is>
          <t>OF A KIND USED ON AGRICULTURAL OR FORESTRY VEHICLES AND MACHINES</t>
        </is>
      </c>
      <c r="E4375" s="3" t="n">
        <v>2.21</v>
      </c>
      <c r="F4375" s="3" t="n">
        <v>2.04</v>
      </c>
      <c r="G4375" s="3">
        <f>F4375-E4375</f>
        <v/>
      </c>
      <c r="H4375" s="4">
        <f>IF(E4375=0,"",F4375/E4375-1)</f>
        <v/>
      </c>
      <c r="I4375" t="inlineStr"/>
    </row>
    <row r="4376">
      <c r="A4376" t="inlineStr">
        <is>
          <t>Plastics &amp; rubber</t>
        </is>
      </c>
      <c r="B4376" t="inlineStr">
        <is>
          <t>40</t>
        </is>
      </c>
      <c r="C4376" t="inlineStr">
        <is>
          <t>40151200</t>
        </is>
      </c>
      <c r="D4376" t="inlineStr">
        <is>
          <t>OF A KIND USED FOR MEDICAL, SURGICAL, DENTAL OR VETERINARY PURPOSES</t>
        </is>
      </c>
      <c r="E4376" s="3" t="n">
        <v>0.44</v>
      </c>
      <c r="F4376" s="3" t="n">
        <v>1.96</v>
      </c>
      <c r="G4376" s="3">
        <f>F4376-E4376</f>
        <v/>
      </c>
      <c r="H4376" s="4">
        <f>IF(E4376=0,"",F4376/E4376-1)</f>
        <v/>
      </c>
      <c r="I4376" t="inlineStr"/>
    </row>
    <row r="4377">
      <c r="A4377" t="inlineStr">
        <is>
          <t>Plastics &amp; rubber</t>
        </is>
      </c>
      <c r="B4377" t="inlineStr">
        <is>
          <t>40</t>
        </is>
      </c>
      <c r="C4377" t="inlineStr">
        <is>
          <t>40131020</t>
        </is>
      </c>
      <c r="D4377" t="inlineStr">
        <is>
          <t>INNER TUBES FOR TRACK AND BUS</t>
        </is>
      </c>
      <c r="E4377" s="3" t="n">
        <v>1.8</v>
      </c>
      <c r="F4377" s="3" t="n">
        <v>1.95</v>
      </c>
      <c r="G4377" s="3">
        <f>F4377-E4377</f>
        <v/>
      </c>
      <c r="H4377" s="4">
        <f>IF(E4377=0,"",F4377/E4377-1)</f>
        <v/>
      </c>
      <c r="I4377" t="inlineStr"/>
    </row>
    <row r="4378">
      <c r="A4378" t="inlineStr">
        <is>
          <t>Plastics &amp; rubber</t>
        </is>
      </c>
      <c r="B4378" t="inlineStr">
        <is>
          <t>40</t>
        </is>
      </c>
      <c r="C4378" t="inlineStr">
        <is>
          <t>40169330</t>
        </is>
      </c>
      <c r="D4378" t="inlineStr">
        <is>
          <t>RUBBER SEALS(OIL SEALS,ETC)</t>
        </is>
      </c>
      <c r="E4378" s="3" t="n">
        <v>3.24</v>
      </c>
      <c r="F4378" s="3" t="n">
        <v>1.95</v>
      </c>
      <c r="G4378" s="3">
        <f>F4378-E4378</f>
        <v/>
      </c>
      <c r="H4378" s="4">
        <f>IF(E4378=0,"",F4378/E4378-1)</f>
        <v/>
      </c>
      <c r="I4378" t="inlineStr"/>
    </row>
    <row r="4379">
      <c r="A4379" t="inlineStr">
        <is>
          <t>Plastics &amp; rubber</t>
        </is>
      </c>
      <c r="B4379" t="inlineStr">
        <is>
          <t>39</t>
        </is>
      </c>
      <c r="C4379" t="inlineStr">
        <is>
          <t>39123919</t>
        </is>
      </c>
      <c r="D4379" t="inlineStr">
        <is>
          <t>OTHER CELLULOSE ETHERS NON-PLASTICIZED</t>
        </is>
      </c>
      <c r="E4379" s="3" t="n">
        <v>0.39</v>
      </c>
      <c r="F4379" s="3" t="n">
        <v>1.88</v>
      </c>
      <c r="G4379" s="3">
        <f>F4379-E4379</f>
        <v/>
      </c>
      <c r="H4379" s="4">
        <f>IF(E4379=0,"",F4379/E4379-1)</f>
        <v/>
      </c>
      <c r="I4379" t="inlineStr"/>
    </row>
    <row r="4380">
      <c r="A4380" t="inlineStr">
        <is>
          <t>Plastics &amp; rubber</t>
        </is>
      </c>
      <c r="B4380" t="inlineStr">
        <is>
          <t>39</t>
        </is>
      </c>
      <c r="C4380" t="inlineStr">
        <is>
          <t>39202020</t>
        </is>
      </c>
      <c r="D4380" t="inlineStr">
        <is>
          <t>PLTES SHTS ETC. OF POLYMRS OF PROPYLN FLEXIBLE, PLAIN</t>
        </is>
      </c>
      <c r="E4380" s="3" t="n">
        <v>4.12</v>
      </c>
      <c r="F4380" s="3" t="n">
        <v>1.86</v>
      </c>
      <c r="G4380" s="3">
        <f>F4380-E4380</f>
        <v/>
      </c>
      <c r="H4380" s="4">
        <f>IF(E4380=0,"",F4380/E4380-1)</f>
        <v/>
      </c>
      <c r="I4380" t="inlineStr"/>
    </row>
    <row r="4381">
      <c r="A4381" t="inlineStr">
        <is>
          <t>Plastics &amp; rubber</t>
        </is>
      </c>
      <c r="B4381" t="inlineStr">
        <is>
          <t>40</t>
        </is>
      </c>
      <c r="C4381" t="inlineStr">
        <is>
          <t>40139030</t>
        </is>
      </c>
      <c r="D4381" t="inlineStr">
        <is>
          <t>INNER TUBES FOR OFF THE ROAD VEHICLE N.E. S.OR INCLUDED</t>
        </is>
      </c>
      <c r="E4381" s="3" t="n">
        <v>1.63</v>
      </c>
      <c r="F4381" s="3" t="n">
        <v>1.8</v>
      </c>
      <c r="G4381" s="3">
        <f>F4381-E4381</f>
        <v/>
      </c>
      <c r="H4381" s="4">
        <f>IF(E4381=0,"",F4381/E4381-1)</f>
        <v/>
      </c>
      <c r="I4381" t="inlineStr"/>
    </row>
    <row r="4382">
      <c r="A4382" t="inlineStr">
        <is>
          <t>Plastics &amp; rubber</t>
        </is>
      </c>
      <c r="B4382" t="inlineStr">
        <is>
          <t>39</t>
        </is>
      </c>
      <c r="C4382" t="inlineStr">
        <is>
          <t>39031100</t>
        </is>
      </c>
      <c r="D4382" t="inlineStr">
        <is>
          <t>EXPANSIBLE POLYSTERENE</t>
        </is>
      </c>
      <c r="E4382" s="3" t="n">
        <v>0.19</v>
      </c>
      <c r="F4382" s="3" t="n">
        <v>1.75</v>
      </c>
      <c r="G4382" s="3">
        <f>F4382-E4382</f>
        <v/>
      </c>
      <c r="H4382" s="4">
        <f>IF(E4382=0,"",F4382/E4382-1)</f>
        <v/>
      </c>
      <c r="I4382" t="inlineStr"/>
    </row>
    <row r="4383">
      <c r="A4383" t="inlineStr">
        <is>
          <t>Plastics &amp; rubber</t>
        </is>
      </c>
      <c r="B4383" t="inlineStr">
        <is>
          <t>39</t>
        </is>
      </c>
      <c r="C4383" t="inlineStr">
        <is>
          <t>39173100</t>
        </is>
      </c>
      <c r="D4383" t="inlineStr">
        <is>
          <t>FLEXIBLE TUBES PIPES AND HOSES HAVING A MINIMUM BURST PRESSURE OF 27.6 MPA</t>
        </is>
      </c>
      <c r="E4383" s="3" t="n">
        <v>2.82</v>
      </c>
      <c r="F4383" s="3" t="n">
        <v>1.68</v>
      </c>
      <c r="G4383" s="3">
        <f>F4383-E4383</f>
        <v/>
      </c>
      <c r="H4383" s="4">
        <f>IF(E4383=0,"",F4383/E4383-1)</f>
        <v/>
      </c>
      <c r="I4383" t="inlineStr"/>
    </row>
    <row r="4384">
      <c r="A4384" t="inlineStr">
        <is>
          <t>Plastics &amp; rubber</t>
        </is>
      </c>
      <c r="B4384" t="inlineStr">
        <is>
          <t>40</t>
        </is>
      </c>
      <c r="C4384" t="inlineStr">
        <is>
          <t>40169340</t>
        </is>
      </c>
      <c r="D4384" t="inlineStr">
        <is>
          <t>GASKETS</t>
        </is>
      </c>
      <c r="E4384" s="3" t="n">
        <v>0.58</v>
      </c>
      <c r="F4384" s="3" t="n">
        <v>1.68</v>
      </c>
      <c r="G4384" s="3">
        <f>F4384-E4384</f>
        <v/>
      </c>
      <c r="H4384" s="4">
        <f>IF(E4384=0,"",F4384/E4384-1)</f>
        <v/>
      </c>
      <c r="I4384" t="inlineStr"/>
    </row>
    <row r="4385">
      <c r="A4385" t="inlineStr">
        <is>
          <t>Plastics &amp; rubber</t>
        </is>
      </c>
      <c r="B4385" t="inlineStr">
        <is>
          <t>39</t>
        </is>
      </c>
      <c r="C4385" t="inlineStr">
        <is>
          <t>39201019</t>
        </is>
      </c>
      <c r="D4385" t="inlineStr">
        <is>
          <t>OTHER SHEETS OF POLEYTHYLENE:</t>
        </is>
      </c>
      <c r="E4385" s="3" t="n">
        <v>2</v>
      </c>
      <c r="F4385" s="3" t="n">
        <v>1.6</v>
      </c>
      <c r="G4385" s="3">
        <f>F4385-E4385</f>
        <v/>
      </c>
      <c r="H4385" s="4">
        <f>IF(E4385=0,"",F4385/E4385-1)</f>
        <v/>
      </c>
      <c r="I4385" t="inlineStr"/>
    </row>
    <row r="4386">
      <c r="A4386" t="inlineStr">
        <is>
          <t>Plastics &amp; rubber</t>
        </is>
      </c>
      <c r="B4386" t="inlineStr">
        <is>
          <t>39</t>
        </is>
      </c>
      <c r="C4386" t="inlineStr">
        <is>
          <t>39075000</t>
        </is>
      </c>
      <c r="D4386" t="inlineStr">
        <is>
          <t>ALKYD RESINS</t>
        </is>
      </c>
      <c r="E4386" s="3" t="n">
        <v>2.56</v>
      </c>
      <c r="F4386" s="3" t="n">
        <v>1.57</v>
      </c>
      <c r="G4386" s="3">
        <f>F4386-E4386</f>
        <v/>
      </c>
      <c r="H4386" s="4">
        <f>IF(E4386=0,"",F4386/E4386-1)</f>
        <v/>
      </c>
      <c r="I4386" t="inlineStr"/>
    </row>
    <row r="4387">
      <c r="A4387" t="inlineStr">
        <is>
          <t>Plastics &amp; rubber</t>
        </is>
      </c>
      <c r="B4387" t="inlineStr">
        <is>
          <t>39</t>
        </is>
      </c>
      <c r="C4387" t="inlineStr">
        <is>
          <t>39093100</t>
        </is>
      </c>
      <c r="D4387" t="inlineStr">
        <is>
          <t>POLY(METHYLENE PHENYL ISOCYANATE) (CRUDE MDI, POLYMERIC MDI)</t>
        </is>
      </c>
      <c r="E4387" s="3" t="n">
        <v>0.35</v>
      </c>
      <c r="F4387" s="3" t="n">
        <v>1.55</v>
      </c>
      <c r="G4387" s="3">
        <f>F4387-E4387</f>
        <v/>
      </c>
      <c r="H4387" s="4">
        <f>IF(E4387=0,"",F4387/E4387-1)</f>
        <v/>
      </c>
      <c r="I4387" t="inlineStr"/>
    </row>
    <row r="4388">
      <c r="A4388" t="inlineStr">
        <is>
          <t>Plastics &amp; rubber</t>
        </is>
      </c>
      <c r="B4388" t="inlineStr">
        <is>
          <t>39</t>
        </is>
      </c>
      <c r="C4388" t="inlineStr">
        <is>
          <t>39169090</t>
        </is>
      </c>
      <c r="D4388" t="inlineStr">
        <is>
          <t>OTHR PLYMRSN AND COPLYMRSN PRDCTS</t>
        </is>
      </c>
      <c r="E4388" s="3" t="n">
        <v>0.04</v>
      </c>
      <c r="F4388" s="3" t="n">
        <v>1.42</v>
      </c>
      <c r="G4388" s="3">
        <f>F4388-E4388</f>
        <v/>
      </c>
      <c r="H4388" s="4">
        <f>IF(E4388=0,"",F4388/E4388-1)</f>
        <v/>
      </c>
      <c r="I4388" t="inlineStr"/>
    </row>
    <row r="4389">
      <c r="A4389" t="inlineStr">
        <is>
          <t>Plastics &amp; rubber</t>
        </is>
      </c>
      <c r="B4389" t="inlineStr">
        <is>
          <t>39</t>
        </is>
      </c>
      <c r="C4389" t="inlineStr">
        <is>
          <t>39172310</t>
        </is>
      </c>
      <c r="D4389" t="inlineStr">
        <is>
          <t>SEAMLESS TUBES OF POLYVINYL CHLORDE</t>
        </is>
      </c>
      <c r="E4389" s="3" t="n">
        <v>2.7</v>
      </c>
      <c r="F4389" s="3" t="n">
        <v>1.41</v>
      </c>
      <c r="G4389" s="3">
        <f>F4389-E4389</f>
        <v/>
      </c>
      <c r="H4389" s="4">
        <f>IF(E4389=0,"",F4389/E4389-1)</f>
        <v/>
      </c>
      <c r="I4389" t="inlineStr"/>
    </row>
    <row r="4390">
      <c r="A4390" t="inlineStr">
        <is>
          <t>Plastics &amp; rubber</t>
        </is>
      </c>
      <c r="B4390" t="inlineStr">
        <is>
          <t>39</t>
        </is>
      </c>
      <c r="C4390" t="inlineStr">
        <is>
          <t>39219021</t>
        </is>
      </c>
      <c r="D4390" t="inlineStr">
        <is>
          <t>OTHR PLTS,SHTS,FILM FOIL,STRIP ETC, OF POLYMER OF VINYL CHLORIDE RIGID, LACQUERED</t>
        </is>
      </c>
      <c r="E4390" s="3" t="n">
        <v>0.62</v>
      </c>
      <c r="F4390" s="3" t="n">
        <v>1.33</v>
      </c>
      <c r="G4390" s="3">
        <f>F4390-E4390</f>
        <v/>
      </c>
      <c r="H4390" s="4">
        <f>IF(E4390=0,"",F4390/E4390-1)</f>
        <v/>
      </c>
      <c r="I4390" t="inlineStr"/>
    </row>
    <row r="4391">
      <c r="A4391" t="inlineStr">
        <is>
          <t>Plastics &amp; rubber</t>
        </is>
      </c>
      <c r="B4391" t="inlineStr">
        <is>
          <t>39</t>
        </is>
      </c>
      <c r="C4391" t="inlineStr">
        <is>
          <t>39014010</t>
        </is>
      </c>
      <c r="D4391" t="inlineStr">
        <is>
          <t>LINEAR LOW DENSITY POLYETHYLENE (LLDPE)</t>
        </is>
      </c>
      <c r="E4391" s="3" t="n">
        <v>8.67</v>
      </c>
      <c r="F4391" s="3" t="n">
        <v>1.32</v>
      </c>
      <c r="G4391" s="3">
        <f>F4391-E4391</f>
        <v/>
      </c>
      <c r="H4391" s="4">
        <f>IF(E4391=0,"",F4391/E4391-1)</f>
        <v/>
      </c>
      <c r="I4391" t="inlineStr"/>
    </row>
    <row r="4392">
      <c r="A4392" t="inlineStr">
        <is>
          <t>Plastics &amp; rubber</t>
        </is>
      </c>
      <c r="B4392" t="inlineStr">
        <is>
          <t>39</t>
        </is>
      </c>
      <c r="C4392" t="inlineStr">
        <is>
          <t>39211900</t>
        </is>
      </c>
      <c r="D4392" t="inlineStr">
        <is>
          <t>OTHR PLTES SHTS ETC OF OTHR PLSTCS CELULR</t>
        </is>
      </c>
      <c r="E4392" s="3" t="n">
        <v>1.15</v>
      </c>
      <c r="F4392" s="3" t="n">
        <v>1.32</v>
      </c>
      <c r="G4392" s="3">
        <f>F4392-E4392</f>
        <v/>
      </c>
      <c r="H4392" s="4">
        <f>IF(E4392=0,"",F4392/E4392-1)</f>
        <v/>
      </c>
      <c r="I4392" t="inlineStr"/>
    </row>
    <row r="4393">
      <c r="A4393" t="inlineStr">
        <is>
          <t>Plastics &amp; rubber</t>
        </is>
      </c>
      <c r="B4393" t="inlineStr">
        <is>
          <t>40</t>
        </is>
      </c>
      <c r="C4393" t="inlineStr">
        <is>
          <t>40129049</t>
        </is>
      </c>
      <c r="D4393" t="inlineStr">
        <is>
          <t>TYRE FLAPS USED IN OTHER VEHICLES</t>
        </is>
      </c>
      <c r="E4393" s="3" t="n">
        <v>1.02</v>
      </c>
      <c r="F4393" s="3" t="n">
        <v>1.24</v>
      </c>
      <c r="G4393" s="3">
        <f>F4393-E4393</f>
        <v/>
      </c>
      <c r="H4393" s="4">
        <f>IF(E4393=0,"",F4393/E4393-1)</f>
        <v/>
      </c>
      <c r="I4393" t="inlineStr"/>
    </row>
    <row r="4394">
      <c r="A4394" t="inlineStr">
        <is>
          <t>Plastics &amp; rubber</t>
        </is>
      </c>
      <c r="B4394" t="inlineStr">
        <is>
          <t>39</t>
        </is>
      </c>
      <c r="C4394" t="inlineStr">
        <is>
          <t>39011010</t>
        </is>
      </c>
      <c r="D4394" t="inlineStr">
        <is>
          <t>LINEAR L0W DENSITY P0LYETHYLENE (LLDPE)</t>
        </is>
      </c>
      <c r="E4394" s="3" t="n">
        <v>2.68</v>
      </c>
      <c r="F4394" s="3" t="n">
        <v>1.23</v>
      </c>
      <c r="G4394" s="3">
        <f>F4394-E4394</f>
        <v/>
      </c>
      <c r="H4394" s="4">
        <f>IF(E4394=0,"",F4394/E4394-1)</f>
        <v/>
      </c>
      <c r="I4394" t="inlineStr"/>
    </row>
    <row r="4395">
      <c r="A4395" t="inlineStr">
        <is>
          <t>Plastics &amp; rubber</t>
        </is>
      </c>
      <c r="B4395" t="inlineStr">
        <is>
          <t>40</t>
        </is>
      </c>
      <c r="C4395" t="inlineStr">
        <is>
          <t>40169310</t>
        </is>
      </c>
      <c r="D4395" t="inlineStr">
        <is>
          <t>PATCHES FR PUNCTURE REPAIR OF SELF-VULCNSNG RUBR/A RUBR LACKING</t>
        </is>
      </c>
      <c r="E4395" s="3" t="n">
        <v>0.04</v>
      </c>
      <c r="F4395" s="3" t="n">
        <v>1.2</v>
      </c>
      <c r="G4395" s="3">
        <f>F4395-E4395</f>
        <v/>
      </c>
      <c r="H4395" s="4">
        <f>IF(E4395=0,"",F4395/E4395-1)</f>
        <v/>
      </c>
      <c r="I4395" t="inlineStr"/>
    </row>
    <row r="4396">
      <c r="A4396" t="inlineStr">
        <is>
          <t>Plastics &amp; rubber</t>
        </is>
      </c>
      <c r="B4396" t="inlineStr">
        <is>
          <t>39</t>
        </is>
      </c>
      <c r="C4396" t="inlineStr">
        <is>
          <t>39219025</t>
        </is>
      </c>
      <c r="D4396" t="inlineStr">
        <is>
          <t>OTHR PLTS,SHTS,FILM FOIL,STRIP ETC, OF POLYMER OF VINYL CHLORIDE RIGID, LAMINATED</t>
        </is>
      </c>
      <c r="E4396" s="3" t="n">
        <v>0.5</v>
      </c>
      <c r="F4396" s="3" t="n">
        <v>1.18</v>
      </c>
      <c r="G4396" s="3">
        <f>F4396-E4396</f>
        <v/>
      </c>
      <c r="H4396" s="4">
        <f>IF(E4396=0,"",F4396/E4396-1)</f>
        <v/>
      </c>
      <c r="I4396" t="inlineStr"/>
    </row>
    <row r="4397">
      <c r="A4397" t="inlineStr">
        <is>
          <t>Plastics &amp; rubber</t>
        </is>
      </c>
      <c r="B4397" t="inlineStr">
        <is>
          <t>40</t>
        </is>
      </c>
      <c r="C4397" t="inlineStr">
        <is>
          <t>40139090</t>
        </is>
      </c>
      <c r="D4397" t="inlineStr">
        <is>
          <t>INNER TUBES USED IN OTHER VEHICLES</t>
        </is>
      </c>
      <c r="E4397" s="3" t="n">
        <v>0.92</v>
      </c>
      <c r="F4397" s="3" t="n">
        <v>1.13</v>
      </c>
      <c r="G4397" s="3">
        <f>F4397-E4397</f>
        <v/>
      </c>
      <c r="H4397" s="4">
        <f>IF(E4397=0,"",F4397/E4397-1)</f>
        <v/>
      </c>
      <c r="I4397" t="inlineStr"/>
    </row>
    <row r="4398">
      <c r="A4398" t="inlineStr">
        <is>
          <t>Plastics &amp; rubber</t>
        </is>
      </c>
      <c r="B4398" t="inlineStr">
        <is>
          <t>39</t>
        </is>
      </c>
      <c r="C4398" t="inlineStr">
        <is>
          <t>39219029</t>
        </is>
      </c>
      <c r="D4398" t="inlineStr">
        <is>
          <t>OTHR PLTS,SHTS,FILM FOIL,STRIP ETC, OF POLYMER OF VINYL CHLORIDE : OTHER</t>
        </is>
      </c>
      <c r="E4398" s="3" t="n">
        <v>0.88</v>
      </c>
      <c r="F4398" s="3" t="n">
        <v>1.06</v>
      </c>
      <c r="G4398" s="3">
        <f>F4398-E4398</f>
        <v/>
      </c>
      <c r="H4398" s="4">
        <f>IF(E4398=0,"",F4398/E4398-1)</f>
        <v/>
      </c>
      <c r="I4398" t="inlineStr"/>
    </row>
    <row r="4399">
      <c r="A4399" t="inlineStr">
        <is>
          <t>Plastics &amp; rubber</t>
        </is>
      </c>
      <c r="B4399" t="inlineStr">
        <is>
          <t>39</t>
        </is>
      </c>
      <c r="C4399" t="inlineStr">
        <is>
          <t>39095000</t>
        </is>
      </c>
      <c r="D4399" t="inlineStr">
        <is>
          <t>POLYURETHANES</t>
        </is>
      </c>
      <c r="E4399" s="3" t="n">
        <v>0.03</v>
      </c>
      <c r="F4399" s="3" t="n">
        <v>0.99</v>
      </c>
      <c r="G4399" s="3">
        <f>F4399-E4399</f>
        <v/>
      </c>
      <c r="H4399" s="4">
        <f>IF(E4399=0,"",F4399/E4399-1)</f>
        <v/>
      </c>
      <c r="I4399" t="inlineStr"/>
    </row>
    <row r="4400">
      <c r="A4400" t="inlineStr">
        <is>
          <t>Plastics &amp; rubber</t>
        </is>
      </c>
      <c r="B4400" t="inlineStr">
        <is>
          <t>40</t>
        </is>
      </c>
      <c r="C4400" t="inlineStr">
        <is>
          <t>40129020</t>
        </is>
      </c>
      <c r="D4400" t="inlineStr">
        <is>
          <t>SOLID RUBBER TYRES FOR OTHER VEHIVLES</t>
        </is>
      </c>
      <c r="E4400" s="3" t="n">
        <v>0.74</v>
      </c>
      <c r="F4400" s="3" t="n">
        <v>0.98</v>
      </c>
      <c r="G4400" s="3">
        <f>F4400-E4400</f>
        <v/>
      </c>
      <c r="H4400" s="4">
        <f>IF(E4400=0,"",F4400/E4400-1)</f>
        <v/>
      </c>
      <c r="I4400" t="inlineStr"/>
    </row>
    <row r="4401">
      <c r="A4401" t="inlineStr">
        <is>
          <t>Plastics &amp; rubber</t>
        </is>
      </c>
      <c r="B4401" t="inlineStr">
        <is>
          <t>40</t>
        </is>
      </c>
      <c r="C4401" t="inlineStr">
        <is>
          <t>40132000</t>
        </is>
      </c>
      <c r="D4401" t="inlineStr">
        <is>
          <t>INNER TUBES OF RUBBER USED ON BICYCLES</t>
        </is>
      </c>
      <c r="E4401" s="3" t="n">
        <v>0.78</v>
      </c>
      <c r="F4401" s="3" t="n">
        <v>0.95</v>
      </c>
      <c r="G4401" s="3">
        <f>F4401-E4401</f>
        <v/>
      </c>
      <c r="H4401" s="4">
        <f>IF(E4401=0,"",F4401/E4401-1)</f>
        <v/>
      </c>
      <c r="I4401" t="inlineStr"/>
    </row>
    <row r="4402">
      <c r="A4402" t="inlineStr">
        <is>
          <t>Plastics &amp; rubber</t>
        </is>
      </c>
      <c r="B4402" t="inlineStr">
        <is>
          <t>39</t>
        </is>
      </c>
      <c r="C4402" t="inlineStr">
        <is>
          <t>39079900</t>
        </is>
      </c>
      <c r="D4402" t="inlineStr">
        <is>
          <t>OTHERS-OF-OTHER POLYESTERS (SATURATED)</t>
        </is>
      </c>
      <c r="E4402" s="3" t="n">
        <v>0.19</v>
      </c>
      <c r="F4402" s="3" t="n">
        <v>0.92</v>
      </c>
      <c r="G4402" s="3">
        <f>F4402-E4402</f>
        <v/>
      </c>
      <c r="H4402" s="4">
        <f>IF(E4402=0,"",F4402/E4402-1)</f>
        <v/>
      </c>
      <c r="I4402" t="inlineStr"/>
    </row>
    <row r="4403">
      <c r="A4403" t="inlineStr">
        <is>
          <t>Plastics &amp; rubber</t>
        </is>
      </c>
      <c r="B4403" t="inlineStr">
        <is>
          <t>39</t>
        </is>
      </c>
      <c r="C4403" t="inlineStr">
        <is>
          <t>39201012</t>
        </is>
      </c>
      <c r="D4403" t="inlineStr">
        <is>
          <t>SHEETS OF POLEYTHYLENE: FLEXIBLE, PLAIN</t>
        </is>
      </c>
      <c r="E4403" s="3" t="n">
        <v>0.39</v>
      </c>
      <c r="F4403" s="3" t="n">
        <v>0.92</v>
      </c>
      <c r="G4403" s="3">
        <f>F4403-E4403</f>
        <v/>
      </c>
      <c r="H4403" s="4">
        <f>IF(E4403=0,"",F4403/E4403-1)</f>
        <v/>
      </c>
      <c r="I4403" t="inlineStr"/>
    </row>
    <row r="4404">
      <c r="A4404" t="inlineStr">
        <is>
          <t>Plastics &amp; rubber</t>
        </is>
      </c>
      <c r="B4404" t="inlineStr">
        <is>
          <t>40</t>
        </is>
      </c>
      <c r="C4404" t="inlineStr">
        <is>
          <t>40103999</t>
        </is>
      </c>
      <c r="D4404" t="inlineStr">
        <is>
          <t>TRNSMSN BLT/BLTNG OTHER THAN FLAT BLT/PLY BLT WHERE RUBY COMPD MORE THAN 25% BY WT.</t>
        </is>
      </c>
      <c r="E4404" s="3" t="n">
        <v>0.53</v>
      </c>
      <c r="F4404" s="3" t="n">
        <v>0.92</v>
      </c>
      <c r="G4404" s="3">
        <f>F4404-E4404</f>
        <v/>
      </c>
      <c r="H4404" s="4">
        <f>IF(E4404=0,"",F4404/E4404-1)</f>
        <v/>
      </c>
      <c r="I4404" t="inlineStr"/>
    </row>
    <row r="4405">
      <c r="A4405" t="inlineStr">
        <is>
          <t>Plastics &amp; rubber</t>
        </is>
      </c>
      <c r="B4405" t="inlineStr">
        <is>
          <t>40</t>
        </is>
      </c>
      <c r="C4405" t="inlineStr">
        <is>
          <t>40169390</t>
        </is>
      </c>
      <c r="D4405" t="inlineStr">
        <is>
          <t>OTHER ARTICLES OF GASKETS WASHERS AND OTHER SEAL</t>
        </is>
      </c>
      <c r="E4405" s="3" t="n">
        <v>4.94</v>
      </c>
      <c r="F4405" s="3" t="n">
        <v>0.91</v>
      </c>
      <c r="G4405" s="3">
        <f>F4405-E4405</f>
        <v/>
      </c>
      <c r="H4405" s="4">
        <f>IF(E4405=0,"",F4405/E4405-1)</f>
        <v/>
      </c>
      <c r="I4405" t="inlineStr"/>
    </row>
    <row r="4406">
      <c r="A4406" t="inlineStr">
        <is>
          <t>Plastics &amp; rubber</t>
        </is>
      </c>
      <c r="B4406" t="inlineStr">
        <is>
          <t>39</t>
        </is>
      </c>
      <c r="C4406" t="inlineStr">
        <is>
          <t>39206999</t>
        </is>
      </c>
      <c r="D4406" t="inlineStr">
        <is>
          <t>OTHER PLTES SHTS ETC OF OTHR POLYESTER NES</t>
        </is>
      </c>
      <c r="E4406" s="3" t="n">
        <v>0.39</v>
      </c>
      <c r="F4406" s="3" t="n">
        <v>0.89</v>
      </c>
      <c r="G4406" s="3">
        <f>F4406-E4406</f>
        <v/>
      </c>
      <c r="H4406" s="4">
        <f>IF(E4406=0,"",F4406/E4406-1)</f>
        <v/>
      </c>
      <c r="I4406" t="inlineStr"/>
    </row>
    <row r="4407">
      <c r="A4407" t="inlineStr">
        <is>
          <t>Plastics &amp; rubber</t>
        </is>
      </c>
      <c r="B4407" t="inlineStr">
        <is>
          <t>40</t>
        </is>
      </c>
      <c r="C4407" t="inlineStr">
        <is>
          <t>40141010</t>
        </is>
      </c>
      <c r="D4407" t="inlineStr">
        <is>
          <t>RUBBER CONTRACEPTIVES MALE(CONDOMS)</t>
        </is>
      </c>
      <c r="E4407" s="3" t="n">
        <v>1.54</v>
      </c>
      <c r="F4407" s="3" t="n">
        <v>0.89</v>
      </c>
      <c r="G4407" s="3">
        <f>F4407-E4407</f>
        <v/>
      </c>
      <c r="H4407" s="4">
        <f>IF(E4407=0,"",F4407/E4407-1)</f>
        <v/>
      </c>
      <c r="I4407" t="inlineStr"/>
    </row>
    <row r="4408">
      <c r="A4408" t="inlineStr">
        <is>
          <t>Plastics &amp; rubber</t>
        </is>
      </c>
      <c r="B4408" t="inlineStr">
        <is>
          <t>40</t>
        </is>
      </c>
      <c r="C4408" t="inlineStr">
        <is>
          <t>40169100</t>
        </is>
      </c>
      <c r="D4408" t="inlineStr">
        <is>
          <t>FLOOR COVERINGS AND MATS</t>
        </is>
      </c>
      <c r="E4408" s="3" t="n">
        <v>0.66</v>
      </c>
      <c r="F4408" s="3" t="n">
        <v>0.85</v>
      </c>
      <c r="G4408" s="3">
        <f>F4408-E4408</f>
        <v/>
      </c>
      <c r="H4408" s="4">
        <f>IF(E4408=0,"",F4408/E4408-1)</f>
        <v/>
      </c>
      <c r="I4408" t="inlineStr"/>
    </row>
    <row r="4409">
      <c r="A4409" t="inlineStr">
        <is>
          <t>Plastics &amp; rubber</t>
        </is>
      </c>
      <c r="B4409" t="inlineStr">
        <is>
          <t>39</t>
        </is>
      </c>
      <c r="C4409" t="inlineStr">
        <is>
          <t>39073090</t>
        </is>
      </c>
      <c r="D4409" t="inlineStr">
        <is>
          <t>OTHERS-OF-EPOXIDE RESINS</t>
        </is>
      </c>
      <c r="E4409" s="3" t="n">
        <v>0.09</v>
      </c>
      <c r="F4409" s="3" t="n">
        <v>0.84</v>
      </c>
      <c r="G4409" s="3">
        <f>F4409-E4409</f>
        <v/>
      </c>
      <c r="H4409" s="4">
        <f>IF(E4409=0,"",F4409/E4409-1)</f>
        <v/>
      </c>
      <c r="I4409" t="inlineStr"/>
    </row>
    <row r="4410">
      <c r="A4410" t="inlineStr">
        <is>
          <t>Plastics &amp; rubber</t>
        </is>
      </c>
      <c r="B4410" t="inlineStr">
        <is>
          <t>39</t>
        </is>
      </c>
      <c r="C4410" t="inlineStr">
        <is>
          <t>39201092</t>
        </is>
      </c>
      <c r="D4410" t="inlineStr">
        <is>
          <t>OTHR PLTS,SHEET ETC OF POLYMRS OF ETHYLENEFLEXIBLE, PLAIN</t>
        </is>
      </c>
      <c r="E4410" s="3" t="n">
        <v>0.59</v>
      </c>
      <c r="F4410" s="3" t="n">
        <v>0.83</v>
      </c>
      <c r="G4410" s="3">
        <f>F4410-E4410</f>
        <v/>
      </c>
      <c r="H4410" s="4">
        <f>IF(E4410=0,"",F4410/E4410-1)</f>
        <v/>
      </c>
      <c r="I4410" t="inlineStr"/>
    </row>
    <row r="4411">
      <c r="A4411" t="inlineStr">
        <is>
          <t>Plastics &amp; rubber</t>
        </is>
      </c>
      <c r="B4411" t="inlineStr">
        <is>
          <t>40</t>
        </is>
      </c>
      <c r="C4411" t="inlineStr">
        <is>
          <t>40115090</t>
        </is>
      </c>
      <c r="D4411" t="inlineStr">
        <is>
          <t>OTHERS-OF-NEW PNMTC TYRES OF A KND USED ON BICYCLS</t>
        </is>
      </c>
      <c r="E4411" s="3" t="n">
        <v>0.58</v>
      </c>
      <c r="F4411" s="3" t="n">
        <v>0.82</v>
      </c>
      <c r="G4411" s="3">
        <f>F4411-E4411</f>
        <v/>
      </c>
      <c r="H4411" s="4">
        <f>IF(E4411=0,"",F4411/E4411-1)</f>
        <v/>
      </c>
      <c r="I4411" t="inlineStr"/>
    </row>
    <row r="4412">
      <c r="A4412" t="inlineStr">
        <is>
          <t>Plastics &amp; rubber</t>
        </is>
      </c>
      <c r="B4412" t="inlineStr">
        <is>
          <t>39</t>
        </is>
      </c>
      <c r="C4412" t="inlineStr">
        <is>
          <t>39231010</t>
        </is>
      </c>
      <c r="D4412" t="inlineStr">
        <is>
          <t>PLASTIC CONTAINERS FOR AUDIO OR VIDEO CASSETTES, CASSETTE TAPES, FLOPPY DISK ETC</t>
        </is>
      </c>
      <c r="E4412" s="3" t="n">
        <v>0.23</v>
      </c>
      <c r="F4412" s="3" t="n">
        <v>0.8100000000000001</v>
      </c>
      <c r="G4412" s="3">
        <f>F4412-E4412</f>
        <v/>
      </c>
      <c r="H4412" s="4">
        <f>IF(E4412=0,"",F4412/E4412-1)</f>
        <v/>
      </c>
      <c r="I4412" t="inlineStr"/>
    </row>
    <row r="4413">
      <c r="A4413" t="inlineStr">
        <is>
          <t>Plastics &amp; rubber</t>
        </is>
      </c>
      <c r="B4413" t="inlineStr">
        <is>
          <t>39</t>
        </is>
      </c>
      <c r="C4413" t="inlineStr">
        <is>
          <t>39100090</t>
        </is>
      </c>
      <c r="D4413" t="inlineStr">
        <is>
          <t>OTHERS-OF-SILICONS IN PRIMARY FORMS</t>
        </is>
      </c>
      <c r="E4413" s="3" t="n">
        <v>1.68</v>
      </c>
      <c r="F4413" s="3" t="n">
        <v>0.78</v>
      </c>
      <c r="G4413" s="3">
        <f>F4413-E4413</f>
        <v/>
      </c>
      <c r="H4413" s="4">
        <f>IF(E4413=0,"",F4413/E4413-1)</f>
        <v/>
      </c>
      <c r="I4413" t="inlineStr"/>
    </row>
    <row r="4414">
      <c r="A4414" t="inlineStr">
        <is>
          <t>Plastics &amp; rubber</t>
        </is>
      </c>
      <c r="B4414" t="inlineStr">
        <is>
          <t>40</t>
        </is>
      </c>
      <c r="C4414" t="inlineStr">
        <is>
          <t>40092100</t>
        </is>
      </c>
      <c r="D4414" t="inlineStr">
        <is>
          <t>TUBES,PIPES AND HOSES OF VULCNSD RUBR REINFORCED/OTHRWSE CMBND ONLY WTH METAL MATERIALS WITHOUT FITTINGS</t>
        </is>
      </c>
      <c r="E4414" s="3" t="n">
        <v>1.27</v>
      </c>
      <c r="F4414" s="3" t="n">
        <v>0.77</v>
      </c>
      <c r="G4414" s="3">
        <f>F4414-E4414</f>
        <v/>
      </c>
      <c r="H4414" s="4">
        <f>IF(E4414=0,"",F4414/E4414-1)</f>
        <v/>
      </c>
      <c r="I4414" t="inlineStr"/>
    </row>
    <row r="4415">
      <c r="A4415" t="inlineStr">
        <is>
          <t>Plastics &amp; rubber</t>
        </is>
      </c>
      <c r="B4415" t="inlineStr">
        <is>
          <t>40</t>
        </is>
      </c>
      <c r="C4415" t="inlineStr">
        <is>
          <t>40021100</t>
        </is>
      </c>
      <c r="D4415" t="inlineStr">
        <is>
          <t>LATEX (SBR/XSBR)</t>
        </is>
      </c>
      <c r="E4415" s="3" t="n">
        <v>0.7</v>
      </c>
      <c r="F4415" s="3" t="n">
        <v>0.76</v>
      </c>
      <c r="G4415" s="3">
        <f>F4415-E4415</f>
        <v/>
      </c>
      <c r="H4415" s="4">
        <f>IF(E4415=0,"",F4415/E4415-1)</f>
        <v/>
      </c>
      <c r="I4415" t="inlineStr"/>
    </row>
    <row r="4416">
      <c r="A4416" t="inlineStr">
        <is>
          <t>Plastics &amp; rubber</t>
        </is>
      </c>
      <c r="B4416" t="inlineStr">
        <is>
          <t>40</t>
        </is>
      </c>
      <c r="C4416" t="inlineStr">
        <is>
          <t>40169200</t>
        </is>
      </c>
      <c r="D4416" t="inlineStr">
        <is>
          <t>ERASERS</t>
        </is>
      </c>
      <c r="E4416" s="3" t="n">
        <v>0.66</v>
      </c>
      <c r="F4416" s="3" t="n">
        <v>0.75</v>
      </c>
      <c r="G4416" s="3">
        <f>F4416-E4416</f>
        <v/>
      </c>
      <c r="H4416" s="4">
        <f>IF(E4416=0,"",F4416/E4416-1)</f>
        <v/>
      </c>
      <c r="I4416" t="inlineStr"/>
    </row>
    <row r="4417">
      <c r="A4417" t="inlineStr">
        <is>
          <t>Plastics &amp; rubber</t>
        </is>
      </c>
      <c r="B4417" t="inlineStr">
        <is>
          <t>40</t>
        </is>
      </c>
      <c r="C4417" t="inlineStr">
        <is>
          <t>40169320</t>
        </is>
      </c>
      <c r="D4417" t="inlineStr">
        <is>
          <t>RUBBER RING(O-RING)</t>
        </is>
      </c>
      <c r="E4417" s="3" t="n">
        <v>0.9</v>
      </c>
      <c r="F4417" s="3" t="n">
        <v>0.74</v>
      </c>
      <c r="G4417" s="3">
        <f>F4417-E4417</f>
        <v/>
      </c>
      <c r="H4417" s="4">
        <f>IF(E4417=0,"",F4417/E4417-1)</f>
        <v/>
      </c>
      <c r="I4417" t="inlineStr"/>
    </row>
    <row r="4418">
      <c r="A4418" t="inlineStr">
        <is>
          <t>Plastics &amp; rubber</t>
        </is>
      </c>
      <c r="B4418" t="inlineStr">
        <is>
          <t>39</t>
        </is>
      </c>
      <c r="C4418" t="inlineStr">
        <is>
          <t>39234000</t>
        </is>
      </c>
      <c r="D4418" t="inlineStr">
        <is>
          <t>SPLS COPS BOBBINS AND SMLR SPPRTS OF PLSTCS</t>
        </is>
      </c>
      <c r="E4418" s="3" t="n">
        <v>0.78</v>
      </c>
      <c r="F4418" s="3" t="n">
        <v>0.65</v>
      </c>
      <c r="G4418" s="3">
        <f>F4418-E4418</f>
        <v/>
      </c>
      <c r="H4418" s="4">
        <f>IF(E4418=0,"",F4418/E4418-1)</f>
        <v/>
      </c>
      <c r="I4418" t="inlineStr"/>
    </row>
    <row r="4419">
      <c r="A4419" t="inlineStr">
        <is>
          <t>Plastics &amp; rubber</t>
        </is>
      </c>
      <c r="B4419" t="inlineStr">
        <is>
          <t>40</t>
        </is>
      </c>
      <c r="C4419" t="inlineStr">
        <is>
          <t>40151900</t>
        </is>
      </c>
      <c r="D4419" t="inlineStr">
        <is>
          <t>OTHER GLOVES,MITTENS AND MITTS</t>
        </is>
      </c>
      <c r="E4419" s="3" t="n">
        <v>0.61</v>
      </c>
      <c r="F4419" s="3" t="n">
        <v>0.65</v>
      </c>
      <c r="G4419" s="3">
        <f>F4419-E4419</f>
        <v/>
      </c>
      <c r="H4419" s="4">
        <f>IF(E4419=0,"",F4419/E4419-1)</f>
        <v/>
      </c>
      <c r="I4419" t="inlineStr"/>
    </row>
    <row r="4420">
      <c r="A4420" t="inlineStr">
        <is>
          <t>Plastics &amp; rubber</t>
        </is>
      </c>
      <c r="B4420" t="inlineStr">
        <is>
          <t>39</t>
        </is>
      </c>
      <c r="C4420" t="inlineStr">
        <is>
          <t>39173990</t>
        </is>
      </c>
      <c r="D4420" t="inlineStr">
        <is>
          <t>OTHR TUBES PIPES AND HOSES NES</t>
        </is>
      </c>
      <c r="E4420" s="3" t="n">
        <v>2.21</v>
      </c>
      <c r="F4420" s="3" t="n">
        <v>0.59</v>
      </c>
      <c r="G4420" s="3">
        <f>F4420-E4420</f>
        <v/>
      </c>
      <c r="H4420" s="4">
        <f>IF(E4420=0,"",F4420/E4420-1)</f>
        <v/>
      </c>
      <c r="I4420" t="inlineStr"/>
    </row>
    <row r="4421">
      <c r="A4421" t="inlineStr">
        <is>
          <t>Plastics &amp; rubber</t>
        </is>
      </c>
      <c r="B4421" t="inlineStr">
        <is>
          <t>40</t>
        </is>
      </c>
      <c r="C4421" t="inlineStr">
        <is>
          <t>40011020</t>
        </is>
      </c>
      <c r="D4421" t="inlineStr">
        <is>
          <t>NATRL RUBR LATEX NOT PREVULCANISED</t>
        </is>
      </c>
      <c r="E4421" s="3" t="n">
        <v>0.25</v>
      </c>
      <c r="F4421" s="3" t="n">
        <v>0.5600000000000001</v>
      </c>
      <c r="G4421" s="3">
        <f>F4421-E4421</f>
        <v/>
      </c>
      <c r="H4421" s="4">
        <f>IF(E4421=0,"",F4421/E4421-1)</f>
        <v/>
      </c>
      <c r="I4421" t="inlineStr"/>
    </row>
    <row r="4422">
      <c r="A4422" t="inlineStr">
        <is>
          <t>Plastics &amp; rubber</t>
        </is>
      </c>
      <c r="B4422" t="inlineStr">
        <is>
          <t>40</t>
        </is>
      </c>
      <c r="C4422" t="inlineStr">
        <is>
          <t>40129010</t>
        </is>
      </c>
      <c r="D4422" t="inlineStr">
        <is>
          <t>SOLID RUBBER TYRES FOR MOTOR VEHICLES</t>
        </is>
      </c>
      <c r="E4422" s="3" t="n">
        <v>0.28</v>
      </c>
      <c r="F4422" s="3" t="n">
        <v>0.5600000000000001</v>
      </c>
      <c r="G4422" s="3">
        <f>F4422-E4422</f>
        <v/>
      </c>
      <c r="H4422" s="4">
        <f>IF(E4422=0,"",F4422/E4422-1)</f>
        <v/>
      </c>
      <c r="I4422" t="inlineStr"/>
    </row>
    <row r="4423">
      <c r="A4423" t="inlineStr">
        <is>
          <t>Plastics &amp; rubber</t>
        </is>
      </c>
      <c r="B4423" t="inlineStr">
        <is>
          <t>39</t>
        </is>
      </c>
      <c r="C4423" t="inlineStr">
        <is>
          <t>39094020</t>
        </is>
      </c>
      <c r="D4423" t="inlineStr">
        <is>
          <t>PHENOL FORMALDEHYDE RESINS</t>
        </is>
      </c>
      <c r="E4423" s="3" t="n">
        <v>0.59</v>
      </c>
      <c r="F4423" s="3" t="n">
        <v>0.55</v>
      </c>
      <c r="G4423" s="3">
        <f>F4423-E4423</f>
        <v/>
      </c>
      <c r="H4423" s="4">
        <f>IF(E4423=0,"",F4423/E4423-1)</f>
        <v/>
      </c>
      <c r="I4423" t="inlineStr"/>
    </row>
    <row r="4424">
      <c r="A4424" t="inlineStr">
        <is>
          <t>Plastics &amp; rubber</t>
        </is>
      </c>
      <c r="B4424" t="inlineStr">
        <is>
          <t>39</t>
        </is>
      </c>
      <c r="C4424" t="inlineStr">
        <is>
          <t>39123100</t>
        </is>
      </c>
      <c r="D4424" t="inlineStr">
        <is>
          <t>CARBOXYMETHYLCELLULOSE AND ITS SALTS</t>
        </is>
      </c>
      <c r="E4424" s="3" t="n">
        <v>1.67</v>
      </c>
      <c r="F4424" s="3" t="n">
        <v>0.54</v>
      </c>
      <c r="G4424" s="3">
        <f>F4424-E4424</f>
        <v/>
      </c>
      <c r="H4424" s="4">
        <f>IF(E4424=0,"",F4424/E4424-1)</f>
        <v/>
      </c>
      <c r="I4424" t="inlineStr"/>
    </row>
    <row r="4425">
      <c r="A4425" t="inlineStr">
        <is>
          <t>Plastics &amp; rubber</t>
        </is>
      </c>
      <c r="B4425" t="inlineStr">
        <is>
          <t>39</t>
        </is>
      </c>
      <c r="C4425" t="inlineStr">
        <is>
          <t>39219096</t>
        </is>
      </c>
      <c r="D4425" t="inlineStr">
        <is>
          <t>OTHR PLTS,SHTS,FILM FOIL,STRIP ETC NES FLEXIBLE, LAMINATED</t>
        </is>
      </c>
      <c r="E4425" s="3" t="n">
        <v>0.29</v>
      </c>
      <c r="F4425" s="3" t="n">
        <v>0.54</v>
      </c>
      <c r="G4425" s="3">
        <f>F4425-E4425</f>
        <v/>
      </c>
      <c r="H4425" s="4">
        <f>IF(E4425=0,"",F4425/E4425-1)</f>
        <v/>
      </c>
      <c r="I4425" t="inlineStr"/>
    </row>
    <row r="4426">
      <c r="A4426" t="inlineStr">
        <is>
          <t>Plastics &amp; rubber</t>
        </is>
      </c>
      <c r="B4426" t="inlineStr">
        <is>
          <t>39</t>
        </is>
      </c>
      <c r="C4426" t="inlineStr">
        <is>
          <t>39261099</t>
        </is>
      </c>
      <c r="D4426" t="inlineStr">
        <is>
          <t>OTHER OFFICE OR SCHOOL SUPPLIES NES</t>
        </is>
      </c>
      <c r="E4426" s="3" t="n">
        <v>0.3</v>
      </c>
      <c r="F4426" s="3" t="n">
        <v>0.54</v>
      </c>
      <c r="G4426" s="3">
        <f>F4426-E4426</f>
        <v/>
      </c>
      <c r="H4426" s="4">
        <f>IF(E4426=0,"",F4426/E4426-1)</f>
        <v/>
      </c>
      <c r="I4426" t="inlineStr"/>
    </row>
    <row r="4427">
      <c r="A4427" t="inlineStr">
        <is>
          <t>Plastics &amp; rubber</t>
        </is>
      </c>
      <c r="B4427" t="inlineStr">
        <is>
          <t>40</t>
        </is>
      </c>
      <c r="C4427" t="inlineStr">
        <is>
          <t>40114010</t>
        </is>
      </c>
      <c r="D4427" t="inlineStr">
        <is>
          <t>TYRES FOR MOTORCYCLES</t>
        </is>
      </c>
      <c r="E4427" s="3" t="n">
        <v>0</v>
      </c>
      <c r="F4427" s="3" t="n">
        <v>0.52</v>
      </c>
      <c r="G4427" s="3">
        <f>F4427-E4427</f>
        <v/>
      </c>
      <c r="H4427" s="4">
        <f>IF(E4427=0,"",F4427/E4427-1)</f>
        <v/>
      </c>
      <c r="I4427" t="inlineStr"/>
    </row>
    <row r="4428">
      <c r="A4428" t="inlineStr">
        <is>
          <t>Plastics &amp; rubber</t>
        </is>
      </c>
      <c r="B4428" t="inlineStr">
        <is>
          <t>39</t>
        </is>
      </c>
      <c r="C4428" t="inlineStr">
        <is>
          <t>39131090</t>
        </is>
      </c>
      <c r="D4428" t="inlineStr">
        <is>
          <t>OTHER ALGINIC ACID ITS SALTS AND ESTERS</t>
        </is>
      </c>
      <c r="E4428" s="3" t="n">
        <v>0</v>
      </c>
      <c r="F4428" s="3" t="n">
        <v>0.51</v>
      </c>
      <c r="G4428" s="3">
        <f>F4428-E4428</f>
        <v/>
      </c>
      <c r="H4428" s="4">
        <f>IF(E4428=0,"",F4428/E4428-1)</f>
        <v/>
      </c>
      <c r="I4428" t="inlineStr"/>
    </row>
    <row r="4429">
      <c r="A4429" t="inlineStr">
        <is>
          <t>Plastics &amp; rubber</t>
        </is>
      </c>
      <c r="B4429" t="inlineStr">
        <is>
          <t>39</t>
        </is>
      </c>
      <c r="C4429" t="inlineStr">
        <is>
          <t>39199010</t>
        </is>
      </c>
      <c r="D4429" t="inlineStr">
        <is>
          <t>PLASTIC STICKERS, WHETHER OR NOT PRINTED, EMBOSSED, OR IMPREGNATED</t>
        </is>
      </c>
      <c r="E4429" s="3" t="n">
        <v>0.43</v>
      </c>
      <c r="F4429" s="3" t="n">
        <v>0.48</v>
      </c>
      <c r="G4429" s="3">
        <f>F4429-E4429</f>
        <v/>
      </c>
      <c r="H4429" s="4">
        <f>IF(E4429=0,"",F4429/E4429-1)</f>
        <v/>
      </c>
      <c r="I4429" t="inlineStr"/>
    </row>
    <row r="4430">
      <c r="A4430" t="inlineStr">
        <is>
          <t>Plastics &amp; rubber</t>
        </is>
      </c>
      <c r="B4430" t="inlineStr">
        <is>
          <t>39</t>
        </is>
      </c>
      <c r="C4430" t="inlineStr">
        <is>
          <t>39219094</t>
        </is>
      </c>
      <c r="D4430" t="inlineStr">
        <is>
          <t>OTHR PLTS,SHTS,FILM FOIL,STRIP ETC NES FLEXIBLE, METALLISED</t>
        </is>
      </c>
      <c r="E4430" s="3" t="n">
        <v>0.33</v>
      </c>
      <c r="F4430" s="3" t="n">
        <v>0.47</v>
      </c>
      <c r="G4430" s="3">
        <f>F4430-E4430</f>
        <v/>
      </c>
      <c r="H4430" s="4">
        <f>IF(E4430=0,"",F4430/E4430-1)</f>
        <v/>
      </c>
      <c r="I4430" t="inlineStr"/>
    </row>
    <row r="4431">
      <c r="A4431" t="inlineStr">
        <is>
          <t>Plastics &amp; rubber</t>
        </is>
      </c>
      <c r="B4431" t="inlineStr">
        <is>
          <t>40</t>
        </is>
      </c>
      <c r="C4431" t="inlineStr">
        <is>
          <t>40092200</t>
        </is>
      </c>
      <c r="D4431" t="inlineStr">
        <is>
          <t>TUBES,PIPES AND HOSES OF VULCNSD RUBR REINFORCED/OTHERWSE CMBND ONLY WITH METAL WITH FITTINGS</t>
        </is>
      </c>
      <c r="E4431" s="3" t="n">
        <v>0.78</v>
      </c>
      <c r="F4431" s="3" t="n">
        <v>0.47</v>
      </c>
      <c r="G4431" s="3">
        <f>F4431-E4431</f>
        <v/>
      </c>
      <c r="H4431" s="4">
        <f>IF(E4431=0,"",F4431/E4431-1)</f>
        <v/>
      </c>
      <c r="I4431" t="inlineStr"/>
    </row>
    <row r="4432">
      <c r="A4432" t="inlineStr">
        <is>
          <t>Plastics &amp; rubber</t>
        </is>
      </c>
      <c r="B4432" t="inlineStr">
        <is>
          <t>39</t>
        </is>
      </c>
      <c r="C4432" t="inlineStr">
        <is>
          <t>39162019</t>
        </is>
      </c>
      <c r="D4432" t="inlineStr">
        <is>
          <t>OTHER OF CO-POLMRS OF VINYL CHLRIDE</t>
        </is>
      </c>
      <c r="E4432" s="3" t="n">
        <v>0.63</v>
      </c>
      <c r="F4432" s="3" t="n">
        <v>0.45</v>
      </c>
      <c r="G4432" s="3">
        <f>F4432-E4432</f>
        <v/>
      </c>
      <c r="H4432" s="4">
        <f>IF(E4432=0,"",F4432/E4432-1)</f>
        <v/>
      </c>
      <c r="I4432" t="inlineStr"/>
    </row>
    <row r="4433">
      <c r="A4433" t="inlineStr">
        <is>
          <t>Plastics &amp; rubber</t>
        </is>
      </c>
      <c r="B4433" t="inlineStr">
        <is>
          <t>40</t>
        </is>
      </c>
      <c r="C4433" t="inlineStr">
        <is>
          <t>40170090</t>
        </is>
      </c>
      <c r="D4433" t="inlineStr">
        <is>
          <t>OTHERS-OF-HARD RUBR IN ALL FORMS INCLUDINGWASTE AND SCRAP ARTCLS OF HRD RUBR</t>
        </is>
      </c>
      <c r="E4433" s="3" t="n">
        <v>0.07000000000000001</v>
      </c>
      <c r="F4433" s="3" t="n">
        <v>0.44</v>
      </c>
      <c r="G4433" s="3">
        <f>F4433-E4433</f>
        <v/>
      </c>
      <c r="H4433" s="4">
        <f>IF(E4433=0,"",F4433/E4433-1)</f>
        <v/>
      </c>
      <c r="I4433" t="inlineStr"/>
    </row>
    <row r="4434">
      <c r="A4434" t="inlineStr">
        <is>
          <t>Plastics &amp; rubber</t>
        </is>
      </c>
      <c r="B4434" t="inlineStr">
        <is>
          <t>39</t>
        </is>
      </c>
      <c r="C4434" t="inlineStr">
        <is>
          <t>39059910</t>
        </is>
      </c>
      <c r="D4434" t="inlineStr">
        <is>
          <t>POLYVINYL PIROLIDONE(P ALCOHOL)</t>
        </is>
      </c>
      <c r="E4434" s="3" t="n">
        <v>0.11</v>
      </c>
      <c r="F4434" s="3" t="n">
        <v>0.43</v>
      </c>
      <c r="G4434" s="3">
        <f>F4434-E4434</f>
        <v/>
      </c>
      <c r="H4434" s="4">
        <f>IF(E4434=0,"",F4434/E4434-1)</f>
        <v/>
      </c>
      <c r="I4434" t="inlineStr"/>
    </row>
    <row r="4435">
      <c r="A4435" t="inlineStr">
        <is>
          <t>Plastics &amp; rubber</t>
        </is>
      </c>
      <c r="B4435" t="inlineStr">
        <is>
          <t>39</t>
        </is>
      </c>
      <c r="C4435" t="inlineStr">
        <is>
          <t>39189090</t>
        </is>
      </c>
      <c r="D4435" t="inlineStr">
        <is>
          <t>FLOOR COVERING OF OTHER PLASTICS NES</t>
        </is>
      </c>
      <c r="E4435" s="3" t="n">
        <v>0.02</v>
      </c>
      <c r="F4435" s="3" t="n">
        <v>0.43</v>
      </c>
      <c r="G4435" s="3">
        <f>F4435-E4435</f>
        <v/>
      </c>
      <c r="H4435" s="4">
        <f>IF(E4435=0,"",F4435/E4435-1)</f>
        <v/>
      </c>
      <c r="I4435" t="inlineStr"/>
    </row>
    <row r="4436">
      <c r="A4436" t="inlineStr">
        <is>
          <t>Plastics &amp; rubber</t>
        </is>
      </c>
      <c r="B4436" t="inlineStr">
        <is>
          <t>39</t>
        </is>
      </c>
      <c r="C4436" t="inlineStr">
        <is>
          <t>39191000</t>
        </is>
      </c>
      <c r="D4436" t="inlineStr">
        <is>
          <t>SELF-ADHSV PLTS ETC IN RLS,WDTH &lt; = 20CM</t>
        </is>
      </c>
      <c r="E4436" s="3" t="n">
        <v>0.31</v>
      </c>
      <c r="F4436" s="3" t="n">
        <v>0.43</v>
      </c>
      <c r="G4436" s="3">
        <f>F4436-E4436</f>
        <v/>
      </c>
      <c r="H4436" s="4">
        <f>IF(E4436=0,"",F4436/E4436-1)</f>
        <v/>
      </c>
      <c r="I4436" t="inlineStr"/>
    </row>
    <row r="4437">
      <c r="A4437" t="inlineStr">
        <is>
          <t>Plastics &amp; rubber</t>
        </is>
      </c>
      <c r="B4437" t="inlineStr">
        <is>
          <t>39</t>
        </is>
      </c>
      <c r="C4437" t="inlineStr">
        <is>
          <t>39169024</t>
        </is>
      </c>
      <c r="D4437" t="inlineStr">
        <is>
          <t>POLYAMIDS</t>
        </is>
      </c>
      <c r="E4437" s="3" t="n">
        <v>0.15</v>
      </c>
      <c r="F4437" s="3" t="n">
        <v>0.42</v>
      </c>
      <c r="G4437" s="3">
        <f>F4437-E4437</f>
        <v/>
      </c>
      <c r="H4437" s="4">
        <f>IF(E4437=0,"",F4437/E4437-1)</f>
        <v/>
      </c>
      <c r="I4437" t="inlineStr"/>
    </row>
    <row r="4438">
      <c r="A4438" t="inlineStr">
        <is>
          <t>Plastics &amp; rubber</t>
        </is>
      </c>
      <c r="B4438" t="inlineStr">
        <is>
          <t>40</t>
        </is>
      </c>
      <c r="C4438" t="inlineStr">
        <is>
          <t>40082120</t>
        </is>
      </c>
      <c r="D4438" t="inlineStr">
        <is>
          <t>PLTS,SHTS,STRIPS OF NON-CELLULAR RUBR FOR RESOLING/REPAIRING/RETREADING RUBR TYRES</t>
        </is>
      </c>
      <c r="E4438" s="3" t="n">
        <v>0.07000000000000001</v>
      </c>
      <c r="F4438" s="3" t="n">
        <v>0.42</v>
      </c>
      <c r="G4438" s="3">
        <f>F4438-E4438</f>
        <v/>
      </c>
      <c r="H4438" s="4">
        <f>IF(E4438=0,"",F4438/E4438-1)</f>
        <v/>
      </c>
      <c r="I4438" t="inlineStr"/>
    </row>
    <row r="4439">
      <c r="A4439" t="inlineStr">
        <is>
          <t>Plastics &amp; rubber</t>
        </is>
      </c>
      <c r="B4439" t="inlineStr">
        <is>
          <t>39</t>
        </is>
      </c>
      <c r="C4439" t="inlineStr">
        <is>
          <t>39123912</t>
        </is>
      </c>
      <c r="D4439" t="inlineStr">
        <is>
          <t>METHYL CELLULOSE NON-PLASTICIZED</t>
        </is>
      </c>
      <c r="E4439" s="3" t="n">
        <v>0</v>
      </c>
      <c r="F4439" s="3" t="n">
        <v>0.41</v>
      </c>
      <c r="G4439" s="3">
        <f>F4439-E4439</f>
        <v/>
      </c>
      <c r="H4439" s="4">
        <f>IF(E4439=0,"",F4439/E4439-1)</f>
        <v/>
      </c>
      <c r="I4439" t="inlineStr"/>
    </row>
    <row r="4440">
      <c r="A4440" t="inlineStr">
        <is>
          <t>Plastics &amp; rubber</t>
        </is>
      </c>
      <c r="B4440" t="inlineStr">
        <is>
          <t>39</t>
        </is>
      </c>
      <c r="C4440" t="inlineStr">
        <is>
          <t>39051290</t>
        </is>
      </c>
      <c r="D4440" t="inlineStr">
        <is>
          <t>OTHERS-OF-POLYVINYL ACETATE IN AQS DISPRSN</t>
        </is>
      </c>
      <c r="E4440" s="3" t="n">
        <v>0.66</v>
      </c>
      <c r="F4440" s="3" t="n">
        <v>0.39</v>
      </c>
      <c r="G4440" s="3">
        <f>F4440-E4440</f>
        <v/>
      </c>
      <c r="H4440" s="4">
        <f>IF(E4440=0,"",F4440/E4440-1)</f>
        <v/>
      </c>
      <c r="I4440" t="inlineStr"/>
    </row>
    <row r="4441">
      <c r="A4441" t="inlineStr">
        <is>
          <t>Plastics &amp; rubber</t>
        </is>
      </c>
      <c r="B4441" t="inlineStr">
        <is>
          <t>39</t>
        </is>
      </c>
      <c r="C4441" t="inlineStr">
        <is>
          <t>39209939</t>
        </is>
      </c>
      <c r="D4441" t="inlineStr">
        <is>
          <t>PLATE SHEET FILM FOIL AND STRIP OF COPOLYMEROF VINYL CHLORIDEAND ACETATE OTHER</t>
        </is>
      </c>
      <c r="E4441" s="3" t="n">
        <v>0.73</v>
      </c>
      <c r="F4441" s="3" t="n">
        <v>0.39</v>
      </c>
      <c r="G4441" s="3">
        <f>F4441-E4441</f>
        <v/>
      </c>
      <c r="H4441" s="4">
        <f>IF(E4441=0,"",F4441/E4441-1)</f>
        <v/>
      </c>
      <c r="I4441" t="inlineStr"/>
    </row>
    <row r="4442">
      <c r="A4442" t="inlineStr">
        <is>
          <t>Plastics &amp; rubber</t>
        </is>
      </c>
      <c r="B4442" t="inlineStr">
        <is>
          <t>39</t>
        </is>
      </c>
      <c r="C4442" t="inlineStr">
        <is>
          <t>39029000</t>
        </is>
      </c>
      <c r="D4442" t="inlineStr">
        <is>
          <t>OTHR POLYMERS OF PROPYLENE IN PRMRY FORMS</t>
        </is>
      </c>
      <c r="E4442" s="3" t="n">
        <v>0.6</v>
      </c>
      <c r="F4442" s="3" t="n">
        <v>0.38</v>
      </c>
      <c r="G4442" s="3">
        <f>F4442-E4442</f>
        <v/>
      </c>
      <c r="H4442" s="4">
        <f>IF(E4442=0,"",F4442/E4442-1)</f>
        <v/>
      </c>
      <c r="I4442" t="inlineStr"/>
    </row>
    <row r="4443">
      <c r="A4443" t="inlineStr">
        <is>
          <t>Plastics &amp; rubber</t>
        </is>
      </c>
      <c r="B4443" t="inlineStr">
        <is>
          <t>39</t>
        </is>
      </c>
      <c r="C4443" t="inlineStr">
        <is>
          <t>39222000</t>
        </is>
      </c>
      <c r="D4443" t="inlineStr">
        <is>
          <t>LAVATORY SEATS AND COVERS</t>
        </is>
      </c>
      <c r="E4443" s="3" t="n">
        <v>0.43</v>
      </c>
      <c r="F4443" s="3" t="n">
        <v>0.37</v>
      </c>
      <c r="G4443" s="3">
        <f>F4443-E4443</f>
        <v/>
      </c>
      <c r="H4443" s="4">
        <f>IF(E4443=0,"",F4443/E4443-1)</f>
        <v/>
      </c>
      <c r="I4443" t="inlineStr"/>
    </row>
    <row r="4444">
      <c r="A4444" t="inlineStr">
        <is>
          <t>Plastics &amp; rubber</t>
        </is>
      </c>
      <c r="B4444" t="inlineStr">
        <is>
          <t>40</t>
        </is>
      </c>
      <c r="C4444" t="inlineStr">
        <is>
          <t>40093100</t>
        </is>
      </c>
      <c r="D4444" t="inlineStr">
        <is>
          <t>TUBES, PIPES AND HOSES OF VULCNSD RUBR REINFORCED/OTHRWSE CMBND ONLY WTH TEXTILE MATERIALS WTHOUT FITTINGS</t>
        </is>
      </c>
      <c r="E4444" s="3" t="n">
        <v>0.14</v>
      </c>
      <c r="F4444" s="3" t="n">
        <v>0.36</v>
      </c>
      <c r="G4444" s="3">
        <f>F4444-E4444</f>
        <v/>
      </c>
      <c r="H4444" s="4">
        <f>IF(E4444=0,"",F4444/E4444-1)</f>
        <v/>
      </c>
      <c r="I4444" t="inlineStr"/>
    </row>
    <row r="4445">
      <c r="A4445" t="inlineStr">
        <is>
          <t>Plastics &amp; rubber</t>
        </is>
      </c>
      <c r="B4445" t="inlineStr">
        <is>
          <t>39</t>
        </is>
      </c>
      <c r="C4445" t="inlineStr">
        <is>
          <t>39161090</t>
        </is>
      </c>
      <c r="D4445" t="inlineStr">
        <is>
          <t>OTHERS POLYMERS OF ETHYLENE</t>
        </is>
      </c>
      <c r="E4445" s="3" t="n">
        <v>0.05</v>
      </c>
      <c r="F4445" s="3" t="n">
        <v>0.35</v>
      </c>
      <c r="G4445" s="3">
        <f>F4445-E4445</f>
        <v/>
      </c>
      <c r="H4445" s="4">
        <f>IF(E4445=0,"",F4445/E4445-1)</f>
        <v/>
      </c>
      <c r="I4445" t="inlineStr"/>
    </row>
    <row r="4446">
      <c r="A4446" t="inlineStr">
        <is>
          <t>Plastics &amp; rubber</t>
        </is>
      </c>
      <c r="B4446" t="inlineStr">
        <is>
          <t>39</t>
        </is>
      </c>
      <c r="C4446" t="inlineStr">
        <is>
          <t>39211100</t>
        </is>
      </c>
      <c r="D4446" t="inlineStr">
        <is>
          <t>PLTES SHTS ETC OF POLYMRS OF STYRENE</t>
        </is>
      </c>
      <c r="E4446" s="3" t="n">
        <v>0.28</v>
      </c>
      <c r="F4446" s="3" t="n">
        <v>0.35</v>
      </c>
      <c r="G4446" s="3">
        <f>F4446-E4446</f>
        <v/>
      </c>
      <c r="H4446" s="4">
        <f>IF(E4446=0,"",F4446/E4446-1)</f>
        <v/>
      </c>
      <c r="I4446" t="inlineStr"/>
    </row>
    <row r="4447">
      <c r="A4447" t="inlineStr">
        <is>
          <t>Plastics &amp; rubber</t>
        </is>
      </c>
      <c r="B4447" t="inlineStr">
        <is>
          <t>39</t>
        </is>
      </c>
      <c r="C4447" t="inlineStr">
        <is>
          <t>39206190</t>
        </is>
      </c>
      <c r="D4447" t="inlineStr">
        <is>
          <t>PLTES SHTS ETC OF PLYCRBNTS NES</t>
        </is>
      </c>
      <c r="E4447" s="3" t="n">
        <v>0.27</v>
      </c>
      <c r="F4447" s="3" t="n">
        <v>0.34</v>
      </c>
      <c r="G4447" s="3">
        <f>F4447-E4447</f>
        <v/>
      </c>
      <c r="H4447" s="4">
        <f>IF(E4447=0,"",F4447/E4447-1)</f>
        <v/>
      </c>
      <c r="I4447" t="inlineStr"/>
    </row>
    <row r="4448">
      <c r="A4448" t="inlineStr">
        <is>
          <t>Plastics &amp; rubber</t>
        </is>
      </c>
      <c r="B4448" t="inlineStr">
        <is>
          <t>40</t>
        </is>
      </c>
      <c r="C4448" t="inlineStr">
        <is>
          <t>40082940</t>
        </is>
      </c>
      <c r="D4448" t="inlineStr">
        <is>
          <t>TREADRUBR/PACKING STRIP FOR RESOLING/ REPAIRING/RETREADING RUBR TYRES OF OTHER NON-CELLULAR RUBR</t>
        </is>
      </c>
      <c r="E4448" s="3" t="n">
        <v>0.36</v>
      </c>
      <c r="F4448" s="3" t="n">
        <v>0.34</v>
      </c>
      <c r="G4448" s="3">
        <f>F4448-E4448</f>
        <v/>
      </c>
      <c r="H4448" s="4">
        <f>IF(E4448=0,"",F4448/E4448-1)</f>
        <v/>
      </c>
      <c r="I4448" t="inlineStr"/>
    </row>
    <row r="4449">
      <c r="A4449" t="inlineStr">
        <is>
          <t>Plastics &amp; rubber</t>
        </is>
      </c>
      <c r="B4449" t="inlineStr">
        <is>
          <t>39</t>
        </is>
      </c>
      <c r="C4449" t="inlineStr">
        <is>
          <t>39229000</t>
        </is>
      </c>
      <c r="D4449" t="inlineStr">
        <is>
          <t>OTHR SANITARY ARTICLES</t>
        </is>
      </c>
      <c r="E4449" s="3" t="n">
        <v>0.47</v>
      </c>
      <c r="F4449" s="3" t="n">
        <v>0.33</v>
      </c>
      <c r="G4449" s="3">
        <f>F4449-E4449</f>
        <v/>
      </c>
      <c r="H4449" s="4">
        <f>IF(E4449=0,"",F4449/E4449-1)</f>
        <v/>
      </c>
      <c r="I4449" t="inlineStr"/>
    </row>
    <row r="4450">
      <c r="A4450" t="inlineStr">
        <is>
          <t>Plastics &amp; rubber</t>
        </is>
      </c>
      <c r="B4450" t="inlineStr">
        <is>
          <t>39</t>
        </is>
      </c>
      <c r="C4450" t="inlineStr">
        <is>
          <t>39100020</t>
        </is>
      </c>
      <c r="D4450" t="inlineStr">
        <is>
          <t>SILICONE OIL</t>
        </is>
      </c>
      <c r="E4450" s="3" t="n">
        <v>0.45</v>
      </c>
      <c r="F4450" s="3" t="n">
        <v>0.3</v>
      </c>
      <c r="G4450" s="3">
        <f>F4450-E4450</f>
        <v/>
      </c>
      <c r="H4450" s="4">
        <f>IF(E4450=0,"",F4450/E4450-1)</f>
        <v/>
      </c>
      <c r="I4450" t="inlineStr"/>
    </row>
    <row r="4451">
      <c r="A4451" t="inlineStr">
        <is>
          <t>Plastics &amp; rubber</t>
        </is>
      </c>
      <c r="B4451" t="inlineStr">
        <is>
          <t>39</t>
        </is>
      </c>
      <c r="C4451" t="inlineStr">
        <is>
          <t>39231020</t>
        </is>
      </c>
      <c r="D4451" t="inlineStr">
        <is>
          <t>WATCHBOX JEWELLERY BOX AND SIMILAR CONTAINER OF PLASTICS</t>
        </is>
      </c>
      <c r="E4451" s="3" t="n">
        <v>0.12</v>
      </c>
      <c r="F4451" s="3" t="n">
        <v>0.3</v>
      </c>
      <c r="G4451" s="3">
        <f>F4451-E4451</f>
        <v/>
      </c>
      <c r="H4451" s="4">
        <f>IF(E4451=0,"",F4451/E4451-1)</f>
        <v/>
      </c>
      <c r="I4451" t="inlineStr"/>
    </row>
    <row r="4452">
      <c r="A4452" t="inlineStr">
        <is>
          <t>Plastics &amp; rubber</t>
        </is>
      </c>
      <c r="B4452" t="inlineStr">
        <is>
          <t>40</t>
        </is>
      </c>
      <c r="C4452" t="inlineStr">
        <is>
          <t>40115010</t>
        </is>
      </c>
      <c r="D4452" t="inlineStr">
        <is>
          <t>MULTICELLULR POLYURETHANE(MCP) TUBES TYRE USED ON BICYCLES</t>
        </is>
      </c>
      <c r="E4452" s="3" t="n">
        <v>0.36</v>
      </c>
      <c r="F4452" s="3" t="n">
        <v>0.3</v>
      </c>
      <c r="G4452" s="3">
        <f>F4452-E4452</f>
        <v/>
      </c>
      <c r="H4452" s="4">
        <f>IF(E4452=0,"",F4452/E4452-1)</f>
        <v/>
      </c>
      <c r="I4452" t="inlineStr"/>
    </row>
    <row r="4453">
      <c r="A4453" t="inlineStr">
        <is>
          <t>Plastics &amp; rubber</t>
        </is>
      </c>
      <c r="B4453" t="inlineStr">
        <is>
          <t>40</t>
        </is>
      </c>
      <c r="C4453" t="inlineStr">
        <is>
          <t>40069090</t>
        </is>
      </c>
      <c r="D4453" t="inlineStr">
        <is>
          <t>OTHERS FORMS AND ARTICLES OF UNVLCANISED RUBBER EXCL. CAMEL BACKSTRIPS</t>
        </is>
      </c>
      <c r="E4453" s="3" t="n">
        <v>0.15</v>
      </c>
      <c r="F4453" s="3" t="n">
        <v>0.29</v>
      </c>
      <c r="G4453" s="3">
        <f>F4453-E4453</f>
        <v/>
      </c>
      <c r="H4453" s="4">
        <f>IF(E4453=0,"",F4453/E4453-1)</f>
        <v/>
      </c>
      <c r="I4453" t="inlineStr"/>
    </row>
    <row r="4454">
      <c r="A4454" t="inlineStr">
        <is>
          <t>Plastics &amp; rubber</t>
        </is>
      </c>
      <c r="B4454" t="inlineStr">
        <is>
          <t>39</t>
        </is>
      </c>
      <c r="C4454" t="inlineStr">
        <is>
          <t>39172190</t>
        </is>
      </c>
      <c r="D4454" t="inlineStr">
        <is>
          <t>OTHERS-OF-TUBES PIPES AND HOSES OF POLYETHYLNE RIGID</t>
        </is>
      </c>
      <c r="E4454" s="3" t="n">
        <v>0.25</v>
      </c>
      <c r="F4454" s="3" t="n">
        <v>0.28</v>
      </c>
      <c r="G4454" s="3">
        <f>F4454-E4454</f>
        <v/>
      </c>
      <c r="H4454" s="4">
        <f>IF(E4454=0,"",F4454/E4454-1)</f>
        <v/>
      </c>
      <c r="I4454" t="inlineStr"/>
    </row>
    <row r="4455">
      <c r="A4455" t="inlineStr">
        <is>
          <t>Plastics &amp; rubber</t>
        </is>
      </c>
      <c r="B4455" t="inlineStr">
        <is>
          <t>40</t>
        </is>
      </c>
      <c r="C4455" t="inlineStr">
        <is>
          <t>40131010</t>
        </is>
      </c>
      <c r="D4455" t="inlineStr">
        <is>
          <t>INNER TUBES FOR MOTOR CARS</t>
        </is>
      </c>
      <c r="E4455" s="3" t="n">
        <v>0.26</v>
      </c>
      <c r="F4455" s="3" t="n">
        <v>0.28</v>
      </c>
      <c r="G4455" s="3">
        <f>F4455-E4455</f>
        <v/>
      </c>
      <c r="H4455" s="4">
        <f>IF(E4455=0,"",F4455/E4455-1)</f>
        <v/>
      </c>
      <c r="I4455" t="inlineStr"/>
    </row>
    <row r="4456">
      <c r="A4456" t="inlineStr">
        <is>
          <t>Plastics &amp; rubber</t>
        </is>
      </c>
      <c r="B4456" t="inlineStr">
        <is>
          <t>39</t>
        </is>
      </c>
      <c r="C4456" t="inlineStr">
        <is>
          <t>39059990</t>
        </is>
      </c>
      <c r="D4456" t="inlineStr">
        <is>
          <t>OTHERS POLYMERS OF VINYL ACETATE/OF OTHR VINYL ESTRS AND OTHR VINYL POLYMERS IN PRMRY FORMS EXCL POLY/VINYL ACETATE COP</t>
        </is>
      </c>
      <c r="E4456" s="3" t="n">
        <v>0</v>
      </c>
      <c r="F4456" s="3" t="n">
        <v>0.27</v>
      </c>
      <c r="G4456" s="3">
        <f>F4456-E4456</f>
        <v/>
      </c>
      <c r="H4456" s="4">
        <f>IF(E4456=0,"",F4456/E4456-1)</f>
        <v/>
      </c>
      <c r="I4456" t="inlineStr"/>
    </row>
    <row r="4457">
      <c r="A4457" t="inlineStr">
        <is>
          <t>Plastics &amp; rubber</t>
        </is>
      </c>
      <c r="B4457" t="inlineStr">
        <is>
          <t>39</t>
        </is>
      </c>
      <c r="C4457" t="inlineStr">
        <is>
          <t>39094090</t>
        </is>
      </c>
      <c r="D4457" t="inlineStr">
        <is>
          <t>PHENOLIC RESINS NES</t>
        </is>
      </c>
      <c r="E4457" s="3" t="n">
        <v>0.08</v>
      </c>
      <c r="F4457" s="3" t="n">
        <v>0.27</v>
      </c>
      <c r="G4457" s="3">
        <f>F4457-E4457</f>
        <v/>
      </c>
      <c r="H4457" s="4">
        <f>IF(E4457=0,"",F4457/E4457-1)</f>
        <v/>
      </c>
      <c r="I4457" t="inlineStr"/>
    </row>
    <row r="4458">
      <c r="A4458" t="inlineStr">
        <is>
          <t>Plastics &amp; rubber</t>
        </is>
      </c>
      <c r="B4458" t="inlineStr">
        <is>
          <t>39</t>
        </is>
      </c>
      <c r="C4458" t="inlineStr">
        <is>
          <t>39073010</t>
        </is>
      </c>
      <c r="D4458" t="inlineStr">
        <is>
          <t>EPOXY RESINS</t>
        </is>
      </c>
      <c r="E4458" s="3" t="n">
        <v>0.39</v>
      </c>
      <c r="F4458" s="3" t="n">
        <v>0.26</v>
      </c>
      <c r="G4458" s="3">
        <f>F4458-E4458</f>
        <v/>
      </c>
      <c r="H4458" s="4">
        <f>IF(E4458=0,"",F4458/E4458-1)</f>
        <v/>
      </c>
      <c r="I4458" t="inlineStr"/>
    </row>
    <row r="4459">
      <c r="A4459" t="inlineStr">
        <is>
          <t>Plastics &amp; rubber</t>
        </is>
      </c>
      <c r="B4459" t="inlineStr">
        <is>
          <t>39</t>
        </is>
      </c>
      <c r="C4459" t="inlineStr">
        <is>
          <t>39172110</t>
        </is>
      </c>
      <c r="D4459" t="inlineStr">
        <is>
          <t>TUBES OF POLYETHYLENE</t>
        </is>
      </c>
      <c r="E4459" s="3" t="n">
        <v>0.97</v>
      </c>
      <c r="F4459" s="3" t="n">
        <v>0.26</v>
      </c>
      <c r="G4459" s="3">
        <f>F4459-E4459</f>
        <v/>
      </c>
      <c r="H4459" s="4">
        <f>IF(E4459=0,"",F4459/E4459-1)</f>
        <v/>
      </c>
      <c r="I4459" t="inlineStr"/>
    </row>
    <row r="4460">
      <c r="A4460" t="inlineStr">
        <is>
          <t>Plastics &amp; rubber</t>
        </is>
      </c>
      <c r="B4460" t="inlineStr">
        <is>
          <t>39</t>
        </is>
      </c>
      <c r="C4460" t="inlineStr">
        <is>
          <t>39206290</t>
        </is>
      </c>
      <c r="D4460" t="inlineStr">
        <is>
          <t>PLTES SHTS OF PLYETHYLN TEREPHTHALTE NES</t>
        </is>
      </c>
      <c r="E4460" s="3" t="n">
        <v>0.12</v>
      </c>
      <c r="F4460" s="3" t="n">
        <v>0.26</v>
      </c>
      <c r="G4460" s="3">
        <f>F4460-E4460</f>
        <v/>
      </c>
      <c r="H4460" s="4">
        <f>IF(E4460=0,"",F4460/E4460-1)</f>
        <v/>
      </c>
      <c r="I4460" t="inlineStr"/>
    </row>
    <row r="4461">
      <c r="A4461" t="inlineStr">
        <is>
          <t>Plastics &amp; rubber</t>
        </is>
      </c>
      <c r="B4461" t="inlineStr">
        <is>
          <t>39</t>
        </is>
      </c>
      <c r="C4461" t="inlineStr">
        <is>
          <t>39169010</t>
        </is>
      </c>
      <c r="D4461" t="inlineStr">
        <is>
          <t>CANES OF OTHR PLSTCS</t>
        </is>
      </c>
      <c r="E4461" s="3" t="n">
        <v>0.02</v>
      </c>
      <c r="F4461" s="3" t="n">
        <v>0.24</v>
      </c>
      <c r="G4461" s="3">
        <f>F4461-E4461</f>
        <v/>
      </c>
      <c r="H4461" s="4">
        <f>IF(E4461=0,"",F4461/E4461-1)</f>
        <v/>
      </c>
      <c r="I4461" t="inlineStr"/>
    </row>
    <row r="4462">
      <c r="A4462" t="inlineStr">
        <is>
          <t>Plastics &amp; rubber</t>
        </is>
      </c>
      <c r="B4462" t="inlineStr">
        <is>
          <t>39</t>
        </is>
      </c>
      <c r="C4462" t="inlineStr">
        <is>
          <t>39209942</t>
        </is>
      </c>
      <c r="D4462" t="inlineStr">
        <is>
          <t>SHEET OF POLY(TETRAFLURO-ETHYLENE)(PTFE) FLEXIBLE, PLAIN</t>
        </is>
      </c>
      <c r="E4462" s="3" t="n">
        <v>0.01</v>
      </c>
      <c r="F4462" s="3" t="n">
        <v>0.21</v>
      </c>
      <c r="G4462" s="3">
        <f>F4462-E4462</f>
        <v/>
      </c>
      <c r="H4462" s="4">
        <f>IF(E4462=0,"",F4462/E4462-1)</f>
        <v/>
      </c>
      <c r="I4462" t="inlineStr"/>
    </row>
    <row r="4463">
      <c r="A4463" t="inlineStr">
        <is>
          <t>Plastics &amp; rubber</t>
        </is>
      </c>
      <c r="B4463" t="inlineStr">
        <is>
          <t>39</t>
        </is>
      </c>
      <c r="C4463" t="inlineStr">
        <is>
          <t>39211200</t>
        </is>
      </c>
      <c r="D4463" t="inlineStr">
        <is>
          <t>PLTES ETC OF POLYMRS OF VINYL CHLORDE</t>
        </is>
      </c>
      <c r="E4463" s="3" t="n">
        <v>0.3</v>
      </c>
      <c r="F4463" s="3" t="n">
        <v>0.21</v>
      </c>
      <c r="G4463" s="3">
        <f>F4463-E4463</f>
        <v/>
      </c>
      <c r="H4463" s="4">
        <f>IF(E4463=0,"",F4463/E4463-1)</f>
        <v/>
      </c>
      <c r="I4463" t="inlineStr"/>
    </row>
    <row r="4464">
      <c r="A4464" t="inlineStr">
        <is>
          <t>Plastics &amp; rubber</t>
        </is>
      </c>
      <c r="B4464" t="inlineStr">
        <is>
          <t>40</t>
        </is>
      </c>
      <c r="C4464" t="inlineStr">
        <is>
          <t>40059190</t>
        </is>
      </c>
      <c r="D4464" t="inlineStr">
        <is>
          <t>OTHER PLATES SHEETS AND STRIP</t>
        </is>
      </c>
      <c r="E4464" s="3" t="n">
        <v>0.18</v>
      </c>
      <c r="F4464" s="3" t="n">
        <v>0.21</v>
      </c>
      <c r="G4464" s="3">
        <f>F4464-E4464</f>
        <v/>
      </c>
      <c r="H4464" s="4">
        <f>IF(E4464=0,"",F4464/E4464-1)</f>
        <v/>
      </c>
      <c r="I4464" t="inlineStr"/>
    </row>
    <row r="4465">
      <c r="A4465" t="inlineStr">
        <is>
          <t>Plastics &amp; rubber</t>
        </is>
      </c>
      <c r="B4465" t="inlineStr">
        <is>
          <t>40</t>
        </is>
      </c>
      <c r="C4465" t="inlineStr">
        <is>
          <t>40094100</t>
        </is>
      </c>
      <c r="D4465" t="inlineStr">
        <is>
          <t>TUBES.PIPES AND HOSES OF VULCNSD RUBR REINFORCED/OTHRWSE COMBINED WTH OTHR MATERIALS WITHOUT FITTINGS</t>
        </is>
      </c>
      <c r="E4465" s="3" t="n">
        <v>0.24</v>
      </c>
      <c r="F4465" s="3" t="n">
        <v>0.21</v>
      </c>
      <c r="G4465" s="3">
        <f>F4465-E4465</f>
        <v/>
      </c>
      <c r="H4465" s="4">
        <f>IF(E4465=0,"",F4465/E4465-1)</f>
        <v/>
      </c>
      <c r="I4465" t="inlineStr"/>
    </row>
    <row r="4466">
      <c r="A4466" t="inlineStr">
        <is>
          <t>Plastics &amp; rubber</t>
        </is>
      </c>
      <c r="B4466" t="inlineStr">
        <is>
          <t>40</t>
        </is>
      </c>
      <c r="C4466" t="inlineStr">
        <is>
          <t>40159030</t>
        </is>
      </c>
      <c r="D4466" t="inlineStr">
        <is>
          <t>INDUSTRIAL GLOVES</t>
        </is>
      </c>
      <c r="E4466" s="3" t="n">
        <v>0.05</v>
      </c>
      <c r="F4466" s="3" t="n">
        <v>0.21</v>
      </c>
      <c r="G4466" s="3">
        <f>F4466-E4466</f>
        <v/>
      </c>
      <c r="H4466" s="4">
        <f>IF(E4466=0,"",F4466/E4466-1)</f>
        <v/>
      </c>
      <c r="I4466" t="inlineStr"/>
    </row>
    <row r="4467">
      <c r="A4467" t="inlineStr">
        <is>
          <t>Plastics &amp; rubber</t>
        </is>
      </c>
      <c r="B4467" t="inlineStr">
        <is>
          <t>39</t>
        </is>
      </c>
      <c r="C4467" t="inlineStr">
        <is>
          <t>39209941</t>
        </is>
      </c>
      <c r="D4467" t="inlineStr">
        <is>
          <t>SHEET OF POLY(TETRAFLURO-ETHYLENE)(PTFE) RIGID, PLAIN</t>
        </is>
      </c>
      <c r="E4467" s="3" t="n">
        <v>0</v>
      </c>
      <c r="F4467" s="3" t="n">
        <v>0.2</v>
      </c>
      <c r="G4467" s="3">
        <f>F4467-E4467</f>
        <v/>
      </c>
      <c r="H4467" s="4">
        <f>IF(E4467=0,"",F4467/E4467-1)</f>
        <v/>
      </c>
      <c r="I4467" t="inlineStr"/>
    </row>
    <row r="4468">
      <c r="A4468" t="inlineStr">
        <is>
          <t>Plastics &amp; rubber</t>
        </is>
      </c>
      <c r="B4468" t="inlineStr">
        <is>
          <t>39</t>
        </is>
      </c>
      <c r="C4468" t="inlineStr">
        <is>
          <t>39251000</t>
        </is>
      </c>
      <c r="D4468" t="inlineStr">
        <is>
          <t>RESRVRS TANKS VATS AND SMLR CONTNR UPTO 300L</t>
        </is>
      </c>
      <c r="E4468" s="3" t="n">
        <v>0.24</v>
      </c>
      <c r="F4468" s="3" t="n">
        <v>0.2</v>
      </c>
      <c r="G4468" s="3">
        <f>F4468-E4468</f>
        <v/>
      </c>
      <c r="H4468" s="4">
        <f>IF(E4468=0,"",F4468/E4468-1)</f>
        <v/>
      </c>
      <c r="I4468" t="inlineStr"/>
    </row>
    <row r="4469">
      <c r="A4469" t="inlineStr">
        <is>
          <t>Plastics &amp; rubber</t>
        </is>
      </c>
      <c r="B4469" t="inlineStr">
        <is>
          <t>40</t>
        </is>
      </c>
      <c r="C4469" t="inlineStr">
        <is>
          <t>40169590</t>
        </is>
      </c>
      <c r="D4469" t="inlineStr">
        <is>
          <t>OTHER ITEMS OF INFLATABLE ARTCLES</t>
        </is>
      </c>
      <c r="E4469" s="3" t="n">
        <v>0.14</v>
      </c>
      <c r="F4469" s="3" t="n">
        <v>0.2</v>
      </c>
      <c r="G4469" s="3">
        <f>F4469-E4469</f>
        <v/>
      </c>
      <c r="H4469" s="4">
        <f>IF(E4469=0,"",F4469/E4469-1)</f>
        <v/>
      </c>
      <c r="I4469" t="inlineStr"/>
    </row>
    <row r="4470">
      <c r="A4470" t="inlineStr">
        <is>
          <t>Plastics &amp; rubber</t>
        </is>
      </c>
      <c r="B4470" t="inlineStr">
        <is>
          <t>39</t>
        </is>
      </c>
      <c r="C4470" t="inlineStr">
        <is>
          <t>39071000</t>
        </is>
      </c>
      <c r="D4470" t="inlineStr">
        <is>
          <t>POLYACETALS</t>
        </is>
      </c>
      <c r="E4470" s="3" t="n">
        <v>0.1</v>
      </c>
      <c r="F4470" s="3" t="n">
        <v>0.19</v>
      </c>
      <c r="G4470" s="3">
        <f>F4470-E4470</f>
        <v/>
      </c>
      <c r="H4470" s="4">
        <f>IF(E4470=0,"",F4470/E4470-1)</f>
        <v/>
      </c>
      <c r="I4470" t="inlineStr"/>
    </row>
    <row r="4471">
      <c r="A4471" t="inlineStr">
        <is>
          <t>Plastics &amp; rubber</t>
        </is>
      </c>
      <c r="B4471" t="inlineStr">
        <is>
          <t>39</t>
        </is>
      </c>
      <c r="C4471" t="inlineStr">
        <is>
          <t>39100010</t>
        </is>
      </c>
      <c r="D4471" t="inlineStr">
        <is>
          <t>SILICONE RESINS</t>
        </is>
      </c>
      <c r="E4471" s="3" t="n">
        <v>0.05</v>
      </c>
      <c r="F4471" s="3" t="n">
        <v>0.19</v>
      </c>
      <c r="G4471" s="3">
        <f>F4471-E4471</f>
        <v/>
      </c>
      <c r="H4471" s="4">
        <f>IF(E4471=0,"",F4471/E4471-1)</f>
        <v/>
      </c>
      <c r="I4471" t="inlineStr"/>
    </row>
    <row r="4472">
      <c r="A4472" t="inlineStr">
        <is>
          <t>Plastics &amp; rubber</t>
        </is>
      </c>
      <c r="B4472" t="inlineStr">
        <is>
          <t>40</t>
        </is>
      </c>
      <c r="C4472" t="inlineStr">
        <is>
          <t>40101190</t>
        </is>
      </c>
      <c r="D4472" t="inlineStr">
        <is>
          <t>CNVYR BLT/BLTNG REINFORCED ONLY WITH METAL WHERE RUBR COMPD MORE THAN 25% BY WT</t>
        </is>
      </c>
      <c r="E4472" s="3" t="n">
        <v>0.37</v>
      </c>
      <c r="F4472" s="3" t="n">
        <v>0.19</v>
      </c>
      <c r="G4472" s="3">
        <f>F4472-E4472</f>
        <v/>
      </c>
      <c r="H4472" s="4">
        <f>IF(E4472=0,"",F4472/E4472-1)</f>
        <v/>
      </c>
      <c r="I4472" t="inlineStr"/>
    </row>
    <row r="4473">
      <c r="A4473" t="inlineStr">
        <is>
          <t>Plastics &amp; rubber</t>
        </is>
      </c>
      <c r="B4473" t="inlineStr">
        <is>
          <t>39</t>
        </is>
      </c>
      <c r="C4473" t="inlineStr">
        <is>
          <t>39181010</t>
        </is>
      </c>
      <c r="D4473" t="inlineStr">
        <is>
          <t>WALL /CEILING COVER COMB WITH KNITED/ WOVENFABRICS, NONWOVENS/FELTS OF PVC</t>
        </is>
      </c>
      <c r="E4473" s="3" t="n">
        <v>0</v>
      </c>
      <c r="F4473" s="3" t="n">
        <v>0.18</v>
      </c>
      <c r="G4473" s="3">
        <f>F4473-E4473</f>
        <v/>
      </c>
      <c r="H4473" s="4">
        <f>IF(E4473=0,"",F4473/E4473-1)</f>
        <v/>
      </c>
      <c r="I4473" t="inlineStr"/>
    </row>
    <row r="4474">
      <c r="A4474" t="inlineStr">
        <is>
          <t>Plastics &amp; rubber</t>
        </is>
      </c>
      <c r="B4474" t="inlineStr">
        <is>
          <t>39</t>
        </is>
      </c>
      <c r="C4474" t="inlineStr">
        <is>
          <t>39269091</t>
        </is>
      </c>
      <c r="D4474" t="inlineStr">
        <is>
          <t>OTHR ARTICLE OF PLASTIC OF POLYURETHN FOAM</t>
        </is>
      </c>
      <c r="E4474" s="3" t="n">
        <v>0.26</v>
      </c>
      <c r="F4474" s="3" t="n">
        <v>0.18</v>
      </c>
      <c r="G4474" s="3">
        <f>F4474-E4474</f>
        <v/>
      </c>
      <c r="H4474" s="4">
        <f>IF(E4474=0,"",F4474/E4474-1)</f>
        <v/>
      </c>
      <c r="I4474" t="inlineStr"/>
    </row>
    <row r="4475">
      <c r="A4475" t="inlineStr">
        <is>
          <t>Plastics &amp; rubber</t>
        </is>
      </c>
      <c r="B4475" t="inlineStr">
        <is>
          <t>40</t>
        </is>
      </c>
      <c r="C4475" t="inlineStr">
        <is>
          <t>40091100</t>
        </is>
      </c>
      <c r="D4475" t="inlineStr">
        <is>
          <t>TUBES,PIPES AND HOSES OF VULCNSD RUBR NOT REINFORCED/OTHRWSE COMBINED WTH OTHR MATERIALS WITHOUT FITTINGS</t>
        </is>
      </c>
      <c r="E4475" s="3" t="n">
        <v>0.58</v>
      </c>
      <c r="F4475" s="3" t="n">
        <v>0.18</v>
      </c>
      <c r="G4475" s="3">
        <f>F4475-E4475</f>
        <v/>
      </c>
      <c r="H4475" s="4">
        <f>IF(E4475=0,"",F4475/E4475-1)</f>
        <v/>
      </c>
      <c r="I4475" t="inlineStr"/>
    </row>
    <row r="4476">
      <c r="A4476" t="inlineStr">
        <is>
          <t>Plastics &amp; rubber</t>
        </is>
      </c>
      <c r="B4476" t="inlineStr">
        <is>
          <t>39</t>
        </is>
      </c>
      <c r="C4476" t="inlineStr">
        <is>
          <t>39221000</t>
        </is>
      </c>
      <c r="D4476" t="inlineStr">
        <is>
          <t>BATHS SHOWER-BATHS AND WASH-BASINS</t>
        </is>
      </c>
      <c r="E4476" s="3" t="n">
        <v>0.04</v>
      </c>
      <c r="F4476" s="3" t="n">
        <v>0.17</v>
      </c>
      <c r="G4476" s="3">
        <f>F4476-E4476</f>
        <v/>
      </c>
      <c r="H4476" s="4">
        <f>IF(E4476=0,"",F4476/E4476-1)</f>
        <v/>
      </c>
      <c r="I4476" t="inlineStr"/>
    </row>
    <row r="4477">
      <c r="A4477" t="inlineStr">
        <is>
          <t>Plastics &amp; rubber</t>
        </is>
      </c>
      <c r="B4477" t="inlineStr">
        <is>
          <t>40</t>
        </is>
      </c>
      <c r="C4477" t="inlineStr">
        <is>
          <t>40081990</t>
        </is>
      </c>
      <c r="D4477" t="inlineStr">
        <is>
          <t>OTHER FORM OF CELLULAR RUBR</t>
        </is>
      </c>
      <c r="E4477" s="3" t="n">
        <v>0.19</v>
      </c>
      <c r="F4477" s="3" t="n">
        <v>0.17</v>
      </c>
      <c r="G4477" s="3">
        <f>F4477-E4477</f>
        <v/>
      </c>
      <c r="H4477" s="4">
        <f>IF(E4477=0,"",F4477/E4477-1)</f>
        <v/>
      </c>
      <c r="I4477" t="inlineStr"/>
    </row>
    <row r="4478">
      <c r="A4478" t="inlineStr">
        <is>
          <t>Plastics &amp; rubber</t>
        </is>
      </c>
      <c r="B4478" t="inlineStr">
        <is>
          <t>39</t>
        </is>
      </c>
      <c r="C4478" t="inlineStr">
        <is>
          <t>39203090</t>
        </is>
      </c>
      <c r="D4478" t="inlineStr">
        <is>
          <t>PLTES SHTS ETC. OF POLYMRS OF STYRENE NES</t>
        </is>
      </c>
      <c r="E4478" s="3" t="n">
        <v>0.27</v>
      </c>
      <c r="F4478" s="3" t="n">
        <v>0.16</v>
      </c>
      <c r="G4478" s="3">
        <f>F4478-E4478</f>
        <v/>
      </c>
      <c r="H4478" s="4">
        <f>IF(E4478=0,"",F4478/E4478-1)</f>
        <v/>
      </c>
      <c r="I4478" t="inlineStr"/>
    </row>
    <row r="4479">
      <c r="A4479" t="inlineStr">
        <is>
          <t>Plastics &amp; rubber</t>
        </is>
      </c>
      <c r="B4479" t="inlineStr">
        <is>
          <t>39</t>
        </is>
      </c>
      <c r="C4479" t="inlineStr">
        <is>
          <t>39012000</t>
        </is>
      </c>
      <c r="D4479" t="inlineStr">
        <is>
          <t>POLYETHYLENE HVNG A SPCFC GRVTY 0.94 /MORE</t>
        </is>
      </c>
      <c r="E4479" s="3" t="n">
        <v>1.1</v>
      </c>
      <c r="F4479" s="3" t="n">
        <v>0.15</v>
      </c>
      <c r="G4479" s="3">
        <f>F4479-E4479</f>
        <v/>
      </c>
      <c r="H4479" s="4">
        <f>IF(E4479=0,"",F4479/E4479-1)</f>
        <v/>
      </c>
      <c r="I4479" t="inlineStr"/>
    </row>
    <row r="4480">
      <c r="A4480" t="inlineStr">
        <is>
          <t>Plastics &amp; rubber</t>
        </is>
      </c>
      <c r="B4480" t="inlineStr">
        <is>
          <t>40</t>
        </is>
      </c>
      <c r="C4480" t="inlineStr">
        <is>
          <t>40029990</t>
        </is>
      </c>
      <c r="D4480" t="inlineStr">
        <is>
          <t>SYNTHETIC RUBBER SYNTAX,NOT NES.</t>
        </is>
      </c>
      <c r="E4480" s="3" t="n">
        <v>0</v>
      </c>
      <c r="F4480" s="3" t="n">
        <v>0.15</v>
      </c>
      <c r="G4480" s="3">
        <f>F4480-E4480</f>
        <v/>
      </c>
      <c r="H4480" s="4">
        <f>IF(E4480=0,"",F4480/E4480-1)</f>
        <v/>
      </c>
      <c r="I4480" t="inlineStr"/>
    </row>
    <row r="4481">
      <c r="A4481" t="inlineStr">
        <is>
          <t>Plastics &amp; rubber</t>
        </is>
      </c>
      <c r="B4481" t="inlineStr">
        <is>
          <t>40</t>
        </is>
      </c>
      <c r="C4481" t="inlineStr">
        <is>
          <t>40094200</t>
        </is>
      </c>
      <c r="D4481" t="inlineStr">
        <is>
          <t>TUBES,PIPES,ANDHOSES OF VULCNSD RUBR REINFORCED OTHERWSE COMBINED WITH OTHER MATARIALS WITH FITTINGS</t>
        </is>
      </c>
      <c r="E4481" s="3" t="n">
        <v>0.25</v>
      </c>
      <c r="F4481" s="3" t="n">
        <v>0.15</v>
      </c>
      <c r="G4481" s="3">
        <f>F4481-E4481</f>
        <v/>
      </c>
      <c r="H4481" s="4">
        <f>IF(E4481=0,"",F4481/E4481-1)</f>
        <v/>
      </c>
      <c r="I4481" t="inlineStr"/>
    </row>
    <row r="4482">
      <c r="A4482" t="inlineStr">
        <is>
          <t>Plastics &amp; rubber</t>
        </is>
      </c>
      <c r="B4482" t="inlineStr">
        <is>
          <t>39</t>
        </is>
      </c>
      <c r="C4482" t="inlineStr">
        <is>
          <t>39172990</t>
        </is>
      </c>
      <c r="D4482" t="inlineStr">
        <is>
          <t>TUBE PIPEAND HOSES OF OTHR PLSTCS RIGID NES</t>
        </is>
      </c>
      <c r="E4482" s="3" t="n">
        <v>0.19</v>
      </c>
      <c r="F4482" s="3" t="n">
        <v>0.14</v>
      </c>
      <c r="G4482" s="3">
        <f>F4482-E4482</f>
        <v/>
      </c>
      <c r="H4482" s="4">
        <f>IF(E4482=0,"",F4482/E4482-1)</f>
        <v/>
      </c>
      <c r="I4482" t="inlineStr"/>
    </row>
    <row r="4483">
      <c r="A4483" t="inlineStr">
        <is>
          <t>Plastics &amp; rubber</t>
        </is>
      </c>
      <c r="B4483" t="inlineStr">
        <is>
          <t>40</t>
        </is>
      </c>
      <c r="C4483" t="inlineStr">
        <is>
          <t>40091200</t>
        </is>
      </c>
      <c r="D4483" t="inlineStr">
        <is>
          <t>TUBES,PIPES AND HOSES OF VULCMSD RUBR NOT REINFORCED/OTHERWSE COMBINED WITH OTHER MATERIALS WITH FITTINGS</t>
        </is>
      </c>
      <c r="E4483" s="3" t="n">
        <v>0.1</v>
      </c>
      <c r="F4483" s="3" t="n">
        <v>0.14</v>
      </c>
      <c r="G4483" s="3">
        <f>F4483-E4483</f>
        <v/>
      </c>
      <c r="H4483" s="4">
        <f>IF(E4483=0,"",F4483/E4483-1)</f>
        <v/>
      </c>
      <c r="I4483" t="inlineStr"/>
    </row>
    <row r="4484">
      <c r="A4484" t="inlineStr">
        <is>
          <t>Plastics &amp; rubber</t>
        </is>
      </c>
      <c r="B4484" t="inlineStr">
        <is>
          <t>40</t>
        </is>
      </c>
      <c r="C4484" t="inlineStr">
        <is>
          <t>40093200</t>
        </is>
      </c>
      <c r="D4484" t="inlineStr">
        <is>
          <t>TUBES,PIPES AND HOSES OF VULCNSD RUBR REINFORCED/OTHERWSE CMBND ONLY WITH TEXTILES MATERIALS WITH FITTINGS</t>
        </is>
      </c>
      <c r="E4484" s="3" t="n">
        <v>0.25</v>
      </c>
      <c r="F4484" s="3" t="n">
        <v>0.13</v>
      </c>
      <c r="G4484" s="3">
        <f>F4484-E4484</f>
        <v/>
      </c>
      <c r="H4484" s="4">
        <f>IF(E4484=0,"",F4484/E4484-1)</f>
        <v/>
      </c>
      <c r="I4484" t="inlineStr"/>
    </row>
    <row r="4485">
      <c r="A4485" t="inlineStr">
        <is>
          <t>Plastics &amp; rubber</t>
        </is>
      </c>
      <c r="B4485" t="inlineStr">
        <is>
          <t>39</t>
        </is>
      </c>
      <c r="C4485" t="inlineStr">
        <is>
          <t>39202010</t>
        </is>
      </c>
      <c r="D4485" t="inlineStr">
        <is>
          <t>PLTES SHTS ETC. OF POLYMRS OF PROPYLN RIGID, PLAIN</t>
        </is>
      </c>
      <c r="E4485" s="3" t="n">
        <v>0.45</v>
      </c>
      <c r="F4485" s="3" t="n">
        <v>0.12</v>
      </c>
      <c r="G4485" s="3">
        <f>F4485-E4485</f>
        <v/>
      </c>
      <c r="H4485" s="4">
        <f>IF(E4485=0,"",F4485/E4485-1)</f>
        <v/>
      </c>
      <c r="I4485" t="inlineStr"/>
    </row>
    <row r="4486">
      <c r="A4486" t="inlineStr">
        <is>
          <t>Plastics &amp; rubber</t>
        </is>
      </c>
      <c r="B4486" t="inlineStr">
        <is>
          <t>39</t>
        </is>
      </c>
      <c r="C4486" t="inlineStr">
        <is>
          <t>39205119</t>
        </is>
      </c>
      <c r="D4486" t="inlineStr">
        <is>
          <t>OTHER SHEETS OF PLYMTHYL METHACRYLTE</t>
        </is>
      </c>
      <c r="E4486" s="3" t="n">
        <v>0.25</v>
      </c>
      <c r="F4486" s="3" t="n">
        <v>0.12</v>
      </c>
      <c r="G4486" s="3">
        <f>F4486-E4486</f>
        <v/>
      </c>
      <c r="H4486" s="4">
        <f>IF(E4486=0,"",F4486/E4486-1)</f>
        <v/>
      </c>
      <c r="I4486" t="inlineStr"/>
    </row>
    <row r="4487">
      <c r="A4487" t="inlineStr">
        <is>
          <t>Plastics &amp; rubber</t>
        </is>
      </c>
      <c r="B4487" t="inlineStr">
        <is>
          <t>40</t>
        </is>
      </c>
      <c r="C4487" t="inlineStr">
        <is>
          <t>40159099</t>
        </is>
      </c>
      <c r="D4487" t="inlineStr">
        <is>
          <t>OTHERS ARTCL. OF APARL AND CLOTHING ACCESSORIES FOR ALL PUEPOSES EXCL.GLOVES/ APPRON AND DIVING SVITS ETC.</t>
        </is>
      </c>
      <c r="E4487" s="3" t="n">
        <v>0.01</v>
      </c>
      <c r="F4487" s="3" t="n">
        <v>0.12</v>
      </c>
      <c r="G4487" s="3">
        <f>F4487-E4487</f>
        <v/>
      </c>
      <c r="H4487" s="4">
        <f>IF(E4487=0,"",F4487/E4487-1)</f>
        <v/>
      </c>
      <c r="I4487" t="inlineStr"/>
    </row>
    <row r="4488">
      <c r="A4488" t="inlineStr">
        <is>
          <t>Plastics &amp; rubber</t>
        </is>
      </c>
      <c r="B4488" t="inlineStr">
        <is>
          <t>39</t>
        </is>
      </c>
      <c r="C4488" t="inlineStr">
        <is>
          <t>39053000</t>
        </is>
      </c>
      <c r="D4488" t="inlineStr">
        <is>
          <t>PV ALCHL W/N CNTNG UNHYDROLYED ACTATE GRPS</t>
        </is>
      </c>
      <c r="E4488" s="3" t="n">
        <v>0</v>
      </c>
      <c r="F4488" s="3" t="n">
        <v>0.11</v>
      </c>
      <c r="G4488" s="3">
        <f>F4488-E4488</f>
        <v/>
      </c>
      <c r="H4488" s="4">
        <f>IF(E4488=0,"",F4488/E4488-1)</f>
        <v/>
      </c>
      <c r="I4488" t="inlineStr"/>
    </row>
    <row r="4489">
      <c r="A4489" t="inlineStr">
        <is>
          <t>Plastics &amp; rubber</t>
        </is>
      </c>
      <c r="B4489" t="inlineStr">
        <is>
          <t>39</t>
        </is>
      </c>
      <c r="C4489" t="inlineStr">
        <is>
          <t>39233010</t>
        </is>
      </c>
      <c r="D4489" t="inlineStr">
        <is>
          <t>CRBYS BTTLS FLSKS AND SMLR ARTCLS OF PLSTCS INSULATED WARE</t>
        </is>
      </c>
      <c r="E4489" s="3" t="n">
        <v>0.01</v>
      </c>
      <c r="F4489" s="3" t="n">
        <v>0.11</v>
      </c>
      <c r="G4489" s="3">
        <f>F4489-E4489</f>
        <v/>
      </c>
      <c r="H4489" s="4">
        <f>IF(E4489=0,"",F4489/E4489-1)</f>
        <v/>
      </c>
      <c r="I4489" t="inlineStr"/>
    </row>
    <row r="4490">
      <c r="A4490" t="inlineStr">
        <is>
          <t>Plastics &amp; rubber</t>
        </is>
      </c>
      <c r="B4490" t="inlineStr">
        <is>
          <t>39</t>
        </is>
      </c>
      <c r="C4490" t="inlineStr">
        <is>
          <t>39261019</t>
        </is>
      </c>
      <c r="D4490" t="inlineStr">
        <is>
          <t>OFFICE SUPPLIES EXCL PINS CLIPS WRITING INSTRUMENTS OF OTHER MAKE</t>
        </is>
      </c>
      <c r="E4490" s="3" t="n">
        <v>0.12</v>
      </c>
      <c r="F4490" s="3" t="n">
        <v>0.11</v>
      </c>
      <c r="G4490" s="3">
        <f>F4490-E4490</f>
        <v/>
      </c>
      <c r="H4490" s="4">
        <f>IF(E4490=0,"",F4490/E4490-1)</f>
        <v/>
      </c>
      <c r="I4490" t="inlineStr"/>
    </row>
    <row r="4491">
      <c r="A4491" t="inlineStr">
        <is>
          <t>Plastics &amp; rubber</t>
        </is>
      </c>
      <c r="B4491" t="inlineStr">
        <is>
          <t>40</t>
        </is>
      </c>
      <c r="C4491" t="inlineStr">
        <is>
          <t>40082990</t>
        </is>
      </c>
      <c r="D4491" t="inlineStr">
        <is>
          <t>OTHER FORM OF NON/CELLULAR RUBR</t>
        </is>
      </c>
      <c r="E4491" s="3" t="n">
        <v>0.06</v>
      </c>
      <c r="F4491" s="3" t="n">
        <v>0.11</v>
      </c>
      <c r="G4491" s="3">
        <f>F4491-E4491</f>
        <v/>
      </c>
      <c r="H4491" s="4">
        <f>IF(E4491=0,"",F4491/E4491-1)</f>
        <v/>
      </c>
      <c r="I4491" t="inlineStr"/>
    </row>
    <row r="4492">
      <c r="A4492" t="inlineStr">
        <is>
          <t>Plastics &amp; rubber</t>
        </is>
      </c>
      <c r="B4492" t="inlineStr">
        <is>
          <t>40</t>
        </is>
      </c>
      <c r="C4492" t="inlineStr">
        <is>
          <t>40119000</t>
        </is>
      </c>
      <c r="D4492" t="inlineStr">
        <is>
          <t>OTHERS-OF-OTHERS-OF-NEW PNEUMATIC TYRES, OF RUBBER</t>
        </is>
      </c>
      <c r="E4492" s="3" t="n">
        <v>0.05</v>
      </c>
      <c r="F4492" s="3" t="n">
        <v>0.11</v>
      </c>
      <c r="G4492" s="3">
        <f>F4492-E4492</f>
        <v/>
      </c>
      <c r="H4492" s="4">
        <f>IF(E4492=0,"",F4492/E4492-1)</f>
        <v/>
      </c>
      <c r="I4492" t="inlineStr"/>
    </row>
    <row r="4493">
      <c r="A4493" t="inlineStr">
        <is>
          <t>Plastics &amp; rubber</t>
        </is>
      </c>
      <c r="B4493" t="inlineStr">
        <is>
          <t>40</t>
        </is>
      </c>
      <c r="C4493" t="inlineStr">
        <is>
          <t>40161000</t>
        </is>
      </c>
      <c r="D4493" t="inlineStr">
        <is>
          <t>OTHR ARTCLS OF CELLULAR RUBBER</t>
        </is>
      </c>
      <c r="E4493" s="3" t="n">
        <v>0.09</v>
      </c>
      <c r="F4493" s="3" t="n">
        <v>0.11</v>
      </c>
      <c r="G4493" s="3">
        <f>F4493-E4493</f>
        <v/>
      </c>
      <c r="H4493" s="4">
        <f>IF(E4493=0,"",F4493/E4493-1)</f>
        <v/>
      </c>
      <c r="I4493" t="inlineStr"/>
    </row>
    <row r="4494">
      <c r="A4494" t="inlineStr">
        <is>
          <t>Plastics &amp; rubber</t>
        </is>
      </c>
      <c r="B4494" t="inlineStr">
        <is>
          <t>39</t>
        </is>
      </c>
      <c r="C4494" t="inlineStr">
        <is>
          <t>39111090</t>
        </is>
      </c>
      <c r="D4494" t="inlineStr">
        <is>
          <t>OTHERS-OF-PETROLEUM RESINS COUMARONE INDENE ORCOUMARONE-INDENE RESINS AND POLYTERPENES</t>
        </is>
      </c>
      <c r="E4494" s="3" t="n">
        <v>0.1</v>
      </c>
      <c r="F4494" s="3" t="n">
        <v>0.1</v>
      </c>
      <c r="G4494" s="3">
        <f>F4494-E4494</f>
        <v/>
      </c>
      <c r="H4494" s="4">
        <f>IF(E4494=0,"",F4494/E4494-1)</f>
        <v/>
      </c>
      <c r="I4494" t="inlineStr"/>
    </row>
    <row r="4495">
      <c r="A4495" t="inlineStr">
        <is>
          <t>Plastics &amp; rubber</t>
        </is>
      </c>
      <c r="B4495" t="inlineStr">
        <is>
          <t>39</t>
        </is>
      </c>
      <c r="C4495" t="inlineStr">
        <is>
          <t>39131010</t>
        </is>
      </c>
      <c r="D4495" t="inlineStr">
        <is>
          <t>SODIUM ALGINATE</t>
        </is>
      </c>
      <c r="E4495" s="3" t="n">
        <v>0.01</v>
      </c>
      <c r="F4495" s="3" t="n">
        <v>0.1</v>
      </c>
      <c r="G4495" s="3">
        <f>F4495-E4495</f>
        <v/>
      </c>
      <c r="H4495" s="4">
        <f>IF(E4495=0,"",F4495/E4495-1)</f>
        <v/>
      </c>
      <c r="I4495" t="inlineStr"/>
    </row>
    <row r="4496">
      <c r="A4496" t="inlineStr">
        <is>
          <t>Plastics &amp; rubber</t>
        </is>
      </c>
      <c r="B4496" t="inlineStr">
        <is>
          <t>39</t>
        </is>
      </c>
      <c r="C4496" t="inlineStr">
        <is>
          <t>39211310</t>
        </is>
      </c>
      <c r="D4496" t="inlineStr">
        <is>
          <t>PLTES ETC OF POLYURETHANES FLEXIBLE</t>
        </is>
      </c>
      <c r="E4496" s="3" t="n">
        <v>0.35</v>
      </c>
      <c r="F4496" s="3" t="n">
        <v>0.1</v>
      </c>
      <c r="G4496" s="3">
        <f>F4496-E4496</f>
        <v/>
      </c>
      <c r="H4496" s="4">
        <f>IF(E4496=0,"",F4496/E4496-1)</f>
        <v/>
      </c>
      <c r="I4496" t="inlineStr"/>
    </row>
    <row r="4497">
      <c r="A4497" t="inlineStr">
        <is>
          <t>Plastics &amp; rubber</t>
        </is>
      </c>
      <c r="B4497" t="inlineStr">
        <is>
          <t>39</t>
        </is>
      </c>
      <c r="C4497" t="inlineStr">
        <is>
          <t>39269010</t>
        </is>
      </c>
      <c r="D4497" t="inlineStr">
        <is>
          <t>PVC BELT CONVEYOR</t>
        </is>
      </c>
      <c r="E4497" s="3" t="n">
        <v>0.01</v>
      </c>
      <c r="F4497" s="3" t="n">
        <v>0.1</v>
      </c>
      <c r="G4497" s="3">
        <f>F4497-E4497</f>
        <v/>
      </c>
      <c r="H4497" s="4">
        <f>IF(E4497=0,"",F4497/E4497-1)</f>
        <v/>
      </c>
      <c r="I4497" t="inlineStr"/>
    </row>
    <row r="4498">
      <c r="A4498" t="inlineStr">
        <is>
          <t>Plastics &amp; rubber</t>
        </is>
      </c>
      <c r="B4498" t="inlineStr">
        <is>
          <t>40</t>
        </is>
      </c>
      <c r="C4498" t="inlineStr">
        <is>
          <t>40103290</t>
        </is>
      </c>
      <c r="D4498" t="inlineStr">
        <is>
          <t>ENDLESS TRNSMSN BLT/BLTNG OF V-BLT/OTHER THAN V-RIBBED OF CIRCUM BETWN 60 CM AND 180 CM WHERE RUBY COMPD MORE THAN 25%</t>
        </is>
      </c>
      <c r="E4498" s="3" t="n">
        <v>0.04</v>
      </c>
      <c r="F4498" s="3" t="n">
        <v>0.1</v>
      </c>
      <c r="G4498" s="3">
        <f>F4498-E4498</f>
        <v/>
      </c>
      <c r="H4498" s="4">
        <f>IF(E4498=0,"",F4498/E4498-1)</f>
        <v/>
      </c>
      <c r="I4498" t="inlineStr"/>
    </row>
    <row r="4499">
      <c r="A4499" t="inlineStr">
        <is>
          <t>Plastics &amp; rubber</t>
        </is>
      </c>
      <c r="B4499" t="inlineStr">
        <is>
          <t>40</t>
        </is>
      </c>
      <c r="C4499" t="inlineStr">
        <is>
          <t>40170030</t>
        </is>
      </c>
      <c r="D4499" t="inlineStr">
        <is>
          <t>PRINTERS ROLLER</t>
        </is>
      </c>
      <c r="E4499" s="3" t="n">
        <v>0</v>
      </c>
      <c r="F4499" s="3" t="n">
        <v>0.1</v>
      </c>
      <c r="G4499" s="3">
        <f>F4499-E4499</f>
        <v/>
      </c>
      <c r="H4499" s="4">
        <f>IF(E4499=0,"",F4499/E4499-1)</f>
        <v/>
      </c>
      <c r="I4499" t="inlineStr"/>
    </row>
    <row r="4500">
      <c r="A4500" t="inlineStr">
        <is>
          <t>Plastics &amp; rubber</t>
        </is>
      </c>
      <c r="B4500" t="inlineStr">
        <is>
          <t>39</t>
        </is>
      </c>
      <c r="C4500" t="inlineStr">
        <is>
          <t>39139090</t>
        </is>
      </c>
      <c r="D4500" t="inlineStr">
        <is>
          <t>OTHER NATRL AND MODFD NATRL POLYMERS NES</t>
        </is>
      </c>
      <c r="E4500" s="3" t="n">
        <v>0.13</v>
      </c>
      <c r="F4500" s="3" t="n">
        <v>0.09</v>
      </c>
      <c r="G4500" s="3">
        <f>F4500-E4500</f>
        <v/>
      </c>
      <c r="H4500" s="4">
        <f>IF(E4500=0,"",F4500/E4500-1)</f>
        <v/>
      </c>
      <c r="I4500" t="inlineStr"/>
    </row>
    <row r="4501">
      <c r="A4501" t="inlineStr">
        <is>
          <t>Plastics &amp; rubber</t>
        </is>
      </c>
      <c r="B4501" t="inlineStr">
        <is>
          <t>39</t>
        </is>
      </c>
      <c r="C4501" t="inlineStr">
        <is>
          <t>39140020</t>
        </is>
      </c>
      <c r="D4501" t="inlineStr">
        <is>
          <t>ION-EXCHANGER OF THE POLYMERISATION OR COPOLYMERISATION TYPE</t>
        </is>
      </c>
      <c r="E4501" s="3" t="n">
        <v>1.62</v>
      </c>
      <c r="F4501" s="3" t="n">
        <v>0.09</v>
      </c>
      <c r="G4501" s="3">
        <f>F4501-E4501</f>
        <v/>
      </c>
      <c r="H4501" s="4">
        <f>IF(E4501=0,"",F4501/E4501-1)</f>
        <v/>
      </c>
      <c r="I4501" t="inlineStr"/>
    </row>
    <row r="4502">
      <c r="A4502" t="inlineStr">
        <is>
          <t>Plastics &amp; rubber</t>
        </is>
      </c>
      <c r="B4502" t="inlineStr">
        <is>
          <t>39</t>
        </is>
      </c>
      <c r="C4502" t="inlineStr">
        <is>
          <t>39171010</t>
        </is>
      </c>
      <c r="D4502" t="inlineStr">
        <is>
          <t>TUBE,PIPEANDHOSESANDFTTNGS OF HARDENED PROTEIN</t>
        </is>
      </c>
      <c r="E4502" s="3" t="n">
        <v>0</v>
      </c>
      <c r="F4502" s="3" t="n">
        <v>0.09</v>
      </c>
      <c r="G4502" s="3">
        <f>F4502-E4502</f>
        <v/>
      </c>
      <c r="H4502" s="4">
        <f>IF(E4502=0,"",F4502/E4502-1)</f>
        <v/>
      </c>
      <c r="I4502" t="inlineStr"/>
    </row>
    <row r="4503">
      <c r="A4503" t="inlineStr">
        <is>
          <t>Plastics &amp; rubber</t>
        </is>
      </c>
      <c r="B4503" t="inlineStr">
        <is>
          <t>39</t>
        </is>
      </c>
      <c r="C4503" t="inlineStr">
        <is>
          <t>39172200</t>
        </is>
      </c>
      <c r="D4503" t="inlineStr">
        <is>
          <t>TUBES PIPES AND HOSES OF PLYMRS OF PROPYLENE</t>
        </is>
      </c>
      <c r="E4503" s="3" t="n">
        <v>0.11</v>
      </c>
      <c r="F4503" s="3" t="n">
        <v>0.09</v>
      </c>
      <c r="G4503" s="3">
        <f>F4503-E4503</f>
        <v/>
      </c>
      <c r="H4503" s="4">
        <f>IF(E4503=0,"",F4503/E4503-1)</f>
        <v/>
      </c>
      <c r="I4503" t="inlineStr"/>
    </row>
    <row r="4504">
      <c r="A4504" t="inlineStr">
        <is>
          <t>Plastics &amp; rubber</t>
        </is>
      </c>
      <c r="B4504" t="inlineStr">
        <is>
          <t>39</t>
        </is>
      </c>
      <c r="C4504" t="inlineStr">
        <is>
          <t>39205912</t>
        </is>
      </c>
      <c r="D4504" t="inlineStr">
        <is>
          <t>POLY ACRYLATE SHEETS FLEXIBLE, PLAIN</t>
        </is>
      </c>
      <c r="E4504" s="3" t="n">
        <v>0</v>
      </c>
      <c r="F4504" s="3" t="n">
        <v>0.09</v>
      </c>
      <c r="G4504" s="3">
        <f>F4504-E4504</f>
        <v/>
      </c>
      <c r="H4504" s="4">
        <f>IF(E4504=0,"",F4504/E4504-1)</f>
        <v/>
      </c>
      <c r="I4504" t="inlineStr"/>
    </row>
    <row r="4505">
      <c r="A4505" t="inlineStr">
        <is>
          <t>Plastics &amp; rubber</t>
        </is>
      </c>
      <c r="B4505" t="inlineStr">
        <is>
          <t>39</t>
        </is>
      </c>
      <c r="C4505" t="inlineStr">
        <is>
          <t>39232910</t>
        </is>
      </c>
      <c r="D4505" t="inlineStr">
        <is>
          <t>SACKS AND BAGS (INCL CONES)OF OTHR PLASTICS OF POLY (VINYL CHLORIDE)</t>
        </is>
      </c>
      <c r="E4505" s="3" t="n">
        <v>0.13</v>
      </c>
      <c r="F4505" s="3" t="n">
        <v>0.09</v>
      </c>
      <c r="G4505" s="3">
        <f>F4505-E4505</f>
        <v/>
      </c>
      <c r="H4505" s="4">
        <f>IF(E4505=0,"",F4505/E4505-1)</f>
        <v/>
      </c>
      <c r="I4505" t="inlineStr"/>
    </row>
    <row r="4506">
      <c r="A4506" t="inlineStr">
        <is>
          <t>Plastics &amp; rubber</t>
        </is>
      </c>
      <c r="B4506" t="inlineStr">
        <is>
          <t>39</t>
        </is>
      </c>
      <c r="C4506" t="inlineStr">
        <is>
          <t>39253000</t>
        </is>
      </c>
      <c r="D4506" t="inlineStr">
        <is>
          <t>SHUTTERS BLINDS(INCLUDING VENETIAN BLINDS)AND SIMILAR ARTICLES AND PARTS THEREOF</t>
        </is>
      </c>
      <c r="E4506" s="3" t="n">
        <v>0</v>
      </c>
      <c r="F4506" s="3" t="n">
        <v>0.09</v>
      </c>
      <c r="G4506" s="3">
        <f>F4506-E4506</f>
        <v/>
      </c>
      <c r="H4506" s="4">
        <f>IF(E4506=0,"",F4506/E4506-1)</f>
        <v/>
      </c>
      <c r="I4506" t="inlineStr"/>
    </row>
    <row r="4507">
      <c r="A4507" t="inlineStr">
        <is>
          <t>Plastics &amp; rubber</t>
        </is>
      </c>
      <c r="B4507" t="inlineStr">
        <is>
          <t>39</t>
        </is>
      </c>
      <c r="C4507" t="inlineStr">
        <is>
          <t>39199020</t>
        </is>
      </c>
      <c r="D4507" t="inlineStr">
        <is>
          <t>CELLULOSE ADHESIVE TAPE</t>
        </is>
      </c>
      <c r="E4507" s="3" t="n">
        <v>0.04</v>
      </c>
      <c r="F4507" s="3" t="n">
        <v>0.08</v>
      </c>
      <c r="G4507" s="3">
        <f>F4507-E4507</f>
        <v/>
      </c>
      <c r="H4507" s="4">
        <f>IF(E4507=0,"",F4507/E4507-1)</f>
        <v/>
      </c>
      <c r="I4507" t="inlineStr"/>
    </row>
    <row r="4508">
      <c r="A4508" t="inlineStr">
        <is>
          <t>Plastics &amp; rubber</t>
        </is>
      </c>
      <c r="B4508" t="inlineStr">
        <is>
          <t>39</t>
        </is>
      </c>
      <c r="C4508" t="inlineStr">
        <is>
          <t>39204300</t>
        </is>
      </c>
      <c r="D4508" t="inlineStr">
        <is>
          <t>PLTES SHTS ETC OF POLYMRS OF VINYL CHLORIDCONT. BY WEIGHT &gt;= 6% OF PLASTICIZERS</t>
        </is>
      </c>
      <c r="E4508" s="3" t="n">
        <v>0.66</v>
      </c>
      <c r="F4508" s="3" t="n">
        <v>0.08</v>
      </c>
      <c r="G4508" s="3">
        <f>F4508-E4508</f>
        <v/>
      </c>
      <c r="H4508" s="4">
        <f>IF(E4508=0,"",F4508/E4508-1)</f>
        <v/>
      </c>
      <c r="I4508" t="inlineStr"/>
    </row>
    <row r="4509">
      <c r="A4509" t="inlineStr">
        <is>
          <t>Plastics &amp; rubber</t>
        </is>
      </c>
      <c r="B4509" t="inlineStr">
        <is>
          <t>39</t>
        </is>
      </c>
      <c r="C4509" t="inlineStr">
        <is>
          <t>39209999</t>
        </is>
      </c>
      <c r="D4509" t="inlineStr">
        <is>
          <t>OTHERS PLATE/ SHEETS ETC. OF OTHER PLASTIC N.E.S</t>
        </is>
      </c>
      <c r="E4509" s="3" t="n">
        <v>0.49</v>
      </c>
      <c r="F4509" s="3" t="n">
        <v>0.08</v>
      </c>
      <c r="G4509" s="3">
        <f>F4509-E4509</f>
        <v/>
      </c>
      <c r="H4509" s="4">
        <f>IF(E4509=0,"",F4509/E4509-1)</f>
        <v/>
      </c>
      <c r="I4509" t="inlineStr"/>
    </row>
    <row r="4510">
      <c r="A4510" t="inlineStr">
        <is>
          <t>Plastics &amp; rubber</t>
        </is>
      </c>
      <c r="B4510" t="inlineStr">
        <is>
          <t>39</t>
        </is>
      </c>
      <c r="C4510" t="inlineStr">
        <is>
          <t>39206110</t>
        </is>
      </c>
      <c r="D4510" t="inlineStr">
        <is>
          <t>PLTES SHTS ETC OF PLYCRBNTS RIGID, PLAIN</t>
        </is>
      </c>
      <c r="E4510" s="3" t="n">
        <v>0</v>
      </c>
      <c r="F4510" s="3" t="n">
        <v>0.07000000000000001</v>
      </c>
      <c r="G4510" s="3">
        <f>F4510-E4510</f>
        <v/>
      </c>
      <c r="H4510" s="4">
        <f>IF(E4510=0,"",F4510/E4510-1)</f>
        <v/>
      </c>
      <c r="I4510" t="inlineStr"/>
    </row>
    <row r="4511">
      <c r="A4511" t="inlineStr">
        <is>
          <t>Plastics &amp; rubber</t>
        </is>
      </c>
      <c r="B4511" t="inlineStr">
        <is>
          <t>39</t>
        </is>
      </c>
      <c r="C4511" t="inlineStr">
        <is>
          <t>39206992</t>
        </is>
      </c>
      <c r="D4511" t="inlineStr">
        <is>
          <t>OTHER PLTES SHTS ETC OF OTHR POLYESTERS FLEXIBLE, PLAIN</t>
        </is>
      </c>
      <c r="E4511" s="3" t="n">
        <v>0.02</v>
      </c>
      <c r="F4511" s="3" t="n">
        <v>0.07000000000000001</v>
      </c>
      <c r="G4511" s="3">
        <f>F4511-E4511</f>
        <v/>
      </c>
      <c r="H4511" s="4">
        <f>IF(E4511=0,"",F4511/E4511-1)</f>
        <v/>
      </c>
      <c r="I4511" t="inlineStr"/>
    </row>
    <row r="4512">
      <c r="A4512" t="inlineStr">
        <is>
          <t>Plastics &amp; rubber</t>
        </is>
      </c>
      <c r="B4512" t="inlineStr">
        <is>
          <t>39</t>
        </is>
      </c>
      <c r="C4512" t="inlineStr">
        <is>
          <t>39264049</t>
        </is>
      </c>
      <c r="D4512" t="inlineStr">
        <is>
          <t>OTHR TABLEANDOTHR HOUSHOLD ARTCL OF DECORATN</t>
        </is>
      </c>
      <c r="E4512" s="3" t="n">
        <v>0.03</v>
      </c>
      <c r="F4512" s="3" t="n">
        <v>0.07000000000000001</v>
      </c>
      <c r="G4512" s="3">
        <f>F4512-E4512</f>
        <v/>
      </c>
      <c r="H4512" s="4">
        <f>IF(E4512=0,"",F4512/E4512-1)</f>
        <v/>
      </c>
      <c r="I4512" t="inlineStr"/>
    </row>
    <row r="4513">
      <c r="A4513" t="inlineStr">
        <is>
          <t>Plastics &amp; rubber</t>
        </is>
      </c>
      <c r="B4513" t="inlineStr">
        <is>
          <t>40</t>
        </is>
      </c>
      <c r="C4513" t="inlineStr">
        <is>
          <t>40025900</t>
        </is>
      </c>
      <c r="D4513" t="inlineStr">
        <is>
          <t>OTHR ACRYLONITRILE-BUTADIENE RUBR (NBR)</t>
        </is>
      </c>
      <c r="E4513" s="3" t="n">
        <v>0.29</v>
      </c>
      <c r="F4513" s="3" t="n">
        <v>0.07000000000000001</v>
      </c>
      <c r="G4513" s="3">
        <f>F4513-E4513</f>
        <v/>
      </c>
      <c r="H4513" s="4">
        <f>IF(E4513=0,"",F4513/E4513-1)</f>
        <v/>
      </c>
      <c r="I4513" t="inlineStr"/>
    </row>
    <row r="4514">
      <c r="A4514" t="inlineStr">
        <is>
          <t>Plastics &amp; rubber</t>
        </is>
      </c>
      <c r="B4514" t="inlineStr">
        <is>
          <t>40</t>
        </is>
      </c>
      <c r="C4514" t="inlineStr">
        <is>
          <t>40121990</t>
        </is>
      </c>
      <c r="D4514" t="inlineStr">
        <is>
          <t>RETREADED TYRE USED IN VEHICLE OTHER THAN TWO WHEELER/MOTOR CAR/BUS/LORRY/AIRCRAFT</t>
        </is>
      </c>
      <c r="E4514" s="3" t="n">
        <v>0</v>
      </c>
      <c r="F4514" s="3" t="n">
        <v>0.07000000000000001</v>
      </c>
      <c r="G4514" s="3">
        <f>F4514-E4514</f>
        <v/>
      </c>
      <c r="H4514" s="4">
        <f>IF(E4514=0,"",F4514/E4514-1)</f>
        <v/>
      </c>
      <c r="I4514" t="inlineStr"/>
    </row>
    <row r="4515">
      <c r="A4515" t="inlineStr">
        <is>
          <t>Plastics &amp; rubber</t>
        </is>
      </c>
      <c r="B4515" t="inlineStr">
        <is>
          <t>39</t>
        </is>
      </c>
      <c r="C4515" t="inlineStr">
        <is>
          <t>39061090</t>
        </is>
      </c>
      <c r="D4515" t="inlineStr">
        <is>
          <t>OTHER POLY METYL METHACRYLATES</t>
        </is>
      </c>
      <c r="E4515" s="3" t="n">
        <v>0</v>
      </c>
      <c r="F4515" s="3" t="n">
        <v>0.06</v>
      </c>
      <c r="G4515" s="3">
        <f>F4515-E4515</f>
        <v/>
      </c>
      <c r="H4515" s="4">
        <f>IF(E4515=0,"",F4515/E4515-1)</f>
        <v/>
      </c>
      <c r="I4515" t="inlineStr"/>
    </row>
    <row r="4516">
      <c r="A4516" t="inlineStr">
        <is>
          <t>Plastics &amp; rubber</t>
        </is>
      </c>
      <c r="B4516" t="inlineStr">
        <is>
          <t>39</t>
        </is>
      </c>
      <c r="C4516" t="inlineStr">
        <is>
          <t>39269049</t>
        </is>
      </c>
      <c r="D4516" t="inlineStr">
        <is>
          <t>OTHR RING BUCKL TACK WASHR OTHR DECO FITTNOF PALSTIC USED TRIMING AND EMBELLSHMNT FOR LEATHR PROD; OTHR PATTERN FOR</t>
        </is>
      </c>
      <c r="E4516" s="3" t="n">
        <v>9.800000000000001</v>
      </c>
      <c r="F4516" s="3" t="n">
        <v>0.06</v>
      </c>
      <c r="G4516" s="3">
        <f>F4516-E4516</f>
        <v/>
      </c>
      <c r="H4516" s="4">
        <f>IF(E4516=0,"",F4516/E4516-1)</f>
        <v/>
      </c>
      <c r="I4516" t="inlineStr"/>
    </row>
    <row r="4517">
      <c r="A4517" t="inlineStr">
        <is>
          <t>Plastics &amp; rubber</t>
        </is>
      </c>
      <c r="B4517" t="inlineStr">
        <is>
          <t>40</t>
        </is>
      </c>
      <c r="C4517" t="inlineStr">
        <is>
          <t>40029920</t>
        </is>
      </c>
      <c r="D4517" t="inlineStr">
        <is>
          <t>TREAD RUBR COM,CUSHION COM,CUSHION GUM/ TREAD GUM FOR RESOL/REPAI/RETREA RUBR TYRE</t>
        </is>
      </c>
      <c r="E4517" s="3" t="n">
        <v>0.06</v>
      </c>
      <c r="F4517" s="3" t="n">
        <v>0.06</v>
      </c>
      <c r="G4517" s="3">
        <f>F4517-E4517</f>
        <v/>
      </c>
      <c r="H4517" s="4">
        <f>IF(E4517=0,"",F4517/E4517-1)</f>
        <v/>
      </c>
      <c r="I4517" t="inlineStr"/>
    </row>
    <row r="4518">
      <c r="A4518" t="inlineStr">
        <is>
          <t>Plastics &amp; rubber</t>
        </is>
      </c>
      <c r="B4518" t="inlineStr">
        <is>
          <t>40</t>
        </is>
      </c>
      <c r="C4518" t="inlineStr">
        <is>
          <t>40139049</t>
        </is>
      </c>
      <c r="D4518" t="inlineStr">
        <is>
          <t>INNER TUBES USED IN OTHER THAN REAR TYRES OF TRACTORS</t>
        </is>
      </c>
      <c r="E4518" s="3" t="n">
        <v>0.02</v>
      </c>
      <c r="F4518" s="3" t="n">
        <v>0.06</v>
      </c>
      <c r="G4518" s="3">
        <f>F4518-E4518</f>
        <v/>
      </c>
      <c r="H4518" s="4">
        <f>IF(E4518=0,"",F4518/E4518-1)</f>
        <v/>
      </c>
      <c r="I4518" t="inlineStr"/>
    </row>
    <row r="4519">
      <c r="A4519" t="inlineStr">
        <is>
          <t>Plastics &amp; rubber</t>
        </is>
      </c>
      <c r="B4519" t="inlineStr">
        <is>
          <t>40</t>
        </is>
      </c>
      <c r="C4519" t="inlineStr">
        <is>
          <t>40169940</t>
        </is>
      </c>
      <c r="D4519" t="inlineStr">
        <is>
          <t>RUBBER BLANKETS</t>
        </is>
      </c>
      <c r="E4519" s="3" t="n">
        <v>0.03</v>
      </c>
      <c r="F4519" s="3" t="n">
        <v>0.06</v>
      </c>
      <c r="G4519" s="3">
        <f>F4519-E4519</f>
        <v/>
      </c>
      <c r="H4519" s="4">
        <f>IF(E4519=0,"",F4519/E4519-1)</f>
        <v/>
      </c>
      <c r="I4519" t="inlineStr"/>
    </row>
    <row r="4520">
      <c r="A4520" t="inlineStr">
        <is>
          <t>Plastics &amp; rubber</t>
        </is>
      </c>
      <c r="B4520" t="inlineStr">
        <is>
          <t>39</t>
        </is>
      </c>
      <c r="C4520" t="inlineStr">
        <is>
          <t>39140090</t>
        </is>
      </c>
      <c r="D4520" t="inlineStr">
        <is>
          <t>OTHER ION EXCHANGERS BASED ON POLYMERS OF HEADING 3901 TO 3913, IN PRIMARY FORMS</t>
        </is>
      </c>
      <c r="E4520" s="3" t="n">
        <v>0</v>
      </c>
      <c r="F4520" s="3" t="n">
        <v>0.05</v>
      </c>
      <c r="G4520" s="3">
        <f>F4520-E4520</f>
        <v/>
      </c>
      <c r="H4520" s="4">
        <f>IF(E4520=0,"",F4520/E4520-1)</f>
        <v/>
      </c>
      <c r="I4520" t="inlineStr"/>
    </row>
    <row r="4521">
      <c r="A4521" t="inlineStr">
        <is>
          <t>Plastics &amp; rubber</t>
        </is>
      </c>
      <c r="B4521" t="inlineStr">
        <is>
          <t>39</t>
        </is>
      </c>
      <c r="C4521" t="inlineStr">
        <is>
          <t>39161010</t>
        </is>
      </c>
      <c r="D4521" t="inlineStr">
        <is>
          <t>RODS OF POLYETHYLENE</t>
        </is>
      </c>
      <c r="E4521" s="3" t="n">
        <v>0.03</v>
      </c>
      <c r="F4521" s="3" t="n">
        <v>0.05</v>
      </c>
      <c r="G4521" s="3">
        <f>F4521-E4521</f>
        <v/>
      </c>
      <c r="H4521" s="4">
        <f>IF(E4521=0,"",F4521/E4521-1)</f>
        <v/>
      </c>
      <c r="I4521" t="inlineStr"/>
    </row>
    <row r="4522">
      <c r="A4522" t="inlineStr">
        <is>
          <t>Plastics &amp; rubber</t>
        </is>
      </c>
      <c r="B4522" t="inlineStr">
        <is>
          <t>39</t>
        </is>
      </c>
      <c r="C4522" t="inlineStr">
        <is>
          <t>39206929</t>
        </is>
      </c>
      <c r="D4522" t="inlineStr">
        <is>
          <t>SUN/DUST CONTRL FILM OF OTHR POLYESTER NES</t>
        </is>
      </c>
      <c r="E4522" s="3" t="n">
        <v>0</v>
      </c>
      <c r="F4522" s="3" t="n">
        <v>0.05</v>
      </c>
      <c r="G4522" s="3">
        <f>F4522-E4522</f>
        <v/>
      </c>
      <c r="H4522" s="4">
        <f>IF(E4522=0,"",F4522/E4522-1)</f>
        <v/>
      </c>
      <c r="I4522" t="inlineStr"/>
    </row>
    <row r="4523">
      <c r="A4523" t="inlineStr">
        <is>
          <t>Plastics &amp; rubber</t>
        </is>
      </c>
      <c r="B4523" t="inlineStr">
        <is>
          <t>40</t>
        </is>
      </c>
      <c r="C4523" t="inlineStr">
        <is>
          <t>40081110</t>
        </is>
      </c>
      <c r="D4523" t="inlineStr">
        <is>
          <t>PLTS,SHTS STRP OF MICRO-CELLULAR RUBR</t>
        </is>
      </c>
      <c r="E4523" s="3" t="n">
        <v>0.06</v>
      </c>
      <c r="F4523" s="3" t="n">
        <v>0.05</v>
      </c>
      <c r="G4523" s="3">
        <f>F4523-E4523</f>
        <v/>
      </c>
      <c r="H4523" s="4">
        <f>IF(E4523=0,"",F4523/E4523-1)</f>
        <v/>
      </c>
      <c r="I4523" t="inlineStr"/>
    </row>
    <row r="4524">
      <c r="A4524" t="inlineStr">
        <is>
          <t>Plastics &amp; rubber</t>
        </is>
      </c>
      <c r="B4524" t="inlineStr">
        <is>
          <t>39</t>
        </is>
      </c>
      <c r="C4524" t="inlineStr">
        <is>
          <t>39033000</t>
        </is>
      </c>
      <c r="D4524" t="inlineStr">
        <is>
          <t>ACRYLONITRILE-BUTADIENE STYRENE COPOLYMRS</t>
        </is>
      </c>
      <c r="E4524" s="3" t="n">
        <v>0.01</v>
      </c>
      <c r="F4524" s="3" t="n">
        <v>0.04</v>
      </c>
      <c r="G4524" s="3">
        <f>F4524-E4524</f>
        <v/>
      </c>
      <c r="H4524" s="4">
        <f>IF(E4524=0,"",F4524/E4524-1)</f>
        <v/>
      </c>
      <c r="I4524" t="inlineStr"/>
    </row>
    <row r="4525">
      <c r="A4525" t="inlineStr">
        <is>
          <t>Plastics &amp; rubber</t>
        </is>
      </c>
      <c r="B4525" t="inlineStr">
        <is>
          <t>39</t>
        </is>
      </c>
      <c r="C4525" t="inlineStr">
        <is>
          <t>39201011</t>
        </is>
      </c>
      <c r="D4525" t="inlineStr">
        <is>
          <t>SHEETS OF POLEYTHYLENE: RIGID, PLAIN</t>
        </is>
      </c>
      <c r="E4525" s="3" t="n">
        <v>0.07000000000000001</v>
      </c>
      <c r="F4525" s="3" t="n">
        <v>0.04</v>
      </c>
      <c r="G4525" s="3">
        <f>F4525-E4525</f>
        <v/>
      </c>
      <c r="H4525" s="4">
        <f>IF(E4525=0,"",F4525/E4525-1)</f>
        <v/>
      </c>
      <c r="I4525" t="inlineStr"/>
    </row>
    <row r="4526">
      <c r="A4526" t="inlineStr">
        <is>
          <t>Plastics &amp; rubber</t>
        </is>
      </c>
      <c r="B4526" t="inlineStr">
        <is>
          <t>39</t>
        </is>
      </c>
      <c r="C4526" t="inlineStr">
        <is>
          <t>39203010</t>
        </is>
      </c>
      <c r="D4526" t="inlineStr">
        <is>
          <t>PLTES SHTS ETC. OF POLYMRS OF STYRENE RIGID, PLAIN</t>
        </is>
      </c>
      <c r="E4526" s="3" t="n">
        <v>0.05</v>
      </c>
      <c r="F4526" s="3" t="n">
        <v>0.04</v>
      </c>
      <c r="G4526" s="3">
        <f>F4526-E4526</f>
        <v/>
      </c>
      <c r="H4526" s="4">
        <f>IF(E4526=0,"",F4526/E4526-1)</f>
        <v/>
      </c>
      <c r="I4526" t="inlineStr"/>
    </row>
    <row r="4527">
      <c r="A4527" t="inlineStr">
        <is>
          <t>Plastics &amp; rubber</t>
        </is>
      </c>
      <c r="B4527" t="inlineStr">
        <is>
          <t>39</t>
        </is>
      </c>
      <c r="C4527" t="inlineStr">
        <is>
          <t>39209949</t>
        </is>
      </c>
      <c r="D4527" t="inlineStr">
        <is>
          <t>SHEET OF POLY(TETRAFLURO-ETHYLENE)(PTFE) OTHER</t>
        </is>
      </c>
      <c r="E4527" s="3" t="n">
        <v>0.03</v>
      </c>
      <c r="F4527" s="3" t="n">
        <v>0.04</v>
      </c>
      <c r="G4527" s="3">
        <f>F4527-E4527</f>
        <v/>
      </c>
      <c r="H4527" s="4">
        <f>IF(E4527=0,"",F4527/E4527-1)</f>
        <v/>
      </c>
      <c r="I4527" t="inlineStr"/>
    </row>
    <row r="4528">
      <c r="A4528" t="inlineStr">
        <is>
          <t>Plastics &amp; rubber</t>
        </is>
      </c>
      <c r="B4528" t="inlineStr">
        <is>
          <t>39</t>
        </is>
      </c>
      <c r="C4528" t="inlineStr">
        <is>
          <t>39211390</t>
        </is>
      </c>
      <c r="D4528" t="inlineStr">
        <is>
          <t>PLTES ETC OF POLYURETHANES OTHER</t>
        </is>
      </c>
      <c r="E4528" s="3" t="n">
        <v>0</v>
      </c>
      <c r="F4528" s="3" t="n">
        <v>0.04</v>
      </c>
      <c r="G4528" s="3">
        <f>F4528-E4528</f>
        <v/>
      </c>
      <c r="H4528" s="4">
        <f>IF(E4528=0,"",F4528/E4528-1)</f>
        <v/>
      </c>
      <c r="I4528" t="inlineStr"/>
    </row>
    <row r="4529">
      <c r="A4529" t="inlineStr">
        <is>
          <t>Plastics &amp; rubber</t>
        </is>
      </c>
      <c r="B4529" t="inlineStr">
        <is>
          <t>39</t>
        </is>
      </c>
      <c r="C4529" t="inlineStr">
        <is>
          <t>39263090</t>
        </is>
      </c>
      <c r="D4529" t="inlineStr">
        <is>
          <t>OTHR FITTING FOR FURNITUR COACHWORK/ LIKE</t>
        </is>
      </c>
      <c r="E4529" s="3" t="n">
        <v>0.01</v>
      </c>
      <c r="F4529" s="3" t="n">
        <v>0.04</v>
      </c>
      <c r="G4529" s="3">
        <f>F4529-E4529</f>
        <v/>
      </c>
      <c r="H4529" s="4">
        <f>IF(E4529=0,"",F4529/E4529-1)</f>
        <v/>
      </c>
      <c r="I4529" t="inlineStr"/>
    </row>
    <row r="4530">
      <c r="A4530" t="inlineStr">
        <is>
          <t>Plastics &amp; rubber</t>
        </is>
      </c>
      <c r="B4530" t="inlineStr">
        <is>
          <t>39</t>
        </is>
      </c>
      <c r="C4530" t="inlineStr">
        <is>
          <t>39269069</t>
        </is>
      </c>
      <c r="D4530" t="inlineStr">
        <is>
          <t>OTHER HANGERS</t>
        </is>
      </c>
      <c r="E4530" s="3" t="n">
        <v>0.08</v>
      </c>
      <c r="F4530" s="3" t="n">
        <v>0.04</v>
      </c>
      <c r="G4530" s="3">
        <f>F4530-E4530</f>
        <v/>
      </c>
      <c r="H4530" s="4">
        <f>IF(E4530=0,"",F4530/E4530-1)</f>
        <v/>
      </c>
      <c r="I4530" t="inlineStr"/>
    </row>
    <row r="4531">
      <c r="A4531" t="inlineStr">
        <is>
          <t>Plastics &amp; rubber</t>
        </is>
      </c>
      <c r="B4531" t="inlineStr">
        <is>
          <t>40</t>
        </is>
      </c>
      <c r="C4531" t="inlineStr">
        <is>
          <t>40101110</t>
        </is>
      </c>
      <c r="D4531" t="inlineStr">
        <is>
          <t>CNVYR BLT/BLTNG RENFRCD ONLY WITH METAL WHERE RUBR COMPA CONTENT LESS THAN 25% BY WEIGHT</t>
        </is>
      </c>
      <c r="E4531" s="3" t="n">
        <v>0</v>
      </c>
      <c r="F4531" s="3" t="n">
        <v>0.04</v>
      </c>
      <c r="G4531" s="3">
        <f>F4531-E4531</f>
        <v/>
      </c>
      <c r="H4531" s="4">
        <f>IF(E4531=0,"",F4531/E4531-1)</f>
        <v/>
      </c>
      <c r="I4531" t="inlineStr"/>
    </row>
    <row r="4532">
      <c r="A4532" t="inlineStr">
        <is>
          <t>Plastics &amp; rubber</t>
        </is>
      </c>
      <c r="B4532" t="inlineStr">
        <is>
          <t>40</t>
        </is>
      </c>
      <c r="C4532" t="inlineStr">
        <is>
          <t>40114020</t>
        </is>
      </c>
      <c r="D4532" t="inlineStr">
        <is>
          <t>TYRES FOR MOTOR SCOOTERS</t>
        </is>
      </c>
      <c r="E4532" s="3" t="n">
        <v>0</v>
      </c>
      <c r="F4532" s="3" t="n">
        <v>0.04</v>
      </c>
      <c r="G4532" s="3">
        <f>F4532-E4532</f>
        <v/>
      </c>
      <c r="H4532" s="4">
        <f>IF(E4532=0,"",F4532/E4532-1)</f>
        <v/>
      </c>
      <c r="I4532" t="inlineStr"/>
    </row>
    <row r="4533">
      <c r="A4533" t="inlineStr">
        <is>
          <t>Plastics &amp; rubber</t>
        </is>
      </c>
      <c r="B4533" t="inlineStr">
        <is>
          <t>40</t>
        </is>
      </c>
      <c r="C4533" t="inlineStr">
        <is>
          <t>40169400</t>
        </is>
      </c>
      <c r="D4533" t="inlineStr">
        <is>
          <t>BOAT/DOCK FENDERS W/N INFLATABLE</t>
        </is>
      </c>
      <c r="E4533" s="3" t="n">
        <v>4.96</v>
      </c>
      <c r="F4533" s="3" t="n">
        <v>0.04</v>
      </c>
      <c r="G4533" s="3">
        <f>F4533-E4533</f>
        <v/>
      </c>
      <c r="H4533" s="4">
        <f>IF(E4533=0,"",F4533/E4533-1)</f>
        <v/>
      </c>
      <c r="I4533" t="inlineStr"/>
    </row>
    <row r="4534">
      <c r="A4534" t="inlineStr">
        <is>
          <t>Plastics &amp; rubber</t>
        </is>
      </c>
      <c r="B4534" t="inlineStr">
        <is>
          <t>39</t>
        </is>
      </c>
      <c r="C4534" t="inlineStr">
        <is>
          <t>39059100</t>
        </is>
      </c>
      <c r="D4534" t="inlineStr">
        <is>
          <t>COPOLYMERS</t>
        </is>
      </c>
      <c r="E4534" s="3" t="n">
        <v>0.04</v>
      </c>
      <c r="F4534" s="3" t="n">
        <v>0.03</v>
      </c>
      <c r="G4534" s="3">
        <f>F4534-E4534</f>
        <v/>
      </c>
      <c r="H4534" s="4">
        <f>IF(E4534=0,"",F4534/E4534-1)</f>
        <v/>
      </c>
      <c r="I4534" t="inlineStr"/>
    </row>
    <row r="4535">
      <c r="A4535" t="inlineStr">
        <is>
          <t>Plastics &amp; rubber</t>
        </is>
      </c>
      <c r="B4535" t="inlineStr">
        <is>
          <t>39</t>
        </is>
      </c>
      <c r="C4535" t="inlineStr">
        <is>
          <t>39173290</t>
        </is>
      </c>
      <c r="D4535" t="inlineStr">
        <is>
          <t>OTHR TUBE,PIPES AND HOSES NOT REINFORCED ORCOMBINED WITH OTHER MATRL WITOUT FITTINGS</t>
        </is>
      </c>
      <c r="E4535" s="3" t="n">
        <v>0.02</v>
      </c>
      <c r="F4535" s="3" t="n">
        <v>0.03</v>
      </c>
      <c r="G4535" s="3">
        <f>F4535-E4535</f>
        <v/>
      </c>
      <c r="H4535" s="4">
        <f>IF(E4535=0,"",F4535/E4535-1)</f>
        <v/>
      </c>
      <c r="I4535" t="inlineStr"/>
    </row>
    <row r="4536">
      <c r="A4536" t="inlineStr">
        <is>
          <t>Plastics &amp; rubber</t>
        </is>
      </c>
      <c r="B4536" t="inlineStr">
        <is>
          <t>39</t>
        </is>
      </c>
      <c r="C4536" t="inlineStr">
        <is>
          <t>39249010</t>
        </is>
      </c>
      <c r="D4536" t="inlineStr">
        <is>
          <t>TOILET ARTICLES</t>
        </is>
      </c>
      <c r="E4536" s="3" t="n">
        <v>0.07000000000000001</v>
      </c>
      <c r="F4536" s="3" t="n">
        <v>0.03</v>
      </c>
      <c r="G4536" s="3">
        <f>F4536-E4536</f>
        <v/>
      </c>
      <c r="H4536" s="4">
        <f>IF(E4536=0,"",F4536/E4536-1)</f>
        <v/>
      </c>
      <c r="I4536" t="inlineStr"/>
    </row>
    <row r="4537">
      <c r="A4537" t="inlineStr">
        <is>
          <t>Plastics &amp; rubber</t>
        </is>
      </c>
      <c r="B4537" t="inlineStr">
        <is>
          <t>40</t>
        </is>
      </c>
      <c r="C4537" t="inlineStr">
        <is>
          <t>40101990</t>
        </is>
      </c>
      <c r="D4537" t="inlineStr">
        <is>
          <t>OTHER CNVYR BLT/BLTNG WHERE RUBR COMPN MORE THAN 25% BY WT.</t>
        </is>
      </c>
      <c r="E4537" s="3" t="n">
        <v>0.05</v>
      </c>
      <c r="F4537" s="3" t="n">
        <v>0.03</v>
      </c>
      <c r="G4537" s="3">
        <f>F4537-E4537</f>
        <v/>
      </c>
      <c r="H4537" s="4">
        <f>IF(E4537=0,"",F4537/E4537-1)</f>
        <v/>
      </c>
      <c r="I4537" t="inlineStr"/>
    </row>
    <row r="4538">
      <c r="A4538" t="inlineStr">
        <is>
          <t>Plastics &amp; rubber</t>
        </is>
      </c>
      <c r="B4538" t="inlineStr">
        <is>
          <t>39</t>
        </is>
      </c>
      <c r="C4538" t="inlineStr">
        <is>
          <t>39052900</t>
        </is>
      </c>
      <c r="D4538" t="inlineStr">
        <is>
          <t>VNYL ACETT COPOLYMR EXCL IN AQOUS DISPRSN</t>
        </is>
      </c>
      <c r="E4538" s="3" t="n">
        <v>0.03</v>
      </c>
      <c r="F4538" s="3" t="n">
        <v>0.02</v>
      </c>
      <c r="G4538" s="3">
        <f>F4538-E4538</f>
        <v/>
      </c>
      <c r="H4538" s="4">
        <f>IF(E4538=0,"",F4538/E4538-1)</f>
        <v/>
      </c>
      <c r="I4538" t="inlineStr"/>
    </row>
    <row r="4539">
      <c r="A4539" t="inlineStr">
        <is>
          <t>Plastics &amp; rubber</t>
        </is>
      </c>
      <c r="B4539" t="inlineStr">
        <is>
          <t>39</t>
        </is>
      </c>
      <c r="C4539" t="inlineStr">
        <is>
          <t>39091090</t>
        </is>
      </c>
      <c r="D4539" t="inlineStr">
        <is>
          <t>OTHER UREA RESINS THIOUREA RESINS</t>
        </is>
      </c>
      <c r="E4539" s="3" t="n">
        <v>0</v>
      </c>
      <c r="F4539" s="3" t="n">
        <v>0.02</v>
      </c>
      <c r="G4539" s="3">
        <f>F4539-E4539</f>
        <v/>
      </c>
      <c r="H4539" s="4">
        <f>IF(E4539=0,"",F4539/E4539-1)</f>
        <v/>
      </c>
      <c r="I4539" t="inlineStr"/>
    </row>
    <row r="4540">
      <c r="A4540" t="inlineStr">
        <is>
          <t>Plastics &amp; rubber</t>
        </is>
      </c>
      <c r="B4540" t="inlineStr">
        <is>
          <t>39</t>
        </is>
      </c>
      <c r="C4540" t="inlineStr">
        <is>
          <t>39119010</t>
        </is>
      </c>
      <c r="D4540" t="inlineStr">
        <is>
          <t>POLYSULPHONES</t>
        </is>
      </c>
      <c r="E4540" s="3" t="n">
        <v>0</v>
      </c>
      <c r="F4540" s="3" t="n">
        <v>0.02</v>
      </c>
      <c r="G4540" s="3">
        <f>F4540-E4540</f>
        <v/>
      </c>
      <c r="H4540" s="4">
        <f>IF(E4540=0,"",F4540/E4540-1)</f>
        <v/>
      </c>
      <c r="I4540" t="inlineStr"/>
    </row>
    <row r="4541">
      <c r="A4541" t="inlineStr">
        <is>
          <t>Plastics &amp; rubber</t>
        </is>
      </c>
      <c r="B4541" t="inlineStr">
        <is>
          <t>39</t>
        </is>
      </c>
      <c r="C4541" t="inlineStr">
        <is>
          <t>39123929</t>
        </is>
      </c>
      <c r="D4541" t="inlineStr">
        <is>
          <t>OTHERS CELLULOSE ETHERS PLASTICIZED</t>
        </is>
      </c>
      <c r="E4541" s="3" t="n">
        <v>0</v>
      </c>
      <c r="F4541" s="3" t="n">
        <v>0.02</v>
      </c>
      <c r="G4541" s="3">
        <f>F4541-E4541</f>
        <v/>
      </c>
      <c r="H4541" s="4">
        <f>IF(E4541=0,"",F4541/E4541-1)</f>
        <v/>
      </c>
      <c r="I4541" t="inlineStr"/>
    </row>
    <row r="4542">
      <c r="A4542" t="inlineStr">
        <is>
          <t>Plastics &amp; rubber</t>
        </is>
      </c>
      <c r="B4542" t="inlineStr">
        <is>
          <t>39</t>
        </is>
      </c>
      <c r="C4542" t="inlineStr">
        <is>
          <t>39139019</t>
        </is>
      </c>
      <c r="D4542" t="inlineStr">
        <is>
          <t>OTHER CHEMICAL DERIVATIVE OF NATURAL RUBBR</t>
        </is>
      </c>
      <c r="E4542" s="3" t="n">
        <v>0.07000000000000001</v>
      </c>
      <c r="F4542" s="3" t="n">
        <v>0.02</v>
      </c>
      <c r="G4542" s="3">
        <f>F4542-E4542</f>
        <v/>
      </c>
      <c r="H4542" s="4">
        <f>IF(E4542=0,"",F4542/E4542-1)</f>
        <v/>
      </c>
      <c r="I4542" t="inlineStr"/>
    </row>
    <row r="4543">
      <c r="A4543" t="inlineStr">
        <is>
          <t>Plastics &amp; rubber</t>
        </is>
      </c>
      <c r="B4543" t="inlineStr">
        <is>
          <t>39</t>
        </is>
      </c>
      <c r="C4543" t="inlineStr">
        <is>
          <t>39172930</t>
        </is>
      </c>
      <c r="D4543" t="inlineStr">
        <is>
          <t>TUBE OF CELLULOSE NITRATE AND CELLULOID PLASTICIZED AND NON-PLASTICIZED</t>
        </is>
      </c>
      <c r="E4543" s="3" t="n">
        <v>0.01</v>
      </c>
      <c r="F4543" s="3" t="n">
        <v>0.02</v>
      </c>
      <c r="G4543" s="3">
        <f>F4543-E4543</f>
        <v/>
      </c>
      <c r="H4543" s="4">
        <f>IF(E4543=0,"",F4543/E4543-1)</f>
        <v/>
      </c>
      <c r="I4543" t="inlineStr"/>
    </row>
    <row r="4544">
      <c r="A4544" t="inlineStr">
        <is>
          <t>Plastics &amp; rubber</t>
        </is>
      </c>
      <c r="B4544" t="inlineStr">
        <is>
          <t>39</t>
        </is>
      </c>
      <c r="C4544" t="inlineStr">
        <is>
          <t>39173300</t>
        </is>
      </c>
      <c r="D4544" t="inlineStr">
        <is>
          <t>TUBES PIPES AND HOSES NT REINFORCED/ OTHRWISECOMBINED WITH OTHR MATRLS WITH FITTINGS</t>
        </is>
      </c>
      <c r="E4544" s="3" t="n">
        <v>0.02</v>
      </c>
      <c r="F4544" s="3" t="n">
        <v>0.02</v>
      </c>
      <c r="G4544" s="3">
        <f>F4544-E4544</f>
        <v/>
      </c>
      <c r="H4544" s="4">
        <f>IF(E4544=0,"",F4544/E4544-1)</f>
        <v/>
      </c>
      <c r="I4544" t="inlineStr"/>
    </row>
    <row r="4545">
      <c r="A4545" t="inlineStr">
        <is>
          <t>Plastics &amp; rubber</t>
        </is>
      </c>
      <c r="B4545" t="inlineStr">
        <is>
          <t>39</t>
        </is>
      </c>
      <c r="C4545" t="inlineStr">
        <is>
          <t>39206390</t>
        </is>
      </c>
      <c r="D4545" t="inlineStr">
        <is>
          <t>PLTES SHTS OF UNSATURATED POLYESTERS NES</t>
        </is>
      </c>
      <c r="E4545" s="3" t="n">
        <v>0</v>
      </c>
      <c r="F4545" s="3" t="n">
        <v>0.02</v>
      </c>
      <c r="G4545" s="3">
        <f>F4545-E4545</f>
        <v/>
      </c>
      <c r="H4545" s="4">
        <f>IF(E4545=0,"",F4545/E4545-1)</f>
        <v/>
      </c>
      <c r="I4545" t="inlineStr"/>
    </row>
    <row r="4546">
      <c r="A4546" t="inlineStr">
        <is>
          <t>Plastics &amp; rubber</t>
        </is>
      </c>
      <c r="B4546" t="inlineStr">
        <is>
          <t>39</t>
        </is>
      </c>
      <c r="C4546" t="inlineStr">
        <is>
          <t>39264099</t>
        </is>
      </c>
      <c r="D4546" t="inlineStr">
        <is>
          <t>OTHR STATUETE AND OTHR ORNAMENTAL ARTICL NES</t>
        </is>
      </c>
      <c r="E4546" s="3" t="n">
        <v>0.03</v>
      </c>
      <c r="F4546" s="3" t="n">
        <v>0.02</v>
      </c>
      <c r="G4546" s="3">
        <f>F4546-E4546</f>
        <v/>
      </c>
      <c r="H4546" s="4">
        <f>IF(E4546=0,"",F4546/E4546-1)</f>
        <v/>
      </c>
      <c r="I4546" t="inlineStr"/>
    </row>
    <row r="4547">
      <c r="A4547" t="inlineStr">
        <is>
          <t>Plastics &amp; rubber</t>
        </is>
      </c>
      <c r="B4547" t="inlineStr">
        <is>
          <t>40</t>
        </is>
      </c>
      <c r="C4547" t="inlineStr">
        <is>
          <t>40030000</t>
        </is>
      </c>
      <c r="D4547" t="inlineStr">
        <is>
          <t>RECLAIMED RUBR IN PRMRY FORMS OR IN PLATES SHEETS OR STRIP</t>
        </is>
      </c>
      <c r="E4547" s="3" t="n">
        <v>0.07000000000000001</v>
      </c>
      <c r="F4547" s="3" t="n">
        <v>0.02</v>
      </c>
      <c r="G4547" s="3">
        <f>F4547-E4547</f>
        <v/>
      </c>
      <c r="H4547" s="4">
        <f>IF(E4547=0,"",F4547/E4547-1)</f>
        <v/>
      </c>
      <c r="I4547" t="inlineStr"/>
    </row>
    <row r="4548">
      <c r="A4548" t="inlineStr">
        <is>
          <t>Plastics &amp; rubber</t>
        </is>
      </c>
      <c r="B4548" t="inlineStr">
        <is>
          <t>40</t>
        </is>
      </c>
      <c r="C4548" t="inlineStr">
        <is>
          <t>40081190</t>
        </is>
      </c>
      <c r="D4548" t="inlineStr">
        <is>
          <t>PLTS,SHTS,STRP OF OTHER CELLULAR RUBR</t>
        </is>
      </c>
      <c r="E4548" s="3" t="n">
        <v>0</v>
      </c>
      <c r="F4548" s="3" t="n">
        <v>0.02</v>
      </c>
      <c r="G4548" s="3">
        <f>F4548-E4548</f>
        <v/>
      </c>
      <c r="H4548" s="4">
        <f>IF(E4548=0,"",F4548/E4548-1)</f>
        <v/>
      </c>
      <c r="I4548" t="inlineStr"/>
    </row>
    <row r="4549">
      <c r="A4549" t="inlineStr">
        <is>
          <t>Plastics &amp; rubber</t>
        </is>
      </c>
      <c r="B4549" t="inlineStr">
        <is>
          <t>40</t>
        </is>
      </c>
      <c r="C4549" t="inlineStr">
        <is>
          <t>40082910</t>
        </is>
      </c>
      <c r="D4549" t="inlineStr">
        <is>
          <t>RUBR SHEETS/RESIN RUBR SHEET FOR SOLE/HEEL OF OTHERS FORM OF NON-CELLULAR RUBR</t>
        </is>
      </c>
      <c r="E4549" s="3" t="n">
        <v>0</v>
      </c>
      <c r="F4549" s="3" t="n">
        <v>0.02</v>
      </c>
      <c r="G4549" s="3">
        <f>F4549-E4549</f>
        <v/>
      </c>
      <c r="H4549" s="4">
        <f>IF(E4549=0,"",F4549/E4549-1)</f>
        <v/>
      </c>
      <c r="I4549" t="inlineStr"/>
    </row>
    <row r="4550">
      <c r="A4550" t="inlineStr">
        <is>
          <t>Plastics &amp; rubber</t>
        </is>
      </c>
      <c r="B4550" t="inlineStr">
        <is>
          <t>40</t>
        </is>
      </c>
      <c r="C4550" t="inlineStr">
        <is>
          <t>40103390</t>
        </is>
      </c>
      <c r="D4550" t="inlineStr">
        <is>
          <t>ENDLESS TRNSMSN BLT/BLTNG OF V-BLT/V- RIBBDOF CIRCUM BETWN 60 CM AND 180 CM WHERE RUBY COMPD MORE THAN 25% BY WT.</t>
        </is>
      </c>
      <c r="E4550" s="3" t="n">
        <v>0.01</v>
      </c>
      <c r="F4550" s="3" t="n">
        <v>0.02</v>
      </c>
      <c r="G4550" s="3">
        <f>F4550-E4550</f>
        <v/>
      </c>
      <c r="H4550" s="4">
        <f>IF(E4550=0,"",F4550/E4550-1)</f>
        <v/>
      </c>
      <c r="I4550" t="inlineStr"/>
    </row>
    <row r="4551">
      <c r="A4551" t="inlineStr">
        <is>
          <t>Plastics &amp; rubber</t>
        </is>
      </c>
      <c r="B4551" t="inlineStr">
        <is>
          <t>40</t>
        </is>
      </c>
      <c r="C4551" t="inlineStr">
        <is>
          <t>40103590</t>
        </is>
      </c>
      <c r="D4551" t="inlineStr">
        <is>
          <t>ENDLESS SYNCHRONOUS BELTS,OF A CIRCUMFRNCEBETWN 60CM AND150CM WHERE RUBY COMPN MORE THAN 25% BY WT.W</t>
        </is>
      </c>
      <c r="E4551" s="3" t="n">
        <v>0.02</v>
      </c>
      <c r="F4551" s="3" t="n">
        <v>0.02</v>
      </c>
      <c r="G4551" s="3">
        <f>F4551-E4551</f>
        <v/>
      </c>
      <c r="H4551" s="4">
        <f>IF(E4551=0,"",F4551/E4551-1)</f>
        <v/>
      </c>
      <c r="I4551" t="inlineStr"/>
    </row>
    <row r="4552">
      <c r="A4552" t="inlineStr">
        <is>
          <t>Plastics &amp; rubber</t>
        </is>
      </c>
      <c r="B4552" t="inlineStr">
        <is>
          <t>40</t>
        </is>
      </c>
      <c r="C4552" t="inlineStr">
        <is>
          <t>40103919</t>
        </is>
      </c>
      <c r="D4552" t="inlineStr">
        <is>
          <t>TRNSMSN BLT/BLTNG OTHER THAN FLAT BLT/PLY BLT WHERE RUBR COMPD LESS THAN 25% BY WT.</t>
        </is>
      </c>
      <c r="E4552" s="3" t="n">
        <v>0.04</v>
      </c>
      <c r="F4552" s="3" t="n">
        <v>0.02</v>
      </c>
      <c r="G4552" s="3">
        <f>F4552-E4552</f>
        <v/>
      </c>
      <c r="H4552" s="4">
        <f>IF(E4552=0,"",F4552/E4552-1)</f>
        <v/>
      </c>
      <c r="I4552" t="inlineStr"/>
    </row>
    <row r="4553">
      <c r="A4553" t="inlineStr">
        <is>
          <t>Plastics &amp; rubber</t>
        </is>
      </c>
      <c r="B4553" t="inlineStr">
        <is>
          <t>40</t>
        </is>
      </c>
      <c r="C4553" t="inlineStr">
        <is>
          <t>40149090</t>
        </is>
      </c>
      <c r="D4553" t="inlineStr">
        <is>
          <t>OTHER ARTICLS OF OTHR HYGNC AND PHRMCTL ARTCLS</t>
        </is>
      </c>
      <c r="E4553" s="3" t="n">
        <v>0.06</v>
      </c>
      <c r="F4553" s="3" t="n">
        <v>0.02</v>
      </c>
      <c r="G4553" s="3">
        <f>F4553-E4553</f>
        <v/>
      </c>
      <c r="H4553" s="4">
        <f>IF(E4553=0,"",F4553/E4553-1)</f>
        <v/>
      </c>
      <c r="I4553" t="inlineStr"/>
    </row>
    <row r="4554">
      <c r="A4554" t="inlineStr">
        <is>
          <t>Plastics &amp; rubber</t>
        </is>
      </c>
      <c r="B4554" t="inlineStr">
        <is>
          <t>40</t>
        </is>
      </c>
      <c r="C4554" t="inlineStr">
        <is>
          <t>40169350</t>
        </is>
      </c>
      <c r="D4554" t="inlineStr">
        <is>
          <t>WASHERS</t>
        </is>
      </c>
      <c r="E4554" s="3" t="n">
        <v>0</v>
      </c>
      <c r="F4554" s="3" t="n">
        <v>0.02</v>
      </c>
      <c r="G4554" s="3">
        <f>F4554-E4554</f>
        <v/>
      </c>
      <c r="H4554" s="4">
        <f>IF(E4554=0,"",F4554/E4554-1)</f>
        <v/>
      </c>
      <c r="I4554" t="inlineStr"/>
    </row>
    <row r="4555">
      <c r="A4555" t="inlineStr">
        <is>
          <t>Plastics &amp; rubber</t>
        </is>
      </c>
      <c r="B4555" t="inlineStr">
        <is>
          <t>40</t>
        </is>
      </c>
      <c r="C4555" t="inlineStr">
        <is>
          <t>40169950</t>
        </is>
      </c>
      <c r="D4555" t="inlineStr">
        <is>
          <t>RUBBER CUSHION</t>
        </is>
      </c>
      <c r="E4555" s="3" t="n">
        <v>0.02</v>
      </c>
      <c r="F4555" s="3" t="n">
        <v>0.02</v>
      </c>
      <c r="G4555" s="3">
        <f>F4555-E4555</f>
        <v/>
      </c>
      <c r="H4555" s="4">
        <f>IF(E4555=0,"",F4555/E4555-1)</f>
        <v/>
      </c>
      <c r="I4555" t="inlineStr"/>
    </row>
    <row r="4556">
      <c r="A4556" t="inlineStr">
        <is>
          <t>Plastics &amp; rubber</t>
        </is>
      </c>
      <c r="B4556" t="inlineStr">
        <is>
          <t>39</t>
        </is>
      </c>
      <c r="C4556" t="inlineStr">
        <is>
          <t>39072990</t>
        </is>
      </c>
      <c r="D4556" t="inlineStr">
        <is>
          <t>OTHERS-OF-OTHERS-OF-POLYACETALS, OTHER POLYETHERS AND EPOXIDE RESINS,</t>
        </is>
      </c>
      <c r="E4556" s="3" t="n">
        <v>0.03</v>
      </c>
      <c r="F4556" s="3" t="n">
        <v>0.01</v>
      </c>
      <c r="G4556" s="3">
        <f>F4556-E4556</f>
        <v/>
      </c>
      <c r="H4556" s="4">
        <f>IF(E4556=0,"",F4556/E4556-1)</f>
        <v/>
      </c>
      <c r="I4556" t="inlineStr"/>
    </row>
    <row r="4557">
      <c r="A4557" t="inlineStr">
        <is>
          <t>Plastics &amp; rubber</t>
        </is>
      </c>
      <c r="B4557" t="inlineStr">
        <is>
          <t>39</t>
        </is>
      </c>
      <c r="C4557" t="inlineStr">
        <is>
          <t>39119090</t>
        </is>
      </c>
      <c r="D4557" t="inlineStr">
        <is>
          <t>OTHER PRODUCTS IN RIMARY FORMS NES</t>
        </is>
      </c>
      <c r="E4557" s="3" t="n">
        <v>0.32</v>
      </c>
      <c r="F4557" s="3" t="n">
        <v>0.01</v>
      </c>
      <c r="G4557" s="3">
        <f>F4557-E4557</f>
        <v/>
      </c>
      <c r="H4557" s="4">
        <f>IF(E4557=0,"",F4557/E4557-1)</f>
        <v/>
      </c>
      <c r="I4557" t="inlineStr"/>
    </row>
    <row r="4558">
      <c r="A4558" t="inlineStr">
        <is>
          <t>Plastics &amp; rubber</t>
        </is>
      </c>
      <c r="B4558" t="inlineStr">
        <is>
          <t>39</t>
        </is>
      </c>
      <c r="C4558" t="inlineStr">
        <is>
          <t>39123911</t>
        </is>
      </c>
      <c r="D4558" t="inlineStr">
        <is>
          <t>ETHYL CELLULOSE NON-PLASTICIZED</t>
        </is>
      </c>
      <c r="E4558" s="3" t="n">
        <v>0.01</v>
      </c>
      <c r="F4558" s="3" t="n">
        <v>0.01</v>
      </c>
      <c r="G4558" s="3">
        <f>F4558-E4558</f>
        <v/>
      </c>
      <c r="H4558" s="4">
        <f>IF(E4558=0,"",F4558/E4558-1)</f>
        <v/>
      </c>
      <c r="I4558" t="inlineStr"/>
    </row>
    <row r="4559">
      <c r="A4559" t="inlineStr">
        <is>
          <t>Plastics &amp; rubber</t>
        </is>
      </c>
      <c r="B4559" t="inlineStr">
        <is>
          <t>39</t>
        </is>
      </c>
      <c r="C4559" t="inlineStr">
        <is>
          <t>39123922</t>
        </is>
      </c>
      <c r="D4559" t="inlineStr">
        <is>
          <t>METHYL CELLULOSE PLASTICIZED</t>
        </is>
      </c>
      <c r="E4559" s="3" t="n">
        <v>0</v>
      </c>
      <c r="F4559" s="3" t="n">
        <v>0.01</v>
      </c>
      <c r="G4559" s="3">
        <f>F4559-E4559</f>
        <v/>
      </c>
      <c r="H4559" s="4">
        <f>IF(E4559=0,"",F4559/E4559-1)</f>
        <v/>
      </c>
      <c r="I4559" t="inlineStr"/>
    </row>
    <row r="4560">
      <c r="A4560" t="inlineStr">
        <is>
          <t>Plastics &amp; rubber</t>
        </is>
      </c>
      <c r="B4560" t="inlineStr">
        <is>
          <t>39</t>
        </is>
      </c>
      <c r="C4560" t="inlineStr">
        <is>
          <t>39162099</t>
        </is>
      </c>
      <c r="D4560" t="inlineStr">
        <is>
          <t>OTHER OF OTHER POLMRS OF VINYL CHLRIDE</t>
        </is>
      </c>
      <c r="E4560" s="3" t="n">
        <v>0</v>
      </c>
      <c r="F4560" s="3" t="n">
        <v>0.01</v>
      </c>
      <c r="G4560" s="3">
        <f>F4560-E4560</f>
        <v/>
      </c>
      <c r="H4560" s="4">
        <f>IF(E4560=0,"",F4560/E4560-1)</f>
        <v/>
      </c>
      <c r="I4560" t="inlineStr"/>
    </row>
    <row r="4561">
      <c r="A4561" t="inlineStr">
        <is>
          <t>Plastics &amp; rubber</t>
        </is>
      </c>
      <c r="B4561" t="inlineStr">
        <is>
          <t>39</t>
        </is>
      </c>
      <c r="C4561" t="inlineStr">
        <is>
          <t>39169027</t>
        </is>
      </c>
      <c r="D4561" t="inlineStr">
        <is>
          <t>POLYPROPYLENE</t>
        </is>
      </c>
      <c r="E4561" s="3" t="n">
        <v>0.03</v>
      </c>
      <c r="F4561" s="3" t="n">
        <v>0.01</v>
      </c>
      <c r="G4561" s="3">
        <f>F4561-E4561</f>
        <v/>
      </c>
      <c r="H4561" s="4">
        <f>IF(E4561=0,"",F4561/E4561-1)</f>
        <v/>
      </c>
      <c r="I4561" t="inlineStr"/>
    </row>
    <row r="4562">
      <c r="A4562" t="inlineStr">
        <is>
          <t>Plastics &amp; rubber</t>
        </is>
      </c>
      <c r="B4562" t="inlineStr">
        <is>
          <t>39</t>
        </is>
      </c>
      <c r="C4562" t="inlineStr">
        <is>
          <t>39173920</t>
        </is>
      </c>
      <c r="D4562" t="inlineStr">
        <is>
          <t>OTHR TUBE PIPEAND HOSES OF ADDITION POLYMERISATION PRODUCTS</t>
        </is>
      </c>
      <c r="E4562" s="3" t="n">
        <v>0.02</v>
      </c>
      <c r="F4562" s="3" t="n">
        <v>0.01</v>
      </c>
      <c r="G4562" s="3">
        <f>F4562-E4562</f>
        <v/>
      </c>
      <c r="H4562" s="4">
        <f>IF(E4562=0,"",F4562/E4562-1)</f>
        <v/>
      </c>
      <c r="I4562" t="inlineStr"/>
    </row>
    <row r="4563">
      <c r="A4563" t="inlineStr">
        <is>
          <t>Plastics &amp; rubber</t>
        </is>
      </c>
      <c r="B4563" t="inlineStr">
        <is>
          <t>39</t>
        </is>
      </c>
      <c r="C4563" t="inlineStr">
        <is>
          <t>39206939</t>
        </is>
      </c>
      <c r="D4563" t="inlineStr">
        <is>
          <t>OTHR FILM OF OTHR POLYESTER NES</t>
        </is>
      </c>
      <c r="E4563" s="3" t="n">
        <v>0</v>
      </c>
      <c r="F4563" s="3" t="n">
        <v>0.01</v>
      </c>
      <c r="G4563" s="3">
        <f>F4563-E4563</f>
        <v/>
      </c>
      <c r="H4563" s="4">
        <f>IF(E4563=0,"",F4563/E4563-1)</f>
        <v/>
      </c>
      <c r="I4563" t="inlineStr"/>
    </row>
    <row r="4564">
      <c r="A4564" t="inlineStr">
        <is>
          <t>Plastics &amp; rubber</t>
        </is>
      </c>
      <c r="B4564" t="inlineStr">
        <is>
          <t>39</t>
        </is>
      </c>
      <c r="C4564" t="inlineStr">
        <is>
          <t>39207199</t>
        </is>
      </c>
      <c r="D4564" t="inlineStr">
        <is>
          <t>OTHR PLTES SHTS OF REGENERATD CELLULSE NES</t>
        </is>
      </c>
      <c r="E4564" s="3" t="n">
        <v>0</v>
      </c>
      <c r="F4564" s="3" t="n">
        <v>0.01</v>
      </c>
      <c r="G4564" s="3">
        <f>F4564-E4564</f>
        <v/>
      </c>
      <c r="H4564" s="4">
        <f>IF(E4564=0,"",F4564/E4564-1)</f>
        <v/>
      </c>
      <c r="I4564" t="inlineStr"/>
    </row>
    <row r="4565">
      <c r="A4565" t="inlineStr">
        <is>
          <t>Plastics &amp; rubber</t>
        </is>
      </c>
      <c r="B4565" t="inlineStr">
        <is>
          <t>39</t>
        </is>
      </c>
      <c r="C4565" t="inlineStr">
        <is>
          <t>39209211</t>
        </is>
      </c>
      <c r="D4565" t="inlineStr">
        <is>
          <t>POLY (AMIDE FLURODE) FILM RIGID, PLAIN</t>
        </is>
      </c>
      <c r="E4565" s="3" t="n">
        <v>0.67</v>
      </c>
      <c r="F4565" s="3" t="n">
        <v>0.01</v>
      </c>
      <c r="G4565" s="3">
        <f>F4565-E4565</f>
        <v/>
      </c>
      <c r="H4565" s="4">
        <f>IF(E4565=0,"",F4565/E4565-1)</f>
        <v/>
      </c>
      <c r="I4565" t="inlineStr"/>
    </row>
    <row r="4566">
      <c r="A4566" t="inlineStr">
        <is>
          <t>Plastics &amp; rubber</t>
        </is>
      </c>
      <c r="B4566" t="inlineStr">
        <is>
          <t>39</t>
        </is>
      </c>
      <c r="C4566" t="inlineStr">
        <is>
          <t>39261091</t>
        </is>
      </c>
      <c r="D4566" t="inlineStr">
        <is>
          <t>OTHER ARTICLS OF OFFICE OR SCHOOL SUPPLIESOF POLYURETHANE FOAM</t>
        </is>
      </c>
      <c r="E4566" s="3" t="n">
        <v>0.01</v>
      </c>
      <c r="F4566" s="3" t="n">
        <v>0.01</v>
      </c>
      <c r="G4566" s="3">
        <f>F4566-E4566</f>
        <v/>
      </c>
      <c r="H4566" s="4">
        <f>IF(E4566=0,"",F4566/E4566-1)</f>
        <v/>
      </c>
      <c r="I4566" t="inlineStr"/>
    </row>
    <row r="4567">
      <c r="A4567" t="inlineStr">
        <is>
          <t>Plastics &amp; rubber</t>
        </is>
      </c>
      <c r="B4567" t="inlineStr">
        <is>
          <t>39</t>
        </is>
      </c>
      <c r="C4567" t="inlineStr">
        <is>
          <t>39262029</t>
        </is>
      </c>
      <c r="D4567" t="inlineStr">
        <is>
          <t>OTHER APRON</t>
        </is>
      </c>
      <c r="E4567" s="3" t="n">
        <v>0</v>
      </c>
      <c r="F4567" s="3" t="n">
        <v>0.01</v>
      </c>
      <c r="G4567" s="3">
        <f>F4567-E4567</f>
        <v/>
      </c>
      <c r="H4567" s="4">
        <f>IF(E4567=0,"",F4567/E4567-1)</f>
        <v/>
      </c>
      <c r="I4567" t="inlineStr"/>
    </row>
    <row r="4568">
      <c r="A4568" t="inlineStr">
        <is>
          <t>Plastics &amp; rubber</t>
        </is>
      </c>
      <c r="B4568" t="inlineStr">
        <is>
          <t>39</t>
        </is>
      </c>
      <c r="C4568" t="inlineStr">
        <is>
          <t>39264029</t>
        </is>
      </c>
      <c r="D4568" t="inlineStr">
        <is>
          <t>OTHER BEADS</t>
        </is>
      </c>
      <c r="E4568" s="3" t="n">
        <v>0</v>
      </c>
      <c r="F4568" s="3" t="n">
        <v>0.01</v>
      </c>
      <c r="G4568" s="3">
        <f>F4568-E4568</f>
        <v/>
      </c>
      <c r="H4568" s="4">
        <f>IF(E4568=0,"",F4568/E4568-1)</f>
        <v/>
      </c>
      <c r="I4568" t="inlineStr"/>
    </row>
    <row r="4569">
      <c r="A4569" t="inlineStr">
        <is>
          <t>Plastics &amp; rubber</t>
        </is>
      </c>
      <c r="B4569" t="inlineStr">
        <is>
          <t>39</t>
        </is>
      </c>
      <c r="C4569" t="inlineStr">
        <is>
          <t>39269029</t>
        </is>
      </c>
      <c r="D4569" t="inlineStr">
        <is>
          <t>OTHR COUPLERS,PACKING RING, O RINGS AND LIKE</t>
        </is>
      </c>
      <c r="E4569" s="3" t="n">
        <v>0.21</v>
      </c>
      <c r="F4569" s="3" t="n">
        <v>0.01</v>
      </c>
      <c r="G4569" s="3">
        <f>F4569-E4569</f>
        <v/>
      </c>
      <c r="H4569" s="4">
        <f>IF(E4569=0,"",F4569/E4569-1)</f>
        <v/>
      </c>
      <c r="I4569" t="inlineStr"/>
    </row>
    <row r="4570">
      <c r="A4570" t="inlineStr">
        <is>
          <t>Plastics &amp; rubber</t>
        </is>
      </c>
      <c r="B4570" t="inlineStr">
        <is>
          <t>39</t>
        </is>
      </c>
      <c r="C4570" t="inlineStr">
        <is>
          <t>39269039</t>
        </is>
      </c>
      <c r="D4570" t="inlineStr">
        <is>
          <t>OTHER LASTS WITH OR WITOUT STEEL HINGS; EVAAND GRAPE SHEET FOR SOLEANDHEELS; WELT</t>
        </is>
      </c>
      <c r="E4570" s="3" t="n">
        <v>0.05</v>
      </c>
      <c r="F4570" s="3" t="n">
        <v>0.01</v>
      </c>
      <c r="G4570" s="3">
        <f>F4570-E4570</f>
        <v/>
      </c>
      <c r="H4570" s="4">
        <f>IF(E4570=0,"",F4570/E4570-1)</f>
        <v/>
      </c>
      <c r="I4570" t="inlineStr"/>
    </row>
    <row r="4571">
      <c r="A4571" t="inlineStr">
        <is>
          <t>Plastics &amp; rubber</t>
        </is>
      </c>
      <c r="B4571" t="inlineStr">
        <is>
          <t>40</t>
        </is>
      </c>
      <c r="C4571" t="inlineStr">
        <is>
          <t>40023100</t>
        </is>
      </c>
      <c r="D4571" t="inlineStr">
        <is>
          <t>ISOBUTENE-ISOPRENE(BUTYL) RUBBER (IIR)</t>
        </is>
      </c>
      <c r="E4571" s="3" t="n">
        <v>0.02</v>
      </c>
      <c r="F4571" s="3" t="n">
        <v>0.01</v>
      </c>
      <c r="G4571" s="3">
        <f>F4571-E4571</f>
        <v/>
      </c>
      <c r="H4571" s="4">
        <f>IF(E4571=0,"",F4571/E4571-1)</f>
        <v/>
      </c>
      <c r="I4571" t="inlineStr"/>
    </row>
    <row r="4572">
      <c r="A4572" t="inlineStr">
        <is>
          <t>Plastics &amp; rubber</t>
        </is>
      </c>
      <c r="B4572" t="inlineStr">
        <is>
          <t>40</t>
        </is>
      </c>
      <c r="C4572" t="inlineStr">
        <is>
          <t>40059990</t>
        </is>
      </c>
      <c r="D4572" t="inlineStr">
        <is>
          <t>OTHERS CMPNDED RUBR UNVULCNSD IN PRMRY FORMS/IN PLATES SHEETS/STRIPS EXCL. SILICA/CAN SEALING/HOSPITAL SHEETING</t>
        </is>
      </c>
      <c r="E4572" s="3" t="n">
        <v>0</v>
      </c>
      <c r="F4572" s="3" t="n">
        <v>0.01</v>
      </c>
      <c r="G4572" s="3">
        <f>F4572-E4572</f>
        <v/>
      </c>
      <c r="H4572" s="4">
        <f>IF(E4572=0,"",F4572/E4572-1)</f>
        <v/>
      </c>
      <c r="I4572" t="inlineStr"/>
    </row>
    <row r="4573">
      <c r="A4573" t="inlineStr">
        <is>
          <t>Plastics &amp; rubber</t>
        </is>
      </c>
      <c r="B4573" t="inlineStr">
        <is>
          <t>40</t>
        </is>
      </c>
      <c r="C4573" t="inlineStr">
        <is>
          <t>40070090</t>
        </is>
      </c>
      <c r="D4573" t="inlineStr">
        <is>
          <t>OTHER THREAD/CORD OF VULCNSE RUBBER</t>
        </is>
      </c>
      <c r="E4573" s="3" t="n">
        <v>0</v>
      </c>
      <c r="F4573" s="3" t="n">
        <v>0.01</v>
      </c>
      <c r="G4573" s="3">
        <f>F4573-E4573</f>
        <v/>
      </c>
      <c r="H4573" s="4">
        <f>IF(E4573=0,"",F4573/E4573-1)</f>
        <v/>
      </c>
      <c r="I4573" t="inlineStr"/>
    </row>
    <row r="4574">
      <c r="A4574" t="inlineStr">
        <is>
          <t>Plastics &amp; rubber</t>
        </is>
      </c>
      <c r="B4574" t="inlineStr">
        <is>
          <t>40</t>
        </is>
      </c>
      <c r="C4574" t="inlineStr">
        <is>
          <t>40103110</t>
        </is>
      </c>
      <c r="D4574" t="inlineStr">
        <is>
          <t>ENDLESS TRNSMSN BLT/BLTNG OF V-BLT,V- RIBBDOF CIRCUMFRNS BETWN 180 CM AND 240 CM WHERE RUBR COMPD LESS THAN 25% BY</t>
        </is>
      </c>
      <c r="E4574" s="3" t="n">
        <v>0</v>
      </c>
      <c r="F4574" s="3" t="n">
        <v>0.01</v>
      </c>
      <c r="G4574" s="3">
        <f>F4574-E4574</f>
        <v/>
      </c>
      <c r="H4574" s="4">
        <f>IF(E4574=0,"",F4574/E4574-1)</f>
        <v/>
      </c>
      <c r="I4574" t="inlineStr"/>
    </row>
    <row r="4575">
      <c r="A4575" t="inlineStr">
        <is>
          <t>Plastics &amp; rubber</t>
        </is>
      </c>
      <c r="B4575" t="inlineStr">
        <is>
          <t>40</t>
        </is>
      </c>
      <c r="C4575" t="inlineStr">
        <is>
          <t>40103190</t>
        </is>
      </c>
      <c r="D4575" t="inlineStr">
        <is>
          <t>ENDLES TRNSMSN BLT/BLTNG OF V-BLT/V- RIBBEDOF CIRCUMFRNS BETWN 180 CM AND 240 CM WHERE RUBR COMPD MORE THAN 25% BY</t>
        </is>
      </c>
      <c r="E4575" s="3" t="n">
        <v>0.01</v>
      </c>
      <c r="F4575" s="3" t="n">
        <v>0.01</v>
      </c>
      <c r="G4575" s="3">
        <f>F4575-E4575</f>
        <v/>
      </c>
      <c r="H4575" s="4">
        <f>IF(E4575=0,"",F4575/E4575-1)</f>
        <v/>
      </c>
      <c r="I4575" t="inlineStr"/>
    </row>
    <row r="4576">
      <c r="A4576" t="inlineStr">
        <is>
          <t>Plastics &amp; rubber</t>
        </is>
      </c>
      <c r="B4576" t="inlineStr">
        <is>
          <t>40</t>
        </is>
      </c>
      <c r="C4576" t="inlineStr">
        <is>
          <t>40111090</t>
        </is>
      </c>
      <c r="D4576" t="inlineStr">
        <is>
          <t>OTHER TYRES USED ON MOTOR CARS (INCL STATION WAGONS AND RACING CARS).</t>
        </is>
      </c>
      <c r="E4576" s="3" t="n">
        <v>0</v>
      </c>
      <c r="F4576" s="3" t="n">
        <v>0.01</v>
      </c>
      <c r="G4576" s="3">
        <f>F4576-E4576</f>
        <v/>
      </c>
      <c r="H4576" s="4">
        <f>IF(E4576=0,"",F4576/E4576-1)</f>
        <v/>
      </c>
      <c r="I4576" t="inlineStr"/>
    </row>
    <row r="4577">
      <c r="A4577" t="inlineStr">
        <is>
          <t>Plastics &amp; rubber</t>
        </is>
      </c>
      <c r="B4577" t="inlineStr">
        <is>
          <t>40</t>
        </is>
      </c>
      <c r="C4577" t="inlineStr">
        <is>
          <t>40139041</t>
        </is>
      </c>
      <c r="D4577" t="inlineStr">
        <is>
          <t>INNER TUBES USED IN REAR TYRES OF TRACTORS</t>
        </is>
      </c>
      <c r="E4577" s="3" t="n">
        <v>0.03</v>
      </c>
      <c r="F4577" s="3" t="n">
        <v>0.01</v>
      </c>
      <c r="G4577" s="3">
        <f>F4577-E4577</f>
        <v/>
      </c>
      <c r="H4577" s="4">
        <f>IF(E4577=0,"",F4577/E4577-1)</f>
        <v/>
      </c>
      <c r="I4577" t="inlineStr"/>
    </row>
    <row r="4578">
      <c r="A4578" t="inlineStr">
        <is>
          <t>Plastics &amp; rubber</t>
        </is>
      </c>
      <c r="B4578" t="inlineStr">
        <is>
          <t>40</t>
        </is>
      </c>
      <c r="C4578" t="inlineStr">
        <is>
          <t>40169960</t>
        </is>
      </c>
      <c r="D4578" t="inlineStr">
        <is>
          <t>RUBBER BUSH</t>
        </is>
      </c>
      <c r="E4578" s="3" t="n">
        <v>0.02</v>
      </c>
      <c r="F4578" s="3" t="n">
        <v>0.01</v>
      </c>
      <c r="G4578" s="3">
        <f>F4578-E4578</f>
        <v/>
      </c>
      <c r="H4578" s="4">
        <f>IF(E4578=0,"",F4578/E4578-1)</f>
        <v/>
      </c>
      <c r="I4578" t="inlineStr"/>
    </row>
    <row r="4579">
      <c r="A4579" t="inlineStr">
        <is>
          <t>Plastics &amp; rubber</t>
        </is>
      </c>
      <c r="B4579" t="inlineStr">
        <is>
          <t>39</t>
        </is>
      </c>
      <c r="C4579" t="inlineStr">
        <is>
          <t>39013000</t>
        </is>
      </c>
      <c r="D4579" t="inlineStr">
        <is>
          <t>ETHYLENE-VINYL ACETATE COPOLYMERS</t>
        </is>
      </c>
      <c r="E4579" s="3" t="n">
        <v>0.06</v>
      </c>
      <c r="F4579" s="3" t="n">
        <v>0</v>
      </c>
      <c r="G4579" s="3">
        <f>F4579-E4579</f>
        <v/>
      </c>
      <c r="H4579" s="4">
        <f>IF(E4579=0,"",F4579/E4579-1)</f>
        <v/>
      </c>
      <c r="I4579" t="inlineStr"/>
    </row>
    <row r="4580">
      <c r="A4580" t="inlineStr">
        <is>
          <t>Plastics &amp; rubber</t>
        </is>
      </c>
      <c r="B4580" t="inlineStr">
        <is>
          <t>39</t>
        </is>
      </c>
      <c r="C4580" t="inlineStr">
        <is>
          <t>39014090</t>
        </is>
      </c>
      <c r="D4580" t="inlineStr">
        <is>
          <t>OTHERS-OF-ETHYLENE-ALPHA-OLEFIN COPOLYMERS, HAVING A SPECIFIC GRAVITY OF LESS THAN 0.94</t>
        </is>
      </c>
      <c r="E4580" s="3" t="n">
        <v>0.11</v>
      </c>
      <c r="F4580" s="3" t="n">
        <v>0</v>
      </c>
      <c r="G4580" s="3">
        <f>F4580-E4580</f>
        <v/>
      </c>
      <c r="H4580" s="4">
        <f>IF(E4580=0,"",F4580/E4580-1)</f>
        <v/>
      </c>
      <c r="I4580" t="inlineStr"/>
    </row>
    <row r="4581">
      <c r="A4581" t="inlineStr">
        <is>
          <t>Plastics &amp; rubber</t>
        </is>
      </c>
      <c r="B4581" t="inlineStr">
        <is>
          <t>39</t>
        </is>
      </c>
      <c r="C4581" t="inlineStr">
        <is>
          <t>39023000</t>
        </is>
      </c>
      <c r="D4581" t="inlineStr">
        <is>
          <t>PROPYLENE COPOLYMERS</t>
        </is>
      </c>
      <c r="E4581" s="3" t="n">
        <v>0.01</v>
      </c>
      <c r="F4581" s="3" t="n">
        <v>0</v>
      </c>
      <c r="G4581" s="3">
        <f>F4581-E4581</f>
        <v/>
      </c>
      <c r="H4581" s="4">
        <f>IF(E4581=0,"",F4581/E4581-1)</f>
        <v/>
      </c>
      <c r="I4581" t="inlineStr"/>
    </row>
    <row r="4582">
      <c r="A4582" t="inlineStr">
        <is>
          <t>Plastics &amp; rubber</t>
        </is>
      </c>
      <c r="B4582" t="inlineStr">
        <is>
          <t>39</t>
        </is>
      </c>
      <c r="C4582" t="inlineStr">
        <is>
          <t>39032000</t>
        </is>
      </c>
      <c r="D4582" t="inlineStr">
        <is>
          <t>STYRENE ACRYLONITRILE (SAN) COPOLYMERS</t>
        </is>
      </c>
      <c r="E4582" s="3" t="n">
        <v>0.24</v>
      </c>
      <c r="F4582" s="3" t="n">
        <v>0</v>
      </c>
      <c r="G4582" s="3">
        <f>F4582-E4582</f>
        <v/>
      </c>
      <c r="H4582" s="4">
        <f>IF(E4582=0,"",F4582/E4582-1)</f>
        <v/>
      </c>
      <c r="I4582" t="inlineStr"/>
    </row>
    <row r="4583">
      <c r="A4583" t="inlineStr">
        <is>
          <t>Plastics &amp; rubber</t>
        </is>
      </c>
      <c r="B4583" t="inlineStr">
        <is>
          <t>39</t>
        </is>
      </c>
      <c r="C4583" t="inlineStr">
        <is>
          <t>39043090</t>
        </is>
      </c>
      <c r="D4583" t="inlineStr">
        <is>
          <t>VINYL CHLORIDE-VINYL ACETATE COPOLYMER NES</t>
        </is>
      </c>
      <c r="E4583" s="3" t="n">
        <v>0.01</v>
      </c>
      <c r="F4583" s="3" t="n">
        <v>0</v>
      </c>
      <c r="G4583" s="3">
        <f>F4583-E4583</f>
        <v/>
      </c>
      <c r="H4583" s="4">
        <f>IF(E4583=0,"",F4583/E4583-1)</f>
        <v/>
      </c>
      <c r="I4583" t="inlineStr"/>
    </row>
    <row r="4584">
      <c r="A4584" t="inlineStr">
        <is>
          <t>Plastics &amp; rubber</t>
        </is>
      </c>
      <c r="B4584" t="inlineStr">
        <is>
          <t>39</t>
        </is>
      </c>
      <c r="C4584" t="inlineStr">
        <is>
          <t>39046100</t>
        </is>
      </c>
      <c r="D4584" t="inlineStr">
        <is>
          <t>POLYTETRAFLUOROETHYLENE</t>
        </is>
      </c>
      <c r="E4584" s="3" t="n">
        <v>0.01</v>
      </c>
      <c r="F4584" s="3" t="n">
        <v>0</v>
      </c>
      <c r="G4584" s="3">
        <f>F4584-E4584</f>
        <v/>
      </c>
      <c r="H4584" s="4">
        <f>IF(E4584=0,"",F4584/E4584-1)</f>
        <v/>
      </c>
      <c r="I4584" t="inlineStr"/>
    </row>
    <row r="4585">
      <c r="A4585" t="inlineStr">
        <is>
          <t>Plastics &amp; rubber</t>
        </is>
      </c>
      <c r="B4585" t="inlineStr">
        <is>
          <t>39</t>
        </is>
      </c>
      <c r="C4585" t="inlineStr">
        <is>
          <t>39046910</t>
        </is>
      </c>
      <c r="D4585" t="inlineStr">
        <is>
          <t>POLY (VINYL FLUORIDE) AS IN NOTE 6(B) CHAP</t>
        </is>
      </c>
      <c r="E4585" s="3" t="n">
        <v>0</v>
      </c>
      <c r="F4585" s="3" t="n">
        <v>0</v>
      </c>
      <c r="G4585" s="3">
        <f>F4585-E4585</f>
        <v/>
      </c>
      <c r="H4585" s="4">
        <f>IF(E4585=0,"",F4585/E4585-1)</f>
        <v/>
      </c>
      <c r="I4585" t="inlineStr"/>
    </row>
    <row r="4586">
      <c r="A4586" t="inlineStr">
        <is>
          <t>Plastics &amp; rubber</t>
        </is>
      </c>
      <c r="B4586" t="inlineStr">
        <is>
          <t>39</t>
        </is>
      </c>
      <c r="C4586" t="inlineStr">
        <is>
          <t>39046990</t>
        </is>
      </c>
      <c r="D4586" t="inlineStr">
        <is>
          <t>OTHER FLURO-POLYMERS</t>
        </is>
      </c>
      <c r="E4586" s="3" t="n">
        <v>0</v>
      </c>
      <c r="F4586" s="3" t="n">
        <v>0</v>
      </c>
      <c r="G4586" s="3">
        <f>F4586-E4586</f>
        <v/>
      </c>
      <c r="H4586" s="4">
        <f>IF(E4586=0,"",F4586/E4586-1)</f>
        <v/>
      </c>
      <c r="I4586" t="inlineStr"/>
    </row>
    <row r="4587">
      <c r="A4587" t="inlineStr">
        <is>
          <t>Plastics &amp; rubber</t>
        </is>
      </c>
      <c r="B4587" t="inlineStr">
        <is>
          <t>39</t>
        </is>
      </c>
      <c r="C4587" t="inlineStr">
        <is>
          <t>39049090</t>
        </is>
      </c>
      <c r="D4587" t="inlineStr">
        <is>
          <t>OTHERS-OF-OTHER POLYMERS OF VINYL CHLORIDE OR OFOTHER HALOGENATED OLEFINS IN PRIMARY FORMS</t>
        </is>
      </c>
      <c r="E4587" s="3" t="n">
        <v>0.01</v>
      </c>
      <c r="F4587" s="3" t="n">
        <v>0</v>
      </c>
      <c r="G4587" s="3">
        <f>F4587-E4587</f>
        <v/>
      </c>
      <c r="H4587" s="4">
        <f>IF(E4587=0,"",F4587/E4587-1)</f>
        <v/>
      </c>
      <c r="I4587" t="inlineStr"/>
    </row>
    <row r="4588">
      <c r="A4588" t="inlineStr">
        <is>
          <t>Plastics &amp; rubber</t>
        </is>
      </c>
      <c r="B4588" t="inlineStr">
        <is>
          <t>39</t>
        </is>
      </c>
      <c r="C4588" t="inlineStr">
        <is>
          <t>39052100</t>
        </is>
      </c>
      <c r="D4588" t="inlineStr">
        <is>
          <t>VNYL ACETT COPOLYMRS IN AQUEOUS DISPRSN</t>
        </is>
      </c>
      <c r="E4588" s="3" t="n">
        <v>0</v>
      </c>
      <c r="F4588" s="3" t="n">
        <v>0</v>
      </c>
      <c r="G4588" s="3">
        <f>F4588-E4588</f>
        <v/>
      </c>
      <c r="H4588" s="4">
        <f>IF(E4588=0,"",F4588/E4588-1)</f>
        <v/>
      </c>
      <c r="I4588" t="inlineStr"/>
    </row>
    <row r="4589">
      <c r="A4589" t="inlineStr">
        <is>
          <t>Plastics &amp; rubber</t>
        </is>
      </c>
      <c r="B4589" t="inlineStr">
        <is>
          <t>39</t>
        </is>
      </c>
      <c r="C4589" t="inlineStr">
        <is>
          <t>39061010</t>
        </is>
      </c>
      <c r="D4589" t="inlineStr">
        <is>
          <t>BINDERS FOR PIGMENTS OR INKS</t>
        </is>
      </c>
      <c r="E4589" s="3" t="n">
        <v>0</v>
      </c>
      <c r="F4589" s="3" t="n">
        <v>0</v>
      </c>
      <c r="G4589" s="3">
        <f>F4589-E4589</f>
        <v/>
      </c>
      <c r="H4589" s="4">
        <f>IF(E4589=0,"",F4589/E4589-1)</f>
        <v/>
      </c>
      <c r="I4589" t="inlineStr"/>
    </row>
    <row r="4590">
      <c r="A4590" t="inlineStr">
        <is>
          <t>Plastics &amp; rubber</t>
        </is>
      </c>
      <c r="B4590" t="inlineStr">
        <is>
          <t>39</t>
        </is>
      </c>
      <c r="C4590" t="inlineStr">
        <is>
          <t>39069040</t>
        </is>
      </c>
      <c r="D4590" t="inlineStr">
        <is>
          <t>POLY (ACRYLIC ACID)</t>
        </is>
      </c>
      <c r="E4590" s="3" t="n">
        <v>0</v>
      </c>
      <c r="F4590" s="3" t="n">
        <v>0</v>
      </c>
      <c r="G4590" s="3">
        <f>F4590-E4590</f>
        <v/>
      </c>
      <c r="H4590" s="4">
        <f>IF(E4590=0,"",F4590/E4590-1)</f>
        <v/>
      </c>
      <c r="I4590" t="inlineStr"/>
    </row>
    <row r="4591">
      <c r="A4591" t="inlineStr">
        <is>
          <t>Plastics &amp; rubber</t>
        </is>
      </c>
      <c r="B4591" t="inlineStr">
        <is>
          <t>39</t>
        </is>
      </c>
      <c r="C4591" t="inlineStr">
        <is>
          <t>39069070</t>
        </is>
      </c>
      <c r="D4591" t="inlineStr">
        <is>
          <t>SODIUM POLYACRYLATE</t>
        </is>
      </c>
      <c r="E4591" s="3" t="n">
        <v>0</v>
      </c>
      <c r="F4591" s="3" t="n">
        <v>0</v>
      </c>
      <c r="G4591" s="3">
        <f>F4591-E4591</f>
        <v/>
      </c>
      <c r="H4591" s="4">
        <f>IF(E4591=0,"",F4591/E4591-1)</f>
        <v/>
      </c>
      <c r="I4591" t="inlineStr"/>
    </row>
    <row r="4592">
      <c r="A4592" t="inlineStr">
        <is>
          <t>Plastics &amp; rubber</t>
        </is>
      </c>
      <c r="B4592" t="inlineStr">
        <is>
          <t>39</t>
        </is>
      </c>
      <c r="C4592" t="inlineStr">
        <is>
          <t>39079110</t>
        </is>
      </c>
      <c r="D4592" t="inlineStr">
        <is>
          <t>MALEIC RESINS UNSATURATED</t>
        </is>
      </c>
      <c r="E4592" s="3" t="n">
        <v>0.01</v>
      </c>
      <c r="F4592" s="3" t="n">
        <v>0</v>
      </c>
      <c r="G4592" s="3">
        <f>F4592-E4592</f>
        <v/>
      </c>
      <c r="H4592" s="4">
        <f>IF(E4592=0,"",F4592/E4592-1)</f>
        <v/>
      </c>
      <c r="I4592" t="inlineStr"/>
    </row>
    <row r="4593">
      <c r="A4593" t="inlineStr">
        <is>
          <t>Plastics &amp; rubber</t>
        </is>
      </c>
      <c r="B4593" t="inlineStr">
        <is>
          <t>39</t>
        </is>
      </c>
      <c r="C4593" t="inlineStr">
        <is>
          <t>39079150</t>
        </is>
      </c>
      <c r="D4593" t="inlineStr">
        <is>
          <t>POLY (BUTYLENE TEREPTHALATE) UNSATURATED</t>
        </is>
      </c>
      <c r="E4593" s="3" t="n">
        <v>0.44</v>
      </c>
      <c r="F4593" s="3" t="n">
        <v>0</v>
      </c>
      <c r="G4593" s="3">
        <f>F4593-E4593</f>
        <v/>
      </c>
      <c r="H4593" s="4">
        <f>IF(E4593=0,"",F4593/E4593-1)</f>
        <v/>
      </c>
      <c r="I4593" t="inlineStr"/>
    </row>
    <row r="4594">
      <c r="A4594" t="inlineStr">
        <is>
          <t>Plastics &amp; rubber</t>
        </is>
      </c>
      <c r="B4594" t="inlineStr">
        <is>
          <t>39</t>
        </is>
      </c>
      <c r="C4594" t="inlineStr">
        <is>
          <t>39093990</t>
        </is>
      </c>
      <c r="D4594" t="inlineStr">
        <is>
          <t>OTHERS-OF-OTHERS-OF-AMINO-RESINS, PHENOLIC RESINS AND POLYURETHANES,</t>
        </is>
      </c>
      <c r="E4594" s="3" t="n">
        <v>0</v>
      </c>
      <c r="F4594" s="3" t="n">
        <v>0</v>
      </c>
      <c r="G4594" s="3">
        <f>F4594-E4594</f>
        <v/>
      </c>
      <c r="H4594" s="4">
        <f>IF(E4594=0,"",F4594/E4594-1)</f>
        <v/>
      </c>
      <c r="I4594" t="inlineStr"/>
    </row>
    <row r="4595">
      <c r="A4595" t="inlineStr">
        <is>
          <t>Plastics &amp; rubber</t>
        </is>
      </c>
      <c r="B4595" t="inlineStr">
        <is>
          <t>39</t>
        </is>
      </c>
      <c r="C4595" t="inlineStr">
        <is>
          <t>39094040</t>
        </is>
      </c>
      <c r="D4595" t="inlineStr">
        <is>
          <t>KETONIC RESINS</t>
        </is>
      </c>
      <c r="E4595" s="3" t="n">
        <v>0.01</v>
      </c>
      <c r="F4595" s="3" t="n">
        <v>0</v>
      </c>
      <c r="G4595" s="3">
        <f>F4595-E4595</f>
        <v/>
      </c>
      <c r="H4595" s="4">
        <f>IF(E4595=0,"",F4595/E4595-1)</f>
        <v/>
      </c>
      <c r="I4595" t="inlineStr"/>
    </row>
    <row r="4596">
      <c r="A4596" t="inlineStr">
        <is>
          <t>Plastics &amp; rubber</t>
        </is>
      </c>
      <c r="B4596" t="inlineStr">
        <is>
          <t>39</t>
        </is>
      </c>
      <c r="C4596" t="inlineStr">
        <is>
          <t>39140010</t>
        </is>
      </c>
      <c r="D4596" t="inlineStr">
        <is>
          <t>ION-EXCHANGERS OF THE CONDENSATION POLYCONDENSATION OR POLYADDITION</t>
        </is>
      </c>
      <c r="E4596" s="3" t="n">
        <v>0.02</v>
      </c>
      <c r="F4596" s="3" t="n">
        <v>0</v>
      </c>
      <c r="G4596" s="3">
        <f>F4596-E4596</f>
        <v/>
      </c>
      <c r="H4596" s="4">
        <f>IF(E4596=0,"",F4596/E4596-1)</f>
        <v/>
      </c>
      <c r="I4596" t="inlineStr"/>
    </row>
    <row r="4597">
      <c r="A4597" t="inlineStr">
        <is>
          <t>Plastics &amp; rubber</t>
        </is>
      </c>
      <c r="B4597" t="inlineStr">
        <is>
          <t>39</t>
        </is>
      </c>
      <c r="C4597" t="inlineStr">
        <is>
          <t>39159042</t>
        </is>
      </c>
      <c r="D4597" t="inlineStr">
        <is>
          <t>WASTE PARINGS SCRAP OF PET BOTTLES</t>
        </is>
      </c>
      <c r="E4597" s="3" t="n">
        <v>0.01</v>
      </c>
      <c r="F4597" s="3" t="n">
        <v>0</v>
      </c>
      <c r="G4597" s="3">
        <f>F4597-E4597</f>
        <v/>
      </c>
      <c r="H4597" s="4">
        <f>IF(E4597=0,"",F4597/E4597-1)</f>
        <v/>
      </c>
      <c r="I4597" t="inlineStr"/>
    </row>
    <row r="4598">
      <c r="A4598" t="inlineStr">
        <is>
          <t>Plastics &amp; rubber</t>
        </is>
      </c>
      <c r="B4598" t="inlineStr">
        <is>
          <t>39</t>
        </is>
      </c>
      <c r="C4598" t="inlineStr">
        <is>
          <t>39159090</t>
        </is>
      </c>
      <c r="D4598" t="inlineStr">
        <is>
          <t>WASTE PARINGS AND SCRAP OF OTHR PLASTIC NES</t>
        </is>
      </c>
      <c r="E4598" s="3" t="n">
        <v>0.08</v>
      </c>
      <c r="F4598" s="3" t="n">
        <v>0</v>
      </c>
      <c r="G4598" s="3">
        <f>F4598-E4598</f>
        <v/>
      </c>
      <c r="H4598" s="4">
        <f>IF(E4598=0,"",F4598/E4598-1)</f>
        <v/>
      </c>
      <c r="I4598" t="inlineStr"/>
    </row>
    <row r="4599">
      <c r="A4599" t="inlineStr">
        <is>
          <t>Plastics &amp; rubber</t>
        </is>
      </c>
      <c r="B4599" t="inlineStr">
        <is>
          <t>39</t>
        </is>
      </c>
      <c r="C4599" t="inlineStr">
        <is>
          <t>39169021</t>
        </is>
      </c>
      <c r="D4599" t="inlineStr">
        <is>
          <t>PHENOPLAST</t>
        </is>
      </c>
      <c r="E4599" s="3" t="n">
        <v>0</v>
      </c>
      <c r="F4599" s="3" t="n">
        <v>0</v>
      </c>
      <c r="G4599" s="3">
        <f>F4599-E4599</f>
        <v/>
      </c>
      <c r="H4599" s="4">
        <f>IF(E4599=0,"",F4599/E4599-1)</f>
        <v/>
      </c>
      <c r="I4599" t="inlineStr"/>
    </row>
    <row r="4600">
      <c r="A4600" t="inlineStr">
        <is>
          <t>Plastics &amp; rubber</t>
        </is>
      </c>
      <c r="B4600" t="inlineStr">
        <is>
          <t>39</t>
        </is>
      </c>
      <c r="C4600" t="inlineStr">
        <is>
          <t>39169023</t>
        </is>
      </c>
      <c r="D4600" t="inlineStr">
        <is>
          <t>ALKYDS AND POLYESTERS</t>
        </is>
      </c>
      <c r="E4600" s="3" t="n">
        <v>0</v>
      </c>
      <c r="F4600" s="3" t="n">
        <v>0</v>
      </c>
      <c r="G4600" s="3">
        <f>F4600-E4600</f>
        <v/>
      </c>
      <c r="H4600" s="4">
        <f>IF(E4600=0,"",F4600/E4600-1)</f>
        <v/>
      </c>
      <c r="I4600" t="inlineStr"/>
    </row>
    <row r="4601">
      <c r="A4601" t="inlineStr">
        <is>
          <t>Plastics &amp; rubber</t>
        </is>
      </c>
      <c r="B4601" t="inlineStr">
        <is>
          <t>39</t>
        </is>
      </c>
      <c r="C4601" t="inlineStr">
        <is>
          <t>39169080</t>
        </is>
      </c>
      <c r="D4601" t="inlineStr">
        <is>
          <t>VINYL PLASTIC</t>
        </is>
      </c>
      <c r="E4601" s="3" t="n">
        <v>0</v>
      </c>
      <c r="F4601" s="3" t="n">
        <v>0</v>
      </c>
      <c r="G4601" s="3">
        <f>F4601-E4601</f>
        <v/>
      </c>
      <c r="H4601" s="4">
        <f>IF(E4601=0,"",F4601/E4601-1)</f>
        <v/>
      </c>
      <c r="I4601" t="inlineStr"/>
    </row>
    <row r="4602">
      <c r="A4602" t="inlineStr">
        <is>
          <t>Plastics &amp; rubber</t>
        </is>
      </c>
      <c r="B4602" t="inlineStr">
        <is>
          <t>39</t>
        </is>
      </c>
      <c r="C4602" t="inlineStr">
        <is>
          <t>39172910</t>
        </is>
      </c>
      <c r="D4602" t="inlineStr">
        <is>
          <t>SEAMLESS TUBE OF COPOLYMERS OF VINYL ACETATE AND VINYL CHLORIDE</t>
        </is>
      </c>
      <c r="E4602" s="3" t="n">
        <v>0.04</v>
      </c>
      <c r="F4602" s="3" t="n">
        <v>0</v>
      </c>
      <c r="G4602" s="3">
        <f>F4602-E4602</f>
        <v/>
      </c>
      <c r="H4602" s="4">
        <f>IF(E4602=0,"",F4602/E4602-1)</f>
        <v/>
      </c>
      <c r="I4602" t="inlineStr"/>
    </row>
    <row r="4603">
      <c r="A4603" t="inlineStr">
        <is>
          <t>Plastics &amp; rubber</t>
        </is>
      </c>
      <c r="B4603" t="inlineStr">
        <is>
          <t>39</t>
        </is>
      </c>
      <c r="C4603" t="inlineStr">
        <is>
          <t>39172950</t>
        </is>
      </c>
      <c r="D4603" t="inlineStr">
        <is>
          <t>TUBE OF VINYL PLSTCS (PLSTCZD NON-PLSTCZD)</t>
        </is>
      </c>
      <c r="E4603" s="3" t="n">
        <v>0.01</v>
      </c>
      <c r="F4603" s="3" t="n">
        <v>0</v>
      </c>
      <c r="G4603" s="3">
        <f>F4603-E4603</f>
        <v/>
      </c>
      <c r="H4603" s="4">
        <f>IF(E4603=0,"",F4603/E4603-1)</f>
        <v/>
      </c>
      <c r="I4603" t="inlineStr"/>
    </row>
    <row r="4604">
      <c r="A4604" t="inlineStr">
        <is>
          <t>Plastics &amp; rubber</t>
        </is>
      </c>
      <c r="B4604" t="inlineStr">
        <is>
          <t>39</t>
        </is>
      </c>
      <c r="C4604" t="inlineStr">
        <is>
          <t>39201091</t>
        </is>
      </c>
      <c r="D4604" t="inlineStr">
        <is>
          <t>OTHR PLTS,SHEET ETC OF POLYMRS OF ETHYLENERIGID, PLAIN</t>
        </is>
      </c>
      <c r="E4604" s="3" t="n">
        <v>0</v>
      </c>
      <c r="F4604" s="3" t="n">
        <v>0</v>
      </c>
      <c r="G4604" s="3">
        <f>F4604-E4604</f>
        <v/>
      </c>
      <c r="H4604" s="4">
        <f>IF(E4604=0,"",F4604/E4604-1)</f>
        <v/>
      </c>
      <c r="I4604" t="inlineStr"/>
    </row>
    <row r="4605">
      <c r="A4605" t="inlineStr">
        <is>
          <t>Plastics &amp; rubber</t>
        </is>
      </c>
      <c r="B4605" t="inlineStr">
        <is>
          <t>39</t>
        </is>
      </c>
      <c r="C4605" t="inlineStr">
        <is>
          <t>39205199</t>
        </is>
      </c>
      <c r="D4605" t="inlineStr">
        <is>
          <t>OTHR PLAT,SHEET OF PLYMTHYL METHACRYLT NES</t>
        </is>
      </c>
      <c r="E4605" s="3" t="n">
        <v>0</v>
      </c>
      <c r="F4605" s="3" t="n">
        <v>0</v>
      </c>
      <c r="G4605" s="3">
        <f>F4605-E4605</f>
        <v/>
      </c>
      <c r="H4605" s="4">
        <f>IF(E4605=0,"",F4605/E4605-1)</f>
        <v/>
      </c>
      <c r="I4605" t="inlineStr"/>
    </row>
    <row r="4606">
      <c r="A4606" t="inlineStr">
        <is>
          <t>Plastics &amp; rubber</t>
        </is>
      </c>
      <c r="B4606" t="inlineStr">
        <is>
          <t>39</t>
        </is>
      </c>
      <c r="C4606" t="inlineStr">
        <is>
          <t>39205999</t>
        </is>
      </c>
      <c r="D4606" t="inlineStr">
        <is>
          <t>OTHR SHETS ETC OF OTHR ACRYLIC POLYMER NES</t>
        </is>
      </c>
      <c r="E4606" s="3" t="n">
        <v>0</v>
      </c>
      <c r="F4606" s="3" t="n">
        <v>0</v>
      </c>
      <c r="G4606" s="3">
        <f>F4606-E4606</f>
        <v/>
      </c>
      <c r="H4606" s="4">
        <f>IF(E4606=0,"",F4606/E4606-1)</f>
        <v/>
      </c>
      <c r="I4606" t="inlineStr"/>
    </row>
    <row r="4607">
      <c r="A4607" t="inlineStr">
        <is>
          <t>Plastics &amp; rubber</t>
        </is>
      </c>
      <c r="B4607" t="inlineStr">
        <is>
          <t>39</t>
        </is>
      </c>
      <c r="C4607" t="inlineStr">
        <is>
          <t>39206210</t>
        </is>
      </c>
      <c r="D4607" t="inlineStr">
        <is>
          <t>PLTES SHTS ETC OF PLYETHYLN TEREPHTHALTE RIGID, PLAIN</t>
        </is>
      </c>
      <c r="E4607" s="3" t="n">
        <v>0</v>
      </c>
      <c r="F4607" s="3" t="n">
        <v>0</v>
      </c>
      <c r="G4607" s="3">
        <f>F4607-E4607</f>
        <v/>
      </c>
      <c r="H4607" s="4">
        <f>IF(E4607=0,"",F4607/E4607-1)</f>
        <v/>
      </c>
      <c r="I4607" t="inlineStr"/>
    </row>
    <row r="4608">
      <c r="A4608" t="inlineStr">
        <is>
          <t>Plastics &amp; rubber</t>
        </is>
      </c>
      <c r="B4608" t="inlineStr">
        <is>
          <t>39</t>
        </is>
      </c>
      <c r="C4608" t="inlineStr">
        <is>
          <t>39209190</t>
        </is>
      </c>
      <c r="D4608" t="inlineStr">
        <is>
          <t>OTHERS-OF-OTHR PLTES SHTS ETCOF OTHER PLASTICS:</t>
        </is>
      </c>
      <c r="E4608" s="3" t="n">
        <v>0.02</v>
      </c>
      <c r="F4608" s="3" t="n">
        <v>0</v>
      </c>
      <c r="G4608" s="3">
        <f>F4608-E4608</f>
        <v/>
      </c>
      <c r="H4608" s="4">
        <f>IF(E4608=0,"",F4608/E4608-1)</f>
        <v/>
      </c>
      <c r="I4608" t="inlineStr"/>
    </row>
    <row r="4609">
      <c r="A4609" t="inlineStr">
        <is>
          <t>Plastics &amp; rubber</t>
        </is>
      </c>
      <c r="B4609" t="inlineStr">
        <is>
          <t>39</t>
        </is>
      </c>
      <c r="C4609" t="inlineStr">
        <is>
          <t>39209212</t>
        </is>
      </c>
      <c r="D4609" t="inlineStr">
        <is>
          <t>POLY (AMIDE FLURODE) FILM FLEXIBLE, PLAIN</t>
        </is>
      </c>
      <c r="E4609" s="3" t="n">
        <v>0</v>
      </c>
      <c r="F4609" s="3" t="n">
        <v>0</v>
      </c>
      <c r="G4609" s="3">
        <f>F4609-E4609</f>
        <v/>
      </c>
      <c r="H4609" s="4">
        <f>IF(E4609=0,"",F4609/E4609-1)</f>
        <v/>
      </c>
      <c r="I4609" t="inlineStr"/>
    </row>
    <row r="4610">
      <c r="A4610" t="inlineStr">
        <is>
          <t>Plastics &amp; rubber</t>
        </is>
      </c>
      <c r="B4610" t="inlineStr">
        <is>
          <t>39</t>
        </is>
      </c>
      <c r="C4610" t="inlineStr">
        <is>
          <t>39209919</t>
        </is>
      </c>
      <c r="D4610" t="inlineStr">
        <is>
          <t>PLATES SHEETS FILMS FOIL AND STRIP OF POLY (VINYL ACETATE) NES</t>
        </is>
      </c>
      <c r="E4610" s="3" t="n">
        <v>0.01</v>
      </c>
      <c r="F4610" s="3" t="n">
        <v>0</v>
      </c>
      <c r="G4610" s="3">
        <f>F4610-E4610</f>
        <v/>
      </c>
      <c r="H4610" s="4">
        <f>IF(E4610=0,"",F4610/E4610-1)</f>
        <v/>
      </c>
      <c r="I4610" t="inlineStr"/>
    </row>
    <row r="4611">
      <c r="A4611" t="inlineStr">
        <is>
          <t>Plastics &amp; rubber</t>
        </is>
      </c>
      <c r="B4611" t="inlineStr">
        <is>
          <t>39</t>
        </is>
      </c>
      <c r="C4611" t="inlineStr">
        <is>
          <t>39209929</t>
        </is>
      </c>
      <c r="D4611" t="inlineStr">
        <is>
          <t>SHEETS FILMS STRIP OF VINYL PLASTICS NES</t>
        </is>
      </c>
      <c r="E4611" s="3" t="n">
        <v>0</v>
      </c>
      <c r="F4611" s="3" t="n">
        <v>0</v>
      </c>
      <c r="G4611" s="3">
        <f>F4611-E4611</f>
        <v/>
      </c>
      <c r="H4611" s="4">
        <f>IF(E4611=0,"",F4611/E4611-1)</f>
        <v/>
      </c>
      <c r="I4611" t="inlineStr"/>
    </row>
    <row r="4612">
      <c r="A4612" t="inlineStr">
        <is>
          <t>Plastics &amp; rubber</t>
        </is>
      </c>
      <c r="B4612" t="inlineStr">
        <is>
          <t>39</t>
        </is>
      </c>
      <c r="C4612" t="inlineStr">
        <is>
          <t>39209959</t>
        </is>
      </c>
      <c r="D4612" t="inlineStr">
        <is>
          <t>RETRO REFLECTIVE SHEETING OTHER</t>
        </is>
      </c>
      <c r="E4612" s="3" t="n">
        <v>0</v>
      </c>
      <c r="F4612" s="3" t="n">
        <v>0</v>
      </c>
      <c r="G4612" s="3">
        <f>F4612-E4612</f>
        <v/>
      </c>
      <c r="H4612" s="4">
        <f>IF(E4612=0,"",F4612/E4612-1)</f>
        <v/>
      </c>
      <c r="I4612" t="inlineStr"/>
    </row>
    <row r="4613">
      <c r="A4613" t="inlineStr">
        <is>
          <t>Plastics &amp; rubber</t>
        </is>
      </c>
      <c r="B4613" t="inlineStr">
        <is>
          <t>39</t>
        </is>
      </c>
      <c r="C4613" t="inlineStr">
        <is>
          <t>39219026</t>
        </is>
      </c>
      <c r="D4613" t="inlineStr">
        <is>
          <t>OTHR PLTS,SHTS,FILM FOIL,STRIP ETC, OF POLYMER OF VINYL CHLORIDE FLEXIBL LAMINATD</t>
        </is>
      </c>
      <c r="E4613" s="3" t="n">
        <v>0</v>
      </c>
      <c r="F4613" s="3" t="n">
        <v>0</v>
      </c>
      <c r="G4613" s="3">
        <f>F4613-E4613</f>
        <v/>
      </c>
      <c r="H4613" s="4">
        <f>IF(E4613=0,"",F4613/E4613-1)</f>
        <v/>
      </c>
      <c r="I4613" t="inlineStr"/>
    </row>
    <row r="4614">
      <c r="A4614" t="inlineStr">
        <is>
          <t>Plastics &amp; rubber</t>
        </is>
      </c>
      <c r="B4614" t="inlineStr">
        <is>
          <t>39</t>
        </is>
      </c>
      <c r="C4614" t="inlineStr">
        <is>
          <t>39219095</t>
        </is>
      </c>
      <c r="D4614" t="inlineStr">
        <is>
          <t>OTHR PLTS,SHTS,FILM FOIL,STRIP ETC NES RIGID, LAMINATED</t>
        </is>
      </c>
      <c r="E4614" s="3" t="n">
        <v>0</v>
      </c>
      <c r="F4614" s="3" t="n">
        <v>0</v>
      </c>
      <c r="G4614" s="3">
        <f>F4614-E4614</f>
        <v/>
      </c>
      <c r="H4614" s="4">
        <f>IF(E4614=0,"",F4614/E4614-1)</f>
        <v/>
      </c>
      <c r="I4614" t="inlineStr"/>
    </row>
    <row r="4615">
      <c r="A4615" t="inlineStr">
        <is>
          <t>Plastics &amp; rubber</t>
        </is>
      </c>
      <c r="B4615" t="inlineStr">
        <is>
          <t>39</t>
        </is>
      </c>
      <c r="C4615" t="inlineStr">
        <is>
          <t>39239010</t>
        </is>
      </c>
      <c r="D4615" t="inlineStr">
        <is>
          <t>OTHR ARTCLS FOR THE CNVYNCE/PCKNG OF GOODSINSULATED WARE</t>
        </is>
      </c>
      <c r="E4615" s="3" t="n">
        <v>0.47</v>
      </c>
      <c r="F4615" s="3" t="n">
        <v>0</v>
      </c>
      <c r="G4615" s="3">
        <f>F4615-E4615</f>
        <v/>
      </c>
      <c r="H4615" s="4">
        <f>IF(E4615=0,"",F4615/E4615-1)</f>
        <v/>
      </c>
      <c r="I4615" t="inlineStr"/>
    </row>
    <row r="4616">
      <c r="A4616" t="inlineStr">
        <is>
          <t>Plastics &amp; rubber</t>
        </is>
      </c>
      <c r="B4616" t="inlineStr">
        <is>
          <t>39</t>
        </is>
      </c>
      <c r="C4616" t="inlineStr">
        <is>
          <t>39239020</t>
        </is>
      </c>
      <c r="D4616" t="inlineStr">
        <is>
          <t>OTHR ARTCLS FOR THE CNVYNCE/PCKNG OF GOODSASEPTIC BAGS</t>
        </is>
      </c>
      <c r="E4616" s="3" t="n">
        <v>0.17</v>
      </c>
      <c r="F4616" s="3" t="n">
        <v>0</v>
      </c>
      <c r="G4616" s="3">
        <f>F4616-E4616</f>
        <v/>
      </c>
      <c r="H4616" s="4">
        <f>IF(E4616=0,"",F4616/E4616-1)</f>
        <v/>
      </c>
      <c r="I4616" t="inlineStr"/>
    </row>
    <row r="4617">
      <c r="A4617" t="inlineStr">
        <is>
          <t>Plastics &amp; rubber</t>
        </is>
      </c>
      <c r="B4617" t="inlineStr">
        <is>
          <t>39</t>
        </is>
      </c>
      <c r="C4617" t="inlineStr">
        <is>
          <t>39249020</t>
        </is>
      </c>
      <c r="D4617" t="inlineStr">
        <is>
          <t>OTHR HOUSEHOLD AND TOILT ARTCLS OF PLSTCS INSULATED WARE</t>
        </is>
      </c>
      <c r="E4617" s="3" t="n">
        <v>0</v>
      </c>
      <c r="F4617" s="3" t="n">
        <v>0</v>
      </c>
      <c r="G4617" s="3">
        <f>F4617-E4617</f>
        <v/>
      </c>
      <c r="H4617" s="4">
        <f>IF(E4617=0,"",F4617/E4617-1)</f>
        <v/>
      </c>
      <c r="I4617" t="inlineStr"/>
    </row>
    <row r="4618">
      <c r="A4618" t="inlineStr">
        <is>
          <t>Plastics &amp; rubber</t>
        </is>
      </c>
      <c r="B4618" t="inlineStr">
        <is>
          <t>39</t>
        </is>
      </c>
      <c r="C4618" t="inlineStr">
        <is>
          <t>39259010</t>
        </is>
      </c>
      <c r="D4618" t="inlineStr">
        <is>
          <t>OTHR BUILDER WARE OF PLSTCS OF POLYURETHNE</t>
        </is>
      </c>
      <c r="E4618" s="3" t="n">
        <v>0.01</v>
      </c>
      <c r="F4618" s="3" t="n">
        <v>0</v>
      </c>
      <c r="G4618" s="3">
        <f>F4618-E4618</f>
        <v/>
      </c>
      <c r="H4618" s="4">
        <f>IF(E4618=0,"",F4618/E4618-1)</f>
        <v/>
      </c>
      <c r="I4618" t="inlineStr"/>
    </row>
    <row r="4619">
      <c r="A4619" t="inlineStr">
        <is>
          <t>Plastics &amp; rubber</t>
        </is>
      </c>
      <c r="B4619" t="inlineStr">
        <is>
          <t>39</t>
        </is>
      </c>
      <c r="C4619" t="inlineStr">
        <is>
          <t>39261011</t>
        </is>
      </c>
      <c r="D4619" t="inlineStr">
        <is>
          <t>OFFICE SUPPLIES EXCL PINS CLIPS WRITING INSTRUMENTS OF POLYURETHANE FOAM</t>
        </is>
      </c>
      <c r="E4619" s="3" t="n">
        <v>0</v>
      </c>
      <c r="F4619" s="3" t="n">
        <v>0</v>
      </c>
      <c r="G4619" s="3">
        <f>F4619-E4619</f>
        <v/>
      </c>
      <c r="H4619" s="4">
        <f>IF(E4619=0,"",F4619/E4619-1)</f>
        <v/>
      </c>
      <c r="I4619" t="inlineStr"/>
    </row>
    <row r="4620">
      <c r="A4620" t="inlineStr">
        <is>
          <t>Plastics &amp; rubber</t>
        </is>
      </c>
      <c r="B4620" t="inlineStr">
        <is>
          <t>39</t>
        </is>
      </c>
      <c r="C4620" t="inlineStr">
        <is>
          <t>39262011</t>
        </is>
      </c>
      <c r="D4620" t="inlineStr">
        <is>
          <t>DISPOSABLE GLOVES</t>
        </is>
      </c>
      <c r="E4620" s="3" t="n">
        <v>0</v>
      </c>
      <c r="F4620" s="3" t="n">
        <v>0</v>
      </c>
      <c r="G4620" s="3">
        <f>F4620-E4620</f>
        <v/>
      </c>
      <c r="H4620" s="4">
        <f>IF(E4620=0,"",F4620/E4620-1)</f>
        <v/>
      </c>
      <c r="I4620" t="inlineStr"/>
    </row>
    <row r="4621">
      <c r="A4621" t="inlineStr">
        <is>
          <t>Plastics &amp; rubber</t>
        </is>
      </c>
      <c r="B4621" t="inlineStr">
        <is>
          <t>39</t>
        </is>
      </c>
      <c r="C4621" t="inlineStr">
        <is>
          <t>39262021</t>
        </is>
      </c>
      <c r="D4621" t="inlineStr">
        <is>
          <t>APRON OF POLYURETHANE FOAM</t>
        </is>
      </c>
      <c r="E4621" s="3" t="n">
        <v>0</v>
      </c>
      <c r="F4621" s="3" t="n">
        <v>0</v>
      </c>
      <c r="G4621" s="3">
        <f>F4621-E4621</f>
        <v/>
      </c>
      <c r="H4621" s="4">
        <f>IF(E4621=0,"",F4621/E4621-1)</f>
        <v/>
      </c>
      <c r="I4621" t="inlineStr"/>
    </row>
    <row r="4622">
      <c r="A4622" t="inlineStr">
        <is>
          <t>Plastics &amp; rubber</t>
        </is>
      </c>
      <c r="B4622" t="inlineStr">
        <is>
          <t>39</t>
        </is>
      </c>
      <c r="C4622" t="inlineStr">
        <is>
          <t>39262039</t>
        </is>
      </c>
      <c r="D4622" t="inlineStr">
        <is>
          <t>OTHER PLASTIC STICKERS FOR GARMENTS</t>
        </is>
      </c>
      <c r="E4622" s="3" t="n">
        <v>0</v>
      </c>
      <c r="F4622" s="3" t="n">
        <v>0</v>
      </c>
      <c r="G4622" s="3">
        <f>F4622-E4622</f>
        <v/>
      </c>
      <c r="H4622" s="4">
        <f>IF(E4622=0,"",F4622/E4622-1)</f>
        <v/>
      </c>
      <c r="I4622" t="inlineStr"/>
    </row>
    <row r="4623">
      <c r="A4623" t="inlineStr">
        <is>
          <t>Plastics &amp; rubber</t>
        </is>
      </c>
      <c r="B4623" t="inlineStr">
        <is>
          <t>39</t>
        </is>
      </c>
      <c r="C4623" t="inlineStr">
        <is>
          <t>39262049</t>
        </is>
      </c>
      <c r="D4623" t="inlineStr">
        <is>
          <t>OTHR COLAR STAYS,PATTIES,BUTTERFLY, SHOLUDRAND OTHER STAYS</t>
        </is>
      </c>
      <c r="E4623" s="3" t="n">
        <v>0</v>
      </c>
      <c r="F4623" s="3" t="n">
        <v>0</v>
      </c>
      <c r="G4623" s="3">
        <f>F4623-E4623</f>
        <v/>
      </c>
      <c r="H4623" s="4">
        <f>IF(E4623=0,"",F4623/E4623-1)</f>
        <v/>
      </c>
      <c r="I4623" t="inlineStr"/>
    </row>
    <row r="4624">
      <c r="A4624" t="inlineStr">
        <is>
          <t>Plastics &amp; rubber</t>
        </is>
      </c>
      <c r="B4624" t="inlineStr">
        <is>
          <t>39</t>
        </is>
      </c>
      <c r="C4624" t="inlineStr">
        <is>
          <t>39262099</t>
        </is>
      </c>
      <c r="D4624" t="inlineStr">
        <is>
          <t>OTHER ARTCLS OF APRL NES</t>
        </is>
      </c>
      <c r="E4624" s="3" t="n">
        <v>0</v>
      </c>
      <c r="F4624" s="3" t="n">
        <v>0</v>
      </c>
      <c r="G4624" s="3">
        <f>F4624-E4624</f>
        <v/>
      </c>
      <c r="H4624" s="4">
        <f>IF(E4624=0,"",F4624/E4624-1)</f>
        <v/>
      </c>
      <c r="I4624" t="inlineStr"/>
    </row>
    <row r="4625">
      <c r="A4625" t="inlineStr">
        <is>
          <t>Plastics &amp; rubber</t>
        </is>
      </c>
      <c r="B4625" t="inlineStr">
        <is>
          <t>39</t>
        </is>
      </c>
      <c r="C4625" t="inlineStr">
        <is>
          <t>39264019</t>
        </is>
      </c>
      <c r="D4625" t="inlineStr">
        <is>
          <t>OTHER BANGLES</t>
        </is>
      </c>
      <c r="E4625" s="3" t="n">
        <v>0</v>
      </c>
      <c r="F4625" s="3" t="n">
        <v>0</v>
      </c>
      <c r="G4625" s="3">
        <f>F4625-E4625</f>
        <v/>
      </c>
      <c r="H4625" s="4">
        <f>IF(E4625=0,"",F4625/E4625-1)</f>
        <v/>
      </c>
      <c r="I4625" t="inlineStr"/>
    </row>
    <row r="4626">
      <c r="A4626" t="inlineStr">
        <is>
          <t>Plastics &amp; rubber</t>
        </is>
      </c>
      <c r="B4626" t="inlineStr">
        <is>
          <t>39</t>
        </is>
      </c>
      <c r="C4626" t="inlineStr">
        <is>
          <t>39264039</t>
        </is>
      </c>
      <c r="D4626" t="inlineStr">
        <is>
          <t>OTHER STATUETTES</t>
        </is>
      </c>
      <c r="E4626" s="3" t="n">
        <v>0</v>
      </c>
      <c r="F4626" s="3" t="n">
        <v>0</v>
      </c>
      <c r="G4626" s="3">
        <f>F4626-E4626</f>
        <v/>
      </c>
      <c r="H4626" s="4">
        <f>IF(E4626=0,"",F4626/E4626-1)</f>
        <v/>
      </c>
      <c r="I4626" t="inlineStr"/>
    </row>
    <row r="4627">
      <c r="A4627" t="inlineStr">
        <is>
          <t>Plastics &amp; rubber</t>
        </is>
      </c>
      <c r="B4627" t="inlineStr">
        <is>
          <t>39</t>
        </is>
      </c>
      <c r="C4627" t="inlineStr">
        <is>
          <t>39269021</t>
        </is>
      </c>
      <c r="D4627" t="inlineStr">
        <is>
          <t>COUPLERS,PACKING RING, O RINGS AND LIKE OF POLYURETHANE FOAM</t>
        </is>
      </c>
      <c r="E4627" s="3" t="n">
        <v>0</v>
      </c>
      <c r="F4627" s="3" t="n">
        <v>0</v>
      </c>
      <c r="G4627" s="3">
        <f>F4627-E4627</f>
        <v/>
      </c>
      <c r="H4627" s="4">
        <f>IF(E4627=0,"",F4627/E4627-1)</f>
        <v/>
      </c>
      <c r="I4627" t="inlineStr"/>
    </row>
    <row r="4628">
      <c r="A4628" t="inlineStr">
        <is>
          <t>Plastics &amp; rubber</t>
        </is>
      </c>
      <c r="B4628" t="inlineStr">
        <is>
          <t>39</t>
        </is>
      </c>
      <c r="C4628" t="inlineStr">
        <is>
          <t>39269031</t>
        </is>
      </c>
      <c r="D4628" t="inlineStr">
        <is>
          <t>LASTS WITH OR WITOUT STEEL HINGS;EVAAND GRAPESHEET FOR SOLANDHEEL;WELT OF POLYURETHN FOAM</t>
        </is>
      </c>
      <c r="E4628" s="3" t="n">
        <v>0</v>
      </c>
      <c r="F4628" s="3" t="n">
        <v>0</v>
      </c>
      <c r="G4628" s="3">
        <f>F4628-E4628</f>
        <v/>
      </c>
      <c r="H4628" s="4">
        <f>IF(E4628=0,"",F4628/E4628-1)</f>
        <v/>
      </c>
      <c r="I4628" t="inlineStr"/>
    </row>
    <row r="4629">
      <c r="A4629" t="inlineStr">
        <is>
          <t>Plastics &amp; rubber</t>
        </is>
      </c>
      <c r="B4629" t="inlineStr">
        <is>
          <t>39</t>
        </is>
      </c>
      <c r="C4629" t="inlineStr">
        <is>
          <t>39269051</t>
        </is>
      </c>
      <c r="D4629" t="inlineStr">
        <is>
          <t>RETROREFLECTIVE SHEETING EXCL .HEADNG 3920OF POLYURETHANE FOAM</t>
        </is>
      </c>
      <c r="E4629" s="3" t="n">
        <v>0.01</v>
      </c>
      <c r="F4629" s="3" t="n">
        <v>0</v>
      </c>
      <c r="G4629" s="3">
        <f>F4629-E4629</f>
        <v/>
      </c>
      <c r="H4629" s="4">
        <f>IF(E4629=0,"",F4629/E4629-1)</f>
        <v/>
      </c>
      <c r="I4629" t="inlineStr"/>
    </row>
    <row r="4630">
      <c r="A4630" t="inlineStr">
        <is>
          <t>Plastics &amp; rubber</t>
        </is>
      </c>
      <c r="B4630" t="inlineStr">
        <is>
          <t>39</t>
        </is>
      </c>
      <c r="C4630" t="inlineStr">
        <is>
          <t>39269061</t>
        </is>
      </c>
      <c r="D4630" t="inlineStr">
        <is>
          <t>HANGERS OF POLYURETHANE FOAM</t>
        </is>
      </c>
      <c r="E4630" s="3" t="n">
        <v>0</v>
      </c>
      <c r="F4630" s="3" t="n">
        <v>0</v>
      </c>
      <c r="G4630" s="3">
        <f>F4630-E4630</f>
        <v/>
      </c>
      <c r="H4630" s="4">
        <f>IF(E4630=0,"",F4630/E4630-1)</f>
        <v/>
      </c>
      <c r="I4630" t="inlineStr"/>
    </row>
    <row r="4631">
      <c r="A4631" t="inlineStr">
        <is>
          <t>Plastics &amp; rubber</t>
        </is>
      </c>
      <c r="B4631" t="inlineStr">
        <is>
          <t>40</t>
        </is>
      </c>
      <c r="C4631" t="inlineStr">
        <is>
          <t>40012100</t>
        </is>
      </c>
      <c r="D4631" t="inlineStr">
        <is>
          <t>NATRL RUBR IN SMKD SHEETS</t>
        </is>
      </c>
      <c r="E4631" s="3" t="n">
        <v>0.06</v>
      </c>
      <c r="F4631" s="3" t="n">
        <v>0</v>
      </c>
      <c r="G4631" s="3">
        <f>F4631-E4631</f>
        <v/>
      </c>
      <c r="H4631" s="4">
        <f>IF(E4631=0,"",F4631/E4631-1)</f>
        <v/>
      </c>
      <c r="I4631" t="inlineStr"/>
    </row>
    <row r="4632">
      <c r="A4632" t="inlineStr">
        <is>
          <t>Plastics &amp; rubber</t>
        </is>
      </c>
      <c r="B4632" t="inlineStr">
        <is>
          <t>40</t>
        </is>
      </c>
      <c r="C4632" t="inlineStr">
        <is>
          <t>40021910</t>
        </is>
      </c>
      <c r="D4632" t="inlineStr">
        <is>
          <t>OIL EXTENDED STYRENE BUTADIENE RUBBER</t>
        </is>
      </c>
      <c r="E4632" s="3" t="n">
        <v>0.27</v>
      </c>
      <c r="F4632" s="3" t="n">
        <v>0</v>
      </c>
      <c r="G4632" s="3">
        <f>F4632-E4632</f>
        <v/>
      </c>
      <c r="H4632" s="4">
        <f>IF(E4632=0,"",F4632/E4632-1)</f>
        <v/>
      </c>
      <c r="I4632" t="inlineStr"/>
    </row>
    <row r="4633">
      <c r="A4633" t="inlineStr">
        <is>
          <t>Plastics &amp; rubber</t>
        </is>
      </c>
      <c r="B4633" t="inlineStr">
        <is>
          <t>40</t>
        </is>
      </c>
      <c r="C4633" t="inlineStr">
        <is>
          <t>40021990</t>
        </is>
      </c>
      <c r="D4633" t="inlineStr">
        <is>
          <t>OTHERS SYNTHETIC RUBR AND PACTICE DRVD FROM OILS IN PRMRY FORMS/IN PLTS SHTS ETC MXTRS EXCL. LATEX</t>
        </is>
      </c>
      <c r="E4633" s="3" t="n">
        <v>0.01</v>
      </c>
      <c r="F4633" s="3" t="n">
        <v>0</v>
      </c>
      <c r="G4633" s="3">
        <f>F4633-E4633</f>
        <v/>
      </c>
      <c r="H4633" s="4">
        <f>IF(E4633=0,"",F4633/E4633-1)</f>
        <v/>
      </c>
      <c r="I4633" t="inlineStr"/>
    </row>
    <row r="4634">
      <c r="A4634" t="inlineStr">
        <is>
          <t>Plastics &amp; rubber</t>
        </is>
      </c>
      <c r="B4634" t="inlineStr">
        <is>
          <t>40</t>
        </is>
      </c>
      <c r="C4634" t="inlineStr">
        <is>
          <t>40023900</t>
        </is>
      </c>
      <c r="D4634" t="inlineStr">
        <is>
          <t>HALO-ISOBUTENE-ISOPRENE RUBR (CIIR/BIIR)</t>
        </is>
      </c>
      <c r="E4634" s="3" t="n">
        <v>0</v>
      </c>
      <c r="F4634" s="3" t="n">
        <v>0</v>
      </c>
      <c r="G4634" s="3">
        <f>F4634-E4634</f>
        <v/>
      </c>
      <c r="H4634" s="4">
        <f>IF(E4634=0,"",F4634/E4634-1)</f>
        <v/>
      </c>
      <c r="I4634" t="inlineStr"/>
    </row>
    <row r="4635">
      <c r="A4635" t="inlineStr">
        <is>
          <t>Plastics &amp; rubber</t>
        </is>
      </c>
      <c r="B4635" t="inlineStr">
        <is>
          <t>40</t>
        </is>
      </c>
      <c r="C4635" t="inlineStr">
        <is>
          <t>40051000</t>
        </is>
      </c>
      <c r="D4635" t="inlineStr">
        <is>
          <t>RUBR COMPOUNDED WTH CRBN BLACKS/SILICA</t>
        </is>
      </c>
      <c r="E4635" s="3" t="n">
        <v>0.22</v>
      </c>
      <c r="F4635" s="3" t="n">
        <v>0</v>
      </c>
      <c r="G4635" s="3">
        <f>F4635-E4635</f>
        <v/>
      </c>
      <c r="H4635" s="4">
        <f>IF(E4635=0,"",F4635/E4635-1)</f>
        <v/>
      </c>
      <c r="I4635" t="inlineStr"/>
    </row>
    <row r="4636">
      <c r="A4636" t="inlineStr">
        <is>
          <t>Plastics &amp; rubber</t>
        </is>
      </c>
      <c r="B4636" t="inlineStr">
        <is>
          <t>40</t>
        </is>
      </c>
      <c r="C4636" t="inlineStr">
        <is>
          <t>40052010</t>
        </is>
      </c>
      <c r="D4636" t="inlineStr">
        <is>
          <t>CAN SEALING COMPOUND</t>
        </is>
      </c>
      <c r="E4636" s="3" t="n">
        <v>0</v>
      </c>
      <c r="F4636" s="3" t="n">
        <v>0</v>
      </c>
      <c r="G4636" s="3">
        <f>F4636-E4636</f>
        <v/>
      </c>
      <c r="H4636" s="4">
        <f>IF(E4636=0,"",F4636/E4636-1)</f>
        <v/>
      </c>
      <c r="I4636" t="inlineStr"/>
    </row>
    <row r="4637">
      <c r="A4637" t="inlineStr">
        <is>
          <t>Plastics &amp; rubber</t>
        </is>
      </c>
      <c r="B4637" t="inlineStr">
        <is>
          <t>40</t>
        </is>
      </c>
      <c r="C4637" t="inlineStr">
        <is>
          <t>40052090</t>
        </is>
      </c>
      <c r="D4637" t="inlineStr">
        <is>
          <t>OTHERS-OF-SOLUTIONS; DISPRSNS OTHR THN THOSE OF SUBHEADING NO. 400510</t>
        </is>
      </c>
      <c r="E4637" s="3" t="n">
        <v>0</v>
      </c>
      <c r="F4637" s="3" t="n">
        <v>0</v>
      </c>
      <c r="G4637" s="3">
        <f>F4637-E4637</f>
        <v/>
      </c>
      <c r="H4637" s="4">
        <f>IF(E4637=0,"",F4637/E4637-1)</f>
        <v/>
      </c>
      <c r="I4637" t="inlineStr"/>
    </row>
    <row r="4638">
      <c r="A4638" t="inlineStr">
        <is>
          <t>Plastics &amp; rubber</t>
        </is>
      </c>
      <c r="B4638" t="inlineStr">
        <is>
          <t>40</t>
        </is>
      </c>
      <c r="C4638" t="inlineStr">
        <is>
          <t>40070020</t>
        </is>
      </c>
      <c r="D4638" t="inlineStr">
        <is>
          <t>CORD OF VULCNSE RUBR, NOT COVRED ELSEWHERE</t>
        </is>
      </c>
      <c r="E4638" s="3" t="n">
        <v>0</v>
      </c>
      <c r="F4638" s="3" t="n">
        <v>0</v>
      </c>
      <c r="G4638" s="3">
        <f>F4638-E4638</f>
        <v/>
      </c>
      <c r="H4638" s="4">
        <f>IF(E4638=0,"",F4638/E4638-1)</f>
        <v/>
      </c>
      <c r="I4638" t="inlineStr"/>
    </row>
    <row r="4639">
      <c r="A4639" t="inlineStr">
        <is>
          <t>Plastics &amp; rubber</t>
        </is>
      </c>
      <c r="B4639" t="inlineStr">
        <is>
          <t>40</t>
        </is>
      </c>
      <c r="C4639" t="inlineStr">
        <is>
          <t>40082110</t>
        </is>
      </c>
      <c r="D4639" t="inlineStr">
        <is>
          <t>PLTS,SHTS,STRIPS OF NON-CELLULAR RUBR USEDIN MANUF OF SOLE/HEEL/COMBINED FOR FOOT WEAR</t>
        </is>
      </c>
      <c r="E4639" s="3" t="n">
        <v>0</v>
      </c>
      <c r="F4639" s="3" t="n">
        <v>0</v>
      </c>
      <c r="G4639" s="3">
        <f>F4639-E4639</f>
        <v/>
      </c>
      <c r="H4639" s="4">
        <f>IF(E4639=0,"",F4639/E4639-1)</f>
        <v/>
      </c>
      <c r="I4639" t="inlineStr"/>
    </row>
    <row r="4640">
      <c r="A4640" t="inlineStr">
        <is>
          <t>Plastics &amp; rubber</t>
        </is>
      </c>
      <c r="B4640" t="inlineStr">
        <is>
          <t>40</t>
        </is>
      </c>
      <c r="C4640" t="inlineStr">
        <is>
          <t>40082930</t>
        </is>
      </c>
      <c r="D4640" t="inlineStr">
        <is>
          <t>LATEX FOAM SPONGE OF OTHER NON-CELLULAR RUBR</t>
        </is>
      </c>
      <c r="E4640" s="3" t="n">
        <v>0.01</v>
      </c>
      <c r="F4640" s="3" t="n">
        <v>0</v>
      </c>
      <c r="G4640" s="3">
        <f>F4640-E4640</f>
        <v/>
      </c>
      <c r="H4640" s="4">
        <f>IF(E4640=0,"",F4640/E4640-1)</f>
        <v/>
      </c>
      <c r="I4640" t="inlineStr"/>
    </row>
    <row r="4641">
      <c r="A4641" t="inlineStr">
        <is>
          <t>Plastics &amp; rubber</t>
        </is>
      </c>
      <c r="B4641" t="inlineStr">
        <is>
          <t>40</t>
        </is>
      </c>
      <c r="C4641" t="inlineStr">
        <is>
          <t>40101210</t>
        </is>
      </c>
      <c r="D4641" t="inlineStr">
        <is>
          <t>(CNVYR BLT/BLTNG)RENFRCD WTH TXTL MTRLS WHERE RUBR COMPD CONTENT LESS THAN 25% BY WEIGHT</t>
        </is>
      </c>
      <c r="E4641" s="3" t="n">
        <v>0</v>
      </c>
      <c r="F4641" s="3" t="n">
        <v>0</v>
      </c>
      <c r="G4641" s="3">
        <f>F4641-E4641</f>
        <v/>
      </c>
      <c r="H4641" s="4">
        <f>IF(E4641=0,"",F4641/E4641-1)</f>
        <v/>
      </c>
      <c r="I4641" t="inlineStr"/>
    </row>
    <row r="4642">
      <c r="A4642" t="inlineStr">
        <is>
          <t>Plastics &amp; rubber</t>
        </is>
      </c>
      <c r="B4642" t="inlineStr">
        <is>
          <t>40</t>
        </is>
      </c>
      <c r="C4642" t="inlineStr">
        <is>
          <t>40101910</t>
        </is>
      </c>
      <c r="D4642" t="inlineStr">
        <is>
          <t>OTHER CNVYR BLT/BLTNG WHERE RUBR COMPD CONTENT LESS THAN 25% BY WEIGHT</t>
        </is>
      </c>
      <c r="E4642" s="3" t="n">
        <v>0</v>
      </c>
      <c r="F4642" s="3" t="n">
        <v>0</v>
      </c>
      <c r="G4642" s="3">
        <f>F4642-E4642</f>
        <v/>
      </c>
      <c r="H4642" s="4">
        <f>IF(E4642=0,"",F4642/E4642-1)</f>
        <v/>
      </c>
      <c r="I4642" t="inlineStr"/>
    </row>
    <row r="4643">
      <c r="A4643" t="inlineStr">
        <is>
          <t>Plastics &amp; rubber</t>
        </is>
      </c>
      <c r="B4643" t="inlineStr">
        <is>
          <t>40</t>
        </is>
      </c>
      <c r="C4643" t="inlineStr">
        <is>
          <t>40103210</t>
        </is>
      </c>
      <c r="D4643" t="inlineStr">
        <is>
          <t>ENDLESS TRNSMSN BLT/BLTNG OF V-BLT/OTHER THAN V-RIBBED OF CIRCUM BETWN 60 CM AND 180 CM WHERE RUBY COMPN LESS THAN 25%</t>
        </is>
      </c>
      <c r="E4643" s="3" t="n">
        <v>0</v>
      </c>
      <c r="F4643" s="3" t="n">
        <v>0</v>
      </c>
      <c r="G4643" s="3">
        <f>F4643-E4643</f>
        <v/>
      </c>
      <c r="H4643" s="4">
        <f>IF(E4643=0,"",F4643/E4643-1)</f>
        <v/>
      </c>
      <c r="I4643" t="inlineStr"/>
    </row>
    <row r="4644">
      <c r="A4644" t="inlineStr">
        <is>
          <t>Plastics &amp; rubber</t>
        </is>
      </c>
      <c r="B4644" t="inlineStr">
        <is>
          <t>40</t>
        </is>
      </c>
      <c r="C4644" t="inlineStr">
        <is>
          <t>40103490</t>
        </is>
      </c>
      <c r="D4644" t="inlineStr">
        <is>
          <t>ENDLESS TRNSMSN BLT/BLTNGS OF V-BLT OTHER THAN V-RIBBED OF CIRCUM BETWN 180 CM AND 240CM WHERE RUBY COMPD MORE THAN 2</t>
        </is>
      </c>
      <c r="E4644" s="3" t="n">
        <v>0.05</v>
      </c>
      <c r="F4644" s="3" t="n">
        <v>0</v>
      </c>
      <c r="G4644" s="3">
        <f>F4644-E4644</f>
        <v/>
      </c>
      <c r="H4644" s="4">
        <f>IF(E4644=0,"",F4644/E4644-1)</f>
        <v/>
      </c>
      <c r="I4644" t="inlineStr"/>
    </row>
    <row r="4645">
      <c r="A4645" t="inlineStr">
        <is>
          <t>Plastics &amp; rubber</t>
        </is>
      </c>
      <c r="B4645" t="inlineStr">
        <is>
          <t>40</t>
        </is>
      </c>
      <c r="C4645" t="inlineStr">
        <is>
          <t>40103690</t>
        </is>
      </c>
      <c r="D4645" t="inlineStr">
        <is>
          <t>ENDLESS CYNCHRONOUS BLTS,OF A CIRCUMFRNCE BTWN 150CM AND 198CM WHERE RUBY COMPD MORE THAN 25% BY WT.</t>
        </is>
      </c>
      <c r="E4645" s="3" t="n">
        <v>0</v>
      </c>
      <c r="F4645" s="3" t="n">
        <v>0</v>
      </c>
      <c r="G4645" s="3">
        <f>F4645-E4645</f>
        <v/>
      </c>
      <c r="H4645" s="4">
        <f>IF(E4645=0,"",F4645/E4645-1)</f>
        <v/>
      </c>
      <c r="I4645" t="inlineStr"/>
    </row>
    <row r="4646">
      <c r="A4646" t="inlineStr">
        <is>
          <t>Plastics &amp; rubber</t>
        </is>
      </c>
      <c r="B4646" t="inlineStr">
        <is>
          <t>40</t>
        </is>
      </c>
      <c r="C4646" t="inlineStr">
        <is>
          <t>40103911</t>
        </is>
      </c>
      <c r="D4646" t="inlineStr">
        <is>
          <t>ENDLESS FLAT BLTS OF VULCANISED RUBR WHERE RUBR COMPD LESS THAN 25% BY WT.</t>
        </is>
      </c>
      <c r="E4646" s="3" t="n">
        <v>0.01</v>
      </c>
      <c r="F4646" s="3" t="n">
        <v>0</v>
      </c>
      <c r="G4646" s="3">
        <f>F4646-E4646</f>
        <v/>
      </c>
      <c r="H4646" s="4">
        <f>IF(E4646=0,"",F4646/E4646-1)</f>
        <v/>
      </c>
      <c r="I4646" t="inlineStr"/>
    </row>
    <row r="4647">
      <c r="A4647" t="inlineStr">
        <is>
          <t>Plastics &amp; rubber</t>
        </is>
      </c>
      <c r="B4647" t="inlineStr">
        <is>
          <t>40</t>
        </is>
      </c>
      <c r="C4647" t="inlineStr">
        <is>
          <t>40103912</t>
        </is>
      </c>
      <c r="D4647" t="inlineStr">
        <is>
          <t>PLY BLTNG OF VULCANISED RUBY WHERE RUBY COMPD LESS THAN 25% BY WT.</t>
        </is>
      </c>
      <c r="E4647" s="3" t="n">
        <v>0</v>
      </c>
      <c r="F4647" s="3" t="n">
        <v>0</v>
      </c>
      <c r="G4647" s="3">
        <f>F4647-E4647</f>
        <v/>
      </c>
      <c r="H4647" s="4">
        <f>IF(E4647=0,"",F4647/E4647-1)</f>
        <v/>
      </c>
      <c r="I4647" t="inlineStr"/>
    </row>
    <row r="4648">
      <c r="A4648" t="inlineStr">
        <is>
          <t>Plastics &amp; rubber</t>
        </is>
      </c>
      <c r="B4648" t="inlineStr">
        <is>
          <t>40</t>
        </is>
      </c>
      <c r="C4648" t="inlineStr">
        <is>
          <t>40103991</t>
        </is>
      </c>
      <c r="D4648" t="inlineStr">
        <is>
          <t>ENDLESS FLAT BELT</t>
        </is>
      </c>
      <c r="E4648" s="3" t="n">
        <v>0.03</v>
      </c>
      <c r="F4648" s="3" t="n">
        <v>0</v>
      </c>
      <c r="G4648" s="3">
        <f>F4648-E4648</f>
        <v/>
      </c>
      <c r="H4648" s="4">
        <f>IF(E4648=0,"",F4648/E4648-1)</f>
        <v/>
      </c>
      <c r="I4648" t="inlineStr"/>
    </row>
    <row r="4649">
      <c r="A4649" t="inlineStr">
        <is>
          <t>Plastics &amp; rubber</t>
        </is>
      </c>
      <c r="B4649" t="inlineStr">
        <is>
          <t>40</t>
        </is>
      </c>
      <c r="C4649" t="inlineStr">
        <is>
          <t>40129030</t>
        </is>
      </c>
      <c r="D4649" t="inlineStr">
        <is>
          <t>TYRE WITH METALLIC FRAMEWORK</t>
        </is>
      </c>
      <c r="E4649" s="3" t="n">
        <v>0.45</v>
      </c>
      <c r="F4649" s="3" t="n">
        <v>0</v>
      </c>
      <c r="G4649" s="3">
        <f>F4649-E4649</f>
        <v/>
      </c>
      <c r="H4649" s="4">
        <f>IF(E4649=0,"",F4649/E4649-1)</f>
        <v/>
      </c>
      <c r="I4649" t="inlineStr"/>
    </row>
    <row r="4650">
      <c r="A4650" t="inlineStr">
        <is>
          <t>Plastics &amp; rubber</t>
        </is>
      </c>
      <c r="B4650" t="inlineStr">
        <is>
          <t>40</t>
        </is>
      </c>
      <c r="C4650" t="inlineStr">
        <is>
          <t>40139020</t>
        </is>
      </c>
      <c r="D4650" t="inlineStr">
        <is>
          <t>INNER TUBES FOR MOTOR CYCLES</t>
        </is>
      </c>
      <c r="E4650" s="3" t="n">
        <v>0</v>
      </c>
      <c r="F4650" s="3" t="n">
        <v>0</v>
      </c>
      <c r="G4650" s="3">
        <f>F4650-E4650</f>
        <v/>
      </c>
      <c r="H4650" s="4">
        <f>IF(E4650=0,"",F4650/E4650-1)</f>
        <v/>
      </c>
      <c r="I4650" t="inlineStr"/>
    </row>
    <row r="4651">
      <c r="A4651" t="inlineStr">
        <is>
          <t>Plastics &amp; rubber</t>
        </is>
      </c>
      <c r="B4651" t="inlineStr">
        <is>
          <t>40</t>
        </is>
      </c>
      <c r="C4651" t="inlineStr">
        <is>
          <t>40149010</t>
        </is>
      </c>
      <c r="D4651" t="inlineStr">
        <is>
          <t>HOT WATER BOTTLES</t>
        </is>
      </c>
      <c r="E4651" s="3" t="n">
        <v>0.02</v>
      </c>
      <c r="F4651" s="3" t="n">
        <v>0</v>
      </c>
      <c r="G4651" s="3">
        <f>F4651-E4651</f>
        <v/>
      </c>
      <c r="H4651" s="4">
        <f>IF(E4651=0,"",F4651/E4651-1)</f>
        <v/>
      </c>
      <c r="I4651" t="inlineStr"/>
    </row>
    <row r="4652">
      <c r="A4652" t="inlineStr">
        <is>
          <t>Plastics &amp; rubber</t>
        </is>
      </c>
      <c r="B4652" t="inlineStr">
        <is>
          <t>40</t>
        </is>
      </c>
      <c r="C4652" t="inlineStr">
        <is>
          <t>40149020</t>
        </is>
      </c>
      <c r="D4652" t="inlineStr">
        <is>
          <t>ICE BAGS</t>
        </is>
      </c>
      <c r="E4652" s="3" t="n">
        <v>0</v>
      </c>
      <c r="F4652" s="3" t="n">
        <v>0</v>
      </c>
      <c r="G4652" s="3">
        <f>F4652-E4652</f>
        <v/>
      </c>
      <c r="H4652" s="4">
        <f>IF(E4652=0,"",F4652/E4652-1)</f>
        <v/>
      </c>
      <c r="I4652" t="inlineStr"/>
    </row>
    <row r="4653">
      <c r="A4653" t="inlineStr">
        <is>
          <t>Plastics &amp; rubber</t>
        </is>
      </c>
      <c r="B4653" t="inlineStr">
        <is>
          <t>40</t>
        </is>
      </c>
      <c r="C4653" t="inlineStr">
        <is>
          <t>40149030</t>
        </is>
      </c>
      <c r="D4653" t="inlineStr">
        <is>
          <t>FEEDING BOTTLE NIPPLE</t>
        </is>
      </c>
      <c r="E4653" s="3" t="n">
        <v>0.18</v>
      </c>
      <c r="F4653" s="3" t="n">
        <v>0</v>
      </c>
      <c r="G4653" s="3">
        <f>F4653-E4653</f>
        <v/>
      </c>
      <c r="H4653" s="4">
        <f>IF(E4653=0,"",F4653/E4653-1)</f>
        <v/>
      </c>
      <c r="I4653" t="inlineStr"/>
    </row>
    <row r="4654">
      <c r="A4654" t="inlineStr">
        <is>
          <t>Plastics &amp; rubber</t>
        </is>
      </c>
      <c r="B4654" t="inlineStr">
        <is>
          <t>40</t>
        </is>
      </c>
      <c r="C4654" t="inlineStr">
        <is>
          <t>40159010</t>
        </is>
      </c>
      <c r="D4654" t="inlineStr">
        <is>
          <t>RUBBER APRON</t>
        </is>
      </c>
      <c r="E4654" s="3" t="n">
        <v>0</v>
      </c>
      <c r="F4654" s="3" t="n">
        <v>0</v>
      </c>
      <c r="G4654" s="3">
        <f>F4654-E4654</f>
        <v/>
      </c>
      <c r="H4654" s="4">
        <f>IF(E4654=0,"",F4654/E4654-1)</f>
        <v/>
      </c>
      <c r="I4654" t="inlineStr"/>
    </row>
    <row r="4655">
      <c r="A4655" t="inlineStr">
        <is>
          <t>Plastics &amp; rubber</t>
        </is>
      </c>
      <c r="B4655" t="inlineStr">
        <is>
          <t>40</t>
        </is>
      </c>
      <c r="C4655" t="inlineStr">
        <is>
          <t>40159020</t>
        </is>
      </c>
      <c r="D4655" t="inlineStr">
        <is>
          <t>LABELS</t>
        </is>
      </c>
      <c r="E4655" s="3" t="n">
        <v>0.02</v>
      </c>
      <c r="F4655" s="3" t="n">
        <v>0</v>
      </c>
      <c r="G4655" s="3">
        <f>F4655-E4655</f>
        <v/>
      </c>
      <c r="H4655" s="4">
        <f>IF(E4655=0,"",F4655/E4655-1)</f>
        <v/>
      </c>
      <c r="I4655" t="inlineStr"/>
    </row>
    <row r="4656">
      <c r="A4656" t="inlineStr">
        <is>
          <t>Plastics &amp; rubber</t>
        </is>
      </c>
      <c r="B4656" t="inlineStr">
        <is>
          <t>40</t>
        </is>
      </c>
      <c r="C4656" t="inlineStr">
        <is>
          <t>40169360</t>
        </is>
      </c>
      <c r="D4656" t="inlineStr">
        <is>
          <t>PLUGS</t>
        </is>
      </c>
      <c r="E4656" s="3" t="n">
        <v>0</v>
      </c>
      <c r="F4656" s="3" t="n">
        <v>0</v>
      </c>
      <c r="G4656" s="3">
        <f>F4656-E4656</f>
        <v/>
      </c>
      <c r="H4656" s="4">
        <f>IF(E4656=0,"",F4656/E4656-1)</f>
        <v/>
      </c>
      <c r="I4656" t="inlineStr"/>
    </row>
    <row r="4657">
      <c r="A4657" t="inlineStr">
        <is>
          <t>Plastics &amp; rubber</t>
        </is>
      </c>
      <c r="B4657" t="inlineStr">
        <is>
          <t>40</t>
        </is>
      </c>
      <c r="C4657" t="inlineStr">
        <is>
          <t>40169910</t>
        </is>
      </c>
      <c r="D4657" t="inlineStr">
        <is>
          <t>RUBBER COTS FOR TEXTILE INDUSTRY</t>
        </is>
      </c>
      <c r="E4657" s="3" t="n">
        <v>0</v>
      </c>
      <c r="F4657" s="3" t="n">
        <v>0</v>
      </c>
      <c r="G4657" s="3">
        <f>F4657-E4657</f>
        <v/>
      </c>
      <c r="H4657" s="4">
        <f>IF(E4657=0,"",F4657/E4657-1)</f>
        <v/>
      </c>
      <c r="I4657" t="inlineStr"/>
    </row>
    <row r="4658">
      <c r="A4658" t="inlineStr">
        <is>
          <t>Plastics &amp; rubber</t>
        </is>
      </c>
      <c r="B4658" t="inlineStr">
        <is>
          <t>40</t>
        </is>
      </c>
      <c r="C4658" t="inlineStr">
        <is>
          <t>40169920</t>
        </is>
      </c>
      <c r="D4658" t="inlineStr">
        <is>
          <t>RUBBER BANDS</t>
        </is>
      </c>
      <c r="E4658" s="3" t="n">
        <v>0.02</v>
      </c>
      <c r="F4658" s="3" t="n">
        <v>0</v>
      </c>
      <c r="G4658" s="3">
        <f>F4658-E4658</f>
        <v/>
      </c>
      <c r="H4658" s="4">
        <f>IF(E4658=0,"",F4658/E4658-1)</f>
        <v/>
      </c>
      <c r="I4658" t="inlineStr"/>
    </row>
    <row r="4659">
      <c r="A4659" t="inlineStr">
        <is>
          <t>Plastics &amp; rubber</t>
        </is>
      </c>
      <c r="B4659" t="inlineStr">
        <is>
          <t>40</t>
        </is>
      </c>
      <c r="C4659" t="inlineStr">
        <is>
          <t>40169930</t>
        </is>
      </c>
      <c r="D4659" t="inlineStr">
        <is>
          <t>RUBBER THREAD</t>
        </is>
      </c>
      <c r="E4659" s="3" t="n">
        <v>0</v>
      </c>
      <c r="F4659" s="3" t="n">
        <v>0</v>
      </c>
      <c r="G4659" s="3">
        <f>F4659-E4659</f>
        <v/>
      </c>
      <c r="H4659" s="4">
        <f>IF(E4659=0,"",F4659/E4659-1)</f>
        <v/>
      </c>
      <c r="I4659" t="inlineStr"/>
    </row>
    <row r="4660">
      <c r="A4660" t="inlineStr">
        <is>
          <t>Plastics &amp; rubber</t>
        </is>
      </c>
      <c r="B4660" t="inlineStr">
        <is>
          <t>40</t>
        </is>
      </c>
      <c r="C4660" t="inlineStr">
        <is>
          <t>40169970</t>
        </is>
      </c>
      <c r="D4660" t="inlineStr">
        <is>
          <t>EAR PLUG</t>
        </is>
      </c>
      <c r="E4660" s="3" t="n">
        <v>0</v>
      </c>
      <c r="F4660" s="3" t="n">
        <v>0</v>
      </c>
      <c r="G4660" s="3">
        <f>F4660-E4660</f>
        <v/>
      </c>
      <c r="H4660" s="4">
        <f>IF(E4660=0,"",F4660/E4660-1)</f>
        <v/>
      </c>
      <c r="I4660" t="inlineStr"/>
    </row>
    <row r="4661">
      <c r="A4661" t="inlineStr">
        <is>
          <t>Plastics &amp; rubber</t>
        </is>
      </c>
      <c r="B4661" t="inlineStr">
        <is>
          <t>40</t>
        </is>
      </c>
      <c r="C4661" t="inlineStr">
        <is>
          <t>40169980</t>
        </is>
      </c>
      <c r="D4661" t="inlineStr">
        <is>
          <t>STOPPERS</t>
        </is>
      </c>
      <c r="E4661" s="3" t="n">
        <v>0</v>
      </c>
      <c r="F4661" s="3" t="n">
        <v>0</v>
      </c>
      <c r="G4661" s="3">
        <f>F4661-E4661</f>
        <v/>
      </c>
      <c r="H4661" s="4">
        <f>IF(E4661=0,"",F4661/E4661-1)</f>
        <v/>
      </c>
      <c r="I4661" t="inlineStr"/>
    </row>
    <row r="4662">
      <c r="A4662" s="6" t="inlineStr">
        <is>
          <t>Processed food &amp; beverages  —  238 lines</t>
        </is>
      </c>
      <c r="B4662" s="6" t="inlineStr"/>
      <c r="C4662" s="6" t="inlineStr"/>
      <c r="D4662" s="6" t="inlineStr"/>
      <c r="E4662" s="7" t="n">
        <v>812.46</v>
      </c>
      <c r="F4662" s="7" t="n">
        <v>734.33</v>
      </c>
      <c r="G4662" s="7" t="n">
        <v>-78.13</v>
      </c>
      <c r="H4662" s="8" t="n">
        <v>-0.09616473426384098</v>
      </c>
      <c r="I4662" s="6" t="inlineStr"/>
    </row>
    <row r="4663">
      <c r="A4663" t="inlineStr">
        <is>
          <t>Processed food &amp; beverages</t>
        </is>
      </c>
      <c r="B4663" t="inlineStr">
        <is>
          <t>23</t>
        </is>
      </c>
      <c r="C4663" t="inlineStr">
        <is>
          <t>23040030</t>
        </is>
      </c>
      <c r="D4663" t="inlineStr">
        <is>
          <t>MEAL OF SOYABEAN,SOLVENT EXTRACTED (DEFATTED) VARIETY</t>
        </is>
      </c>
      <c r="E4663" s="3" t="n">
        <v>152.6</v>
      </c>
      <c r="F4663" s="3" t="n">
        <v>78.86</v>
      </c>
      <c r="G4663" s="3">
        <f>F4663-E4663</f>
        <v/>
      </c>
      <c r="H4663" s="4">
        <f>IF(E4663=0,"",F4663/E4663-1)</f>
        <v/>
      </c>
      <c r="I4663" t="inlineStr"/>
    </row>
    <row r="4664">
      <c r="A4664" t="inlineStr">
        <is>
          <t>Processed food &amp; beverages</t>
        </is>
      </c>
      <c r="B4664" t="inlineStr">
        <is>
          <t>19</t>
        </is>
      </c>
      <c r="C4664" t="inlineStr">
        <is>
          <t>19053100</t>
        </is>
      </c>
      <c r="D4664" t="inlineStr">
        <is>
          <t>SWEET BISCUITS</t>
        </is>
      </c>
      <c r="E4664" s="3" t="n">
        <v>43.71</v>
      </c>
      <c r="F4664" s="3" t="n">
        <v>68.22</v>
      </c>
      <c r="G4664" s="3">
        <f>F4664-E4664</f>
        <v/>
      </c>
      <c r="H4664" s="4">
        <f>IF(E4664=0,"",F4664/E4664-1)</f>
        <v/>
      </c>
      <c r="I4664" t="inlineStr"/>
    </row>
    <row r="4665">
      <c r="A4665" t="inlineStr">
        <is>
          <t>Processed food &amp; beverages</t>
        </is>
      </c>
      <c r="B4665" t="inlineStr">
        <is>
          <t>21</t>
        </is>
      </c>
      <c r="C4665" t="inlineStr">
        <is>
          <t>21039090</t>
        </is>
      </c>
      <c r="D4665" t="inlineStr">
        <is>
          <t>OTHR MIXED CONDIMENTS AND MIXED SEASONINGS</t>
        </is>
      </c>
      <c r="E4665" s="3" t="n">
        <v>24.14</v>
      </c>
      <c r="F4665" s="3" t="n">
        <v>60.49</v>
      </c>
      <c r="G4665" s="3">
        <f>F4665-E4665</f>
        <v/>
      </c>
      <c r="H4665" s="4">
        <f>IF(E4665=0,"",F4665/E4665-1)</f>
        <v/>
      </c>
      <c r="I4665" t="inlineStr"/>
    </row>
    <row r="4666">
      <c r="A4666" t="inlineStr">
        <is>
          <t>Processed food &amp; beverages</t>
        </is>
      </c>
      <c r="B4666" t="inlineStr">
        <is>
          <t>23</t>
        </is>
      </c>
      <c r="C4666" t="inlineStr">
        <is>
          <t>23099031</t>
        </is>
      </c>
      <c r="D4666" t="inlineStr">
        <is>
          <t>PRAWN AND SHRIMPS FEED</t>
        </is>
      </c>
      <c r="E4666" s="3" t="n">
        <v>42.21</v>
      </c>
      <c r="F4666" s="3" t="n">
        <v>55.22</v>
      </c>
      <c r="G4666" s="3">
        <f>F4666-E4666</f>
        <v/>
      </c>
      <c r="H4666" s="4">
        <f>IF(E4666=0,"",F4666/E4666-1)</f>
        <v/>
      </c>
      <c r="I4666" t="inlineStr"/>
    </row>
    <row r="4667">
      <c r="A4667" t="inlineStr">
        <is>
          <t>Processed food &amp; beverages</t>
        </is>
      </c>
      <c r="B4667" t="inlineStr">
        <is>
          <t>20</t>
        </is>
      </c>
      <c r="C4667" t="inlineStr">
        <is>
          <t>20041000</t>
        </is>
      </c>
      <c r="D4667" t="inlineStr">
        <is>
          <t>POTATOES PRPD/PRSVD, FRZN</t>
        </is>
      </c>
      <c r="E4667" s="3" t="n">
        <v>9.75</v>
      </c>
      <c r="F4667" s="3" t="n">
        <v>52.21</v>
      </c>
      <c r="G4667" s="3">
        <f>F4667-E4667</f>
        <v/>
      </c>
      <c r="H4667" s="4">
        <f>IF(E4667=0,"",F4667/E4667-1)</f>
        <v/>
      </c>
      <c r="I4667" t="inlineStr"/>
    </row>
    <row r="4668">
      <c r="A4668" t="inlineStr">
        <is>
          <t>Processed food &amp; beverages</t>
        </is>
      </c>
      <c r="B4668" t="inlineStr">
        <is>
          <t>15</t>
        </is>
      </c>
      <c r="C4668" t="inlineStr">
        <is>
          <t>15042010</t>
        </is>
      </c>
      <c r="D4668" t="inlineStr">
        <is>
          <t>FISH BODY OIL (E.G. SARDINE OIL)</t>
        </is>
      </c>
      <c r="E4668" s="3" t="n">
        <v>68.98999999999999</v>
      </c>
      <c r="F4668" s="3" t="n">
        <v>49.14</v>
      </c>
      <c r="G4668" s="3">
        <f>F4668-E4668</f>
        <v/>
      </c>
      <c r="H4668" s="4">
        <f>IF(E4668=0,"",F4668/E4668-1)</f>
        <v/>
      </c>
      <c r="I4668" t="inlineStr"/>
    </row>
    <row r="4669">
      <c r="A4669" t="inlineStr">
        <is>
          <t>Processed food &amp; beverages</t>
        </is>
      </c>
      <c r="B4669" t="inlineStr">
        <is>
          <t>17</t>
        </is>
      </c>
      <c r="C4669" t="inlineStr">
        <is>
          <t>17019990</t>
        </is>
      </c>
      <c r="D4669" t="inlineStr">
        <is>
          <t>OTHR REFND SUGAR INCLUDNG CENTRIFUGAL SUGR</t>
        </is>
      </c>
      <c r="E4669" s="3" t="n">
        <v>51.51</v>
      </c>
      <c r="F4669" s="3" t="n">
        <v>28.48</v>
      </c>
      <c r="G4669" s="3">
        <f>F4669-E4669</f>
        <v/>
      </c>
      <c r="H4669" s="4">
        <f>IF(E4669=0,"",F4669/E4669-1)</f>
        <v/>
      </c>
      <c r="I4669" t="inlineStr"/>
    </row>
    <row r="4670">
      <c r="A4670" t="inlineStr">
        <is>
          <t>Processed food &amp; beverages</t>
        </is>
      </c>
      <c r="B4670" t="inlineStr">
        <is>
          <t>21</t>
        </is>
      </c>
      <c r="C4670" t="inlineStr">
        <is>
          <t>21069099</t>
        </is>
      </c>
      <c r="D4670" t="inlineStr">
        <is>
          <t>OTHER FOOD PREPARATION NES</t>
        </is>
      </c>
      <c r="E4670" s="3" t="n">
        <v>21.85</v>
      </c>
      <c r="F4670" s="3" t="n">
        <v>26.87</v>
      </c>
      <c r="G4670" s="3">
        <f>F4670-E4670</f>
        <v/>
      </c>
      <c r="H4670" s="4">
        <f>IF(E4670=0,"",F4670/E4670-1)</f>
        <v/>
      </c>
      <c r="I4670" t="inlineStr"/>
    </row>
    <row r="4671">
      <c r="A4671" t="inlineStr">
        <is>
          <t>Processed food &amp; beverages</t>
        </is>
      </c>
      <c r="B4671" t="inlineStr">
        <is>
          <t>22</t>
        </is>
      </c>
      <c r="C4671" t="inlineStr">
        <is>
          <t>22083011</t>
        </is>
      </c>
      <c r="D4671" t="inlineStr">
        <is>
          <t>BOURBON WHISKEY IN CONTAINERS HOLDING 2 LTR OR LESS</t>
        </is>
      </c>
      <c r="E4671" s="3" t="n">
        <v>17.02</v>
      </c>
      <c r="F4671" s="3" t="n">
        <v>16.18</v>
      </c>
      <c r="G4671" s="3">
        <f>F4671-E4671</f>
        <v/>
      </c>
      <c r="H4671" s="4">
        <f>IF(E4671=0,"",F4671/E4671-1)</f>
        <v/>
      </c>
      <c r="I4671" t="inlineStr"/>
    </row>
    <row r="4672">
      <c r="A4672" t="inlineStr">
        <is>
          <t>Processed food &amp; beverages</t>
        </is>
      </c>
      <c r="B4672" t="inlineStr">
        <is>
          <t>15</t>
        </is>
      </c>
      <c r="C4672" t="inlineStr">
        <is>
          <t>15121910</t>
        </is>
      </c>
      <c r="D4672" t="inlineStr">
        <is>
          <t>SUNFLOWER OIL EDIBLE GRADE</t>
        </is>
      </c>
      <c r="E4672" s="3" t="n">
        <v>0.49</v>
      </c>
      <c r="F4672" s="3" t="n">
        <v>11.96</v>
      </c>
      <c r="G4672" s="3">
        <f>F4672-E4672</f>
        <v/>
      </c>
      <c r="H4672" s="4">
        <f>IF(E4672=0,"",F4672/E4672-1)</f>
        <v/>
      </c>
      <c r="I4672" t="inlineStr"/>
    </row>
    <row r="4673">
      <c r="A4673" t="inlineStr">
        <is>
          <t>Processed food &amp; beverages</t>
        </is>
      </c>
      <c r="B4673" t="inlineStr">
        <is>
          <t>17</t>
        </is>
      </c>
      <c r="C4673" t="inlineStr">
        <is>
          <t>17049090</t>
        </is>
      </c>
      <c r="D4673" t="inlineStr">
        <is>
          <t>OTHER SUGAR CONFECTIONERY, NOT CONTAINING COCOA</t>
        </is>
      </c>
      <c r="E4673" s="3" t="n">
        <v>9.359999999999999</v>
      </c>
      <c r="F4673" s="3" t="n">
        <v>11.88</v>
      </c>
      <c r="G4673" s="3">
        <f>F4673-E4673</f>
        <v/>
      </c>
      <c r="H4673" s="4">
        <f>IF(E4673=0,"",F4673/E4673-1)</f>
        <v/>
      </c>
      <c r="I4673" t="inlineStr"/>
    </row>
    <row r="4674">
      <c r="A4674" t="inlineStr">
        <is>
          <t>Processed food &amp; beverages</t>
        </is>
      </c>
      <c r="B4674" t="inlineStr">
        <is>
          <t>23</t>
        </is>
      </c>
      <c r="C4674" t="inlineStr">
        <is>
          <t>23012011</t>
        </is>
      </c>
      <c r="D4674" t="inlineStr">
        <is>
          <t>POWDER FISH MEAL,UNFT FOR HUMAN CONSUMPTION</t>
        </is>
      </c>
      <c r="E4674" s="3" t="n">
        <v>31.92</v>
      </c>
      <c r="F4674" s="3" t="n">
        <v>11.77</v>
      </c>
      <c r="G4674" s="3">
        <f>F4674-E4674</f>
        <v/>
      </c>
      <c r="H4674" s="4">
        <f>IF(E4674=0,"",F4674/E4674-1)</f>
        <v/>
      </c>
      <c r="I4674" t="inlineStr"/>
    </row>
    <row r="4675">
      <c r="A4675" t="inlineStr">
        <is>
          <t>Processed food &amp; beverages</t>
        </is>
      </c>
      <c r="B4675" t="inlineStr">
        <is>
          <t>22</t>
        </is>
      </c>
      <c r="C4675" t="inlineStr">
        <is>
          <t>22083019</t>
        </is>
      </c>
      <c r="D4675" t="inlineStr">
        <is>
          <t>OTHER WHISKEY IN CONTAINERS HOLDING 2 LTR OR LESS</t>
        </is>
      </c>
      <c r="E4675" s="3" t="n">
        <v>14.89</v>
      </c>
      <c r="F4675" s="3" t="n">
        <v>11.25</v>
      </c>
      <c r="G4675" s="3">
        <f>F4675-E4675</f>
        <v/>
      </c>
      <c r="H4675" s="4">
        <f>IF(E4675=0,"",F4675/E4675-1)</f>
        <v/>
      </c>
      <c r="I4675" t="inlineStr"/>
    </row>
    <row r="4676">
      <c r="A4676" t="inlineStr">
        <is>
          <t>Processed food &amp; beverages</t>
        </is>
      </c>
      <c r="B4676" t="inlineStr">
        <is>
          <t>15</t>
        </is>
      </c>
      <c r="C4676" t="inlineStr">
        <is>
          <t>15131900</t>
        </is>
      </c>
      <c r="D4676" t="inlineStr">
        <is>
          <t>COCONUT (COPRA) REFINED OIL AND FRACTIONS</t>
        </is>
      </c>
      <c r="E4676" s="3" t="n">
        <v>12.19</v>
      </c>
      <c r="F4676" s="3" t="n">
        <v>11.15</v>
      </c>
      <c r="G4676" s="3">
        <f>F4676-E4676</f>
        <v/>
      </c>
      <c r="H4676" s="4">
        <f>IF(E4676=0,"",F4676/E4676-1)</f>
        <v/>
      </c>
      <c r="I4676" t="inlineStr"/>
    </row>
    <row r="4677">
      <c r="A4677" t="inlineStr">
        <is>
          <t>Processed food &amp; beverages</t>
        </is>
      </c>
      <c r="B4677" t="inlineStr">
        <is>
          <t>20</t>
        </is>
      </c>
      <c r="C4677" t="inlineStr">
        <is>
          <t>20089999</t>
        </is>
      </c>
      <c r="D4677" t="inlineStr">
        <is>
          <t>OTHER FRUITS PREPARED/PRESERVED</t>
        </is>
      </c>
      <c r="E4677" s="3" t="n">
        <v>8.92</v>
      </c>
      <c r="F4677" s="3" t="n">
        <v>10.95</v>
      </c>
      <c r="G4677" s="3">
        <f>F4677-E4677</f>
        <v/>
      </c>
      <c r="H4677" s="4">
        <f>IF(E4677=0,"",F4677/E4677-1)</f>
        <v/>
      </c>
      <c r="I4677" t="inlineStr"/>
    </row>
    <row r="4678">
      <c r="A4678" t="inlineStr">
        <is>
          <t>Processed food &amp; beverages</t>
        </is>
      </c>
      <c r="B4678" t="inlineStr">
        <is>
          <t>17</t>
        </is>
      </c>
      <c r="C4678" t="inlineStr">
        <is>
          <t>17049020</t>
        </is>
      </c>
      <c r="D4678" t="inlineStr">
        <is>
          <t>BOILED SWEETS W/N FILLED</t>
        </is>
      </c>
      <c r="E4678" s="3" t="n">
        <v>7.47</v>
      </c>
      <c r="F4678" s="3" t="n">
        <v>9.82</v>
      </c>
      <c r="G4678" s="3">
        <f>F4678-E4678</f>
        <v/>
      </c>
      <c r="H4678" s="4">
        <f>IF(E4678=0,"",F4678/E4678-1)</f>
        <v/>
      </c>
      <c r="I4678" t="inlineStr"/>
    </row>
    <row r="4679">
      <c r="A4679" t="inlineStr">
        <is>
          <t>Processed food &amp; beverages</t>
        </is>
      </c>
      <c r="B4679" t="inlineStr">
        <is>
          <t>21</t>
        </is>
      </c>
      <c r="C4679" t="inlineStr">
        <is>
          <t>21039040</t>
        </is>
      </c>
      <c r="D4679" t="inlineStr">
        <is>
          <t>MCXED, CONDIMENTS AND MIXED SEASONING</t>
        </is>
      </c>
      <c r="E4679" s="3" t="n">
        <v>31.43</v>
      </c>
      <c r="F4679" s="3" t="n">
        <v>9.43</v>
      </c>
      <c r="G4679" s="3">
        <f>F4679-E4679</f>
        <v/>
      </c>
      <c r="H4679" s="4">
        <f>IF(E4679=0,"",F4679/E4679-1)</f>
        <v/>
      </c>
      <c r="I4679" t="inlineStr"/>
    </row>
    <row r="4680">
      <c r="A4680" t="inlineStr">
        <is>
          <t>Processed food &amp; beverages</t>
        </is>
      </c>
      <c r="B4680" t="inlineStr">
        <is>
          <t>22</t>
        </is>
      </c>
      <c r="C4680" t="inlineStr">
        <is>
          <t>22083099</t>
        </is>
      </c>
      <c r="D4680" t="inlineStr">
        <is>
          <t>OTHER WHISKEY IN CONTAINERS HOLDING MORE THAN 2 LTR</t>
        </is>
      </c>
      <c r="E4680" s="3" t="n">
        <v>14.14</v>
      </c>
      <c r="F4680" s="3" t="n">
        <v>9.41</v>
      </c>
      <c r="G4680" s="3">
        <f>F4680-E4680</f>
        <v/>
      </c>
      <c r="H4680" s="4">
        <f>IF(E4680=0,"",F4680/E4680-1)</f>
        <v/>
      </c>
      <c r="I4680" t="inlineStr"/>
    </row>
    <row r="4681">
      <c r="A4681" t="inlineStr">
        <is>
          <t>Processed food &amp; beverages</t>
        </is>
      </c>
      <c r="B4681" t="inlineStr">
        <is>
          <t>20</t>
        </is>
      </c>
      <c r="C4681" t="inlineStr">
        <is>
          <t>20019000</t>
        </is>
      </c>
      <c r="D4681" t="inlineStr">
        <is>
          <t>OTHER EDIBLE PARTS OF PLANTS PREPARED OR PRESERVED BY VINEGAR/ACETIC ACID</t>
        </is>
      </c>
      <c r="E4681" s="3" t="n">
        <v>10.54</v>
      </c>
      <c r="F4681" s="3" t="n">
        <v>9.19</v>
      </c>
      <c r="G4681" s="3">
        <f>F4681-E4681</f>
        <v/>
      </c>
      <c r="H4681" s="4">
        <f>IF(E4681=0,"",F4681/E4681-1)</f>
        <v/>
      </c>
      <c r="I4681" t="inlineStr"/>
    </row>
    <row r="4682">
      <c r="A4682" t="inlineStr">
        <is>
          <t>Processed food &amp; beverages</t>
        </is>
      </c>
      <c r="B4682" t="inlineStr">
        <is>
          <t>23</t>
        </is>
      </c>
      <c r="C4682" t="inlineStr">
        <is>
          <t>23099090</t>
        </is>
      </c>
      <c r="D4682" t="inlineStr">
        <is>
          <t>OTHER PREPARATIONS OF ANIMAL FEEDING</t>
        </is>
      </c>
      <c r="E4682" s="3" t="n">
        <v>12.64</v>
      </c>
      <c r="F4682" s="3" t="n">
        <v>8.67</v>
      </c>
      <c r="G4682" s="3">
        <f>F4682-E4682</f>
        <v/>
      </c>
      <c r="H4682" s="4">
        <f>IF(E4682=0,"",F4682/E4682-1)</f>
        <v/>
      </c>
      <c r="I4682" t="inlineStr"/>
    </row>
    <row r="4683">
      <c r="A4683" t="inlineStr">
        <is>
          <t>Processed food &amp; beverages</t>
        </is>
      </c>
      <c r="B4683" t="inlineStr">
        <is>
          <t>19</t>
        </is>
      </c>
      <c r="C4683" t="inlineStr">
        <is>
          <t>19059090</t>
        </is>
      </c>
      <c r="D4683" t="inlineStr">
        <is>
          <t>OTHR BREAD,PSTRY,RICE PAPR AND SMLR PRODUCTS</t>
        </is>
      </c>
      <c r="E4683" s="3" t="n">
        <v>11.23</v>
      </c>
      <c r="F4683" s="3" t="n">
        <v>8.460000000000001</v>
      </c>
      <c r="G4683" s="3">
        <f>F4683-E4683</f>
        <v/>
      </c>
      <c r="H4683" s="4">
        <f>IF(E4683=0,"",F4683/E4683-1)</f>
        <v/>
      </c>
      <c r="I4683" t="inlineStr"/>
    </row>
    <row r="4684">
      <c r="A4684" t="inlineStr">
        <is>
          <t>Processed food &amp; beverages</t>
        </is>
      </c>
      <c r="B4684" t="inlineStr">
        <is>
          <t>20</t>
        </is>
      </c>
      <c r="C4684" t="inlineStr">
        <is>
          <t>20081940</t>
        </is>
      </c>
      <c r="D4684" t="inlineStr">
        <is>
          <t>*OTHER ROASTED AND FRIED VEGETABLE PRODUCTS</t>
        </is>
      </c>
      <c r="E4684" s="3" t="n">
        <v>7.15</v>
      </c>
      <c r="F4684" s="3" t="n">
        <v>7.89</v>
      </c>
      <c r="G4684" s="3">
        <f>F4684-E4684</f>
        <v/>
      </c>
      <c r="H4684" s="4">
        <f>IF(E4684=0,"",F4684/E4684-1)</f>
        <v/>
      </c>
      <c r="I4684" t="inlineStr"/>
    </row>
    <row r="4685">
      <c r="A4685" t="inlineStr">
        <is>
          <t>Processed food &amp; beverages</t>
        </is>
      </c>
      <c r="B4685" t="inlineStr">
        <is>
          <t>19</t>
        </is>
      </c>
      <c r="C4685" t="inlineStr">
        <is>
          <t>19054000</t>
        </is>
      </c>
      <c r="D4685" t="inlineStr">
        <is>
          <t>RUSKS TOASTED BREAD AND SMLR TOASTED PRDCTS</t>
        </is>
      </c>
      <c r="E4685" s="3" t="n">
        <v>7.32</v>
      </c>
      <c r="F4685" s="3" t="n">
        <v>6.59</v>
      </c>
      <c r="G4685" s="3">
        <f>F4685-E4685</f>
        <v/>
      </c>
      <c r="H4685" s="4">
        <f>IF(E4685=0,"",F4685/E4685-1)</f>
        <v/>
      </c>
      <c r="I4685" t="inlineStr"/>
    </row>
    <row r="4686">
      <c r="A4686" t="inlineStr">
        <is>
          <t>Processed food &amp; beverages</t>
        </is>
      </c>
      <c r="B4686" t="inlineStr">
        <is>
          <t>18</t>
        </is>
      </c>
      <c r="C4686" t="inlineStr">
        <is>
          <t>18069010</t>
        </is>
      </c>
      <c r="D4686" t="inlineStr">
        <is>
          <t>CHOCOLATE AND CHOCOLATE PRDCTS</t>
        </is>
      </c>
      <c r="E4686" s="3" t="n">
        <v>1.24</v>
      </c>
      <c r="F4686" s="3" t="n">
        <v>6.34</v>
      </c>
      <c r="G4686" s="3">
        <f>F4686-E4686</f>
        <v/>
      </c>
      <c r="H4686" s="4">
        <f>IF(E4686=0,"",F4686/E4686-1)</f>
        <v/>
      </c>
      <c r="I4686" t="inlineStr"/>
    </row>
    <row r="4687">
      <c r="A4687" t="inlineStr">
        <is>
          <t>Processed food &amp; beverages</t>
        </is>
      </c>
      <c r="B4687" t="inlineStr">
        <is>
          <t>19</t>
        </is>
      </c>
      <c r="C4687" t="inlineStr">
        <is>
          <t>19041010</t>
        </is>
      </c>
      <c r="D4687" t="inlineStr">
        <is>
          <t>CORN FLAKES</t>
        </is>
      </c>
      <c r="E4687" s="3" t="n">
        <v>3.12</v>
      </c>
      <c r="F4687" s="3" t="n">
        <v>5.8</v>
      </c>
      <c r="G4687" s="3">
        <f>F4687-E4687</f>
        <v/>
      </c>
      <c r="H4687" s="4">
        <f>IF(E4687=0,"",F4687/E4687-1)</f>
        <v/>
      </c>
      <c r="I4687" t="inlineStr"/>
    </row>
    <row r="4688">
      <c r="A4688" t="inlineStr">
        <is>
          <t>Processed food &amp; beverages</t>
        </is>
      </c>
      <c r="B4688" t="inlineStr">
        <is>
          <t>22</t>
        </is>
      </c>
      <c r="C4688" t="inlineStr">
        <is>
          <t>22083013</t>
        </is>
      </c>
      <c r="D4688" t="inlineStr">
        <is>
          <t>BLENDED WHISKEY IN CONTAINERS HOLDING 2 LITRE OR LESS</t>
        </is>
      </c>
      <c r="E4688" s="3" t="n">
        <v>1.91</v>
      </c>
      <c r="F4688" s="3" t="n">
        <v>5.56</v>
      </c>
      <c r="G4688" s="3">
        <f>F4688-E4688</f>
        <v/>
      </c>
      <c r="H4688" s="4">
        <f>IF(E4688=0,"",F4688/E4688-1)</f>
        <v/>
      </c>
      <c r="I4688" t="inlineStr"/>
    </row>
    <row r="4689">
      <c r="A4689" t="inlineStr">
        <is>
          <t>Processed food &amp; beverages</t>
        </is>
      </c>
      <c r="B4689" t="inlineStr">
        <is>
          <t>24</t>
        </is>
      </c>
      <c r="C4689" t="inlineStr">
        <is>
          <t>24012090</t>
        </is>
      </c>
      <c r="D4689" t="inlineStr">
        <is>
          <t>OTHR TOBACCO PRTLY OR WHOLLY STEMD/STRIPPD</t>
        </is>
      </c>
      <c r="E4689" s="3" t="n">
        <v>4.86</v>
      </c>
      <c r="F4689" s="3" t="n">
        <v>5.36</v>
      </c>
      <c r="G4689" s="3">
        <f>F4689-E4689</f>
        <v/>
      </c>
      <c r="H4689" s="4">
        <f>IF(E4689=0,"",F4689/E4689-1)</f>
        <v/>
      </c>
      <c r="I4689" t="inlineStr"/>
    </row>
    <row r="4690">
      <c r="A4690" t="inlineStr">
        <is>
          <t>Processed food &amp; beverages</t>
        </is>
      </c>
      <c r="B4690" t="inlineStr">
        <is>
          <t>21</t>
        </is>
      </c>
      <c r="C4690" t="inlineStr">
        <is>
          <t>21061000</t>
        </is>
      </c>
      <c r="D4690" t="inlineStr">
        <is>
          <t>PROTEIN CONCNTRTS AND TEXTURED PROTN SBSTNCS</t>
        </is>
      </c>
      <c r="E4690" s="3" t="n">
        <v>3.72</v>
      </c>
      <c r="F4690" s="3" t="n">
        <v>5.28</v>
      </c>
      <c r="G4690" s="3">
        <f>F4690-E4690</f>
        <v/>
      </c>
      <c r="H4690" s="4">
        <f>IF(E4690=0,"",F4690/E4690-1)</f>
        <v/>
      </c>
      <c r="I4690" t="inlineStr"/>
    </row>
    <row r="4691">
      <c r="A4691" t="inlineStr">
        <is>
          <t>Processed food &amp; beverages</t>
        </is>
      </c>
      <c r="B4691" t="inlineStr">
        <is>
          <t>19</t>
        </is>
      </c>
      <c r="C4691" t="inlineStr">
        <is>
          <t>19059030</t>
        </is>
      </c>
      <c r="D4691" t="inlineStr">
        <is>
          <t>EXTRUDED OR EXPANDED PRODUCTS,SAVOUR , OR SALTED</t>
        </is>
      </c>
      <c r="E4691" s="3" t="n">
        <v>2.81</v>
      </c>
      <c r="F4691" s="3" t="n">
        <v>4.5</v>
      </c>
      <c r="G4691" s="3">
        <f>F4691-E4691</f>
        <v/>
      </c>
      <c r="H4691" s="4">
        <f>IF(E4691=0,"",F4691/E4691-1)</f>
        <v/>
      </c>
      <c r="I4691" t="inlineStr"/>
    </row>
    <row r="4692">
      <c r="A4692" t="inlineStr">
        <is>
          <t>Processed food &amp; beverages</t>
        </is>
      </c>
      <c r="B4692" t="inlineStr">
        <is>
          <t>22</t>
        </is>
      </c>
      <c r="C4692" t="inlineStr">
        <is>
          <t>22086000</t>
        </is>
      </c>
      <c r="D4692" t="inlineStr">
        <is>
          <t>VODKA</t>
        </is>
      </c>
      <c r="E4692" s="3" t="n">
        <v>3.07</v>
      </c>
      <c r="F4692" s="3" t="n">
        <v>3.96</v>
      </c>
      <c r="G4692" s="3">
        <f>F4692-E4692</f>
        <v/>
      </c>
      <c r="H4692" s="4">
        <f>IF(E4692=0,"",F4692/E4692-1)</f>
        <v/>
      </c>
      <c r="I4692" t="inlineStr"/>
    </row>
    <row r="4693">
      <c r="A4693" t="inlineStr">
        <is>
          <t>Processed food &amp; beverages</t>
        </is>
      </c>
      <c r="B4693" t="inlineStr">
        <is>
          <t>17</t>
        </is>
      </c>
      <c r="C4693" t="inlineStr">
        <is>
          <t>17011310</t>
        </is>
      </c>
      <c r="D4693" t="inlineStr">
        <is>
          <t>CANE JAGGERY</t>
        </is>
      </c>
      <c r="E4693" s="3" t="n">
        <v>3.07</v>
      </c>
      <c r="F4693" s="3" t="n">
        <v>3.81</v>
      </c>
      <c r="G4693" s="3">
        <f>F4693-E4693</f>
        <v/>
      </c>
      <c r="H4693" s="4">
        <f>IF(E4693=0,"",F4693/E4693-1)</f>
        <v/>
      </c>
      <c r="I4693" t="inlineStr"/>
    </row>
    <row r="4694">
      <c r="A4694" t="inlineStr">
        <is>
          <t>Processed food &amp; beverages</t>
        </is>
      </c>
      <c r="B4694" t="inlineStr">
        <is>
          <t>19</t>
        </is>
      </c>
      <c r="C4694" t="inlineStr">
        <is>
          <t>19053290</t>
        </is>
      </c>
      <c r="D4694" t="inlineStr">
        <is>
          <t>OTHER WAFFLES AND WAFERS</t>
        </is>
      </c>
      <c r="E4694" s="3" t="n">
        <v>1.38</v>
      </c>
      <c r="F4694" s="3" t="n">
        <v>3.74</v>
      </c>
      <c r="G4694" s="3">
        <f>F4694-E4694</f>
        <v/>
      </c>
      <c r="H4694" s="4">
        <f>IF(E4694=0,"",F4694/E4694-1)</f>
        <v/>
      </c>
      <c r="I4694" t="inlineStr"/>
    </row>
    <row r="4695">
      <c r="A4695" t="inlineStr">
        <is>
          <t>Processed food &amp; beverages</t>
        </is>
      </c>
      <c r="B4695" t="inlineStr">
        <is>
          <t>19</t>
        </is>
      </c>
      <c r="C4695" t="inlineStr">
        <is>
          <t>19059040</t>
        </is>
      </c>
      <c r="D4695" t="inlineStr">
        <is>
          <t>PAPAD</t>
        </is>
      </c>
      <c r="E4695" s="3" t="n">
        <v>4.56</v>
      </c>
      <c r="F4695" s="3" t="n">
        <v>3.55</v>
      </c>
      <c r="G4695" s="3">
        <f>F4695-E4695</f>
        <v/>
      </c>
      <c r="H4695" s="4">
        <f>IF(E4695=0,"",F4695/E4695-1)</f>
        <v/>
      </c>
      <c r="I4695" t="inlineStr"/>
    </row>
    <row r="4696">
      <c r="A4696" t="inlineStr">
        <is>
          <t>Processed food &amp; beverages</t>
        </is>
      </c>
      <c r="B4696" t="inlineStr">
        <is>
          <t>17</t>
        </is>
      </c>
      <c r="C4696" t="inlineStr">
        <is>
          <t>17011490</t>
        </is>
      </c>
      <c r="D4696" t="inlineStr">
        <is>
          <t>OTHER CANE SUGAR EXCL. THOSE SPECIFIED IN NOTE 2</t>
        </is>
      </c>
      <c r="E4696" s="3" t="n">
        <v>12.18</v>
      </c>
      <c r="F4696" s="3" t="n">
        <v>3.54</v>
      </c>
      <c r="G4696" s="3">
        <f>F4696-E4696</f>
        <v/>
      </c>
      <c r="H4696" s="4">
        <f>IF(E4696=0,"",F4696/E4696-1)</f>
        <v/>
      </c>
      <c r="I4696" t="inlineStr"/>
    </row>
    <row r="4697">
      <c r="A4697" t="inlineStr">
        <is>
          <t>Processed food &amp; beverages</t>
        </is>
      </c>
      <c r="B4697" t="inlineStr">
        <is>
          <t>15</t>
        </is>
      </c>
      <c r="C4697" t="inlineStr">
        <is>
          <t>15155091</t>
        </is>
      </c>
      <c r="D4697" t="inlineStr">
        <is>
          <t>SESAME OILAND ITS FRACTIONS OTHER THN CRUDEOF EDBLE GRADE</t>
        </is>
      </c>
      <c r="E4697" s="3" t="n">
        <v>3.94</v>
      </c>
      <c r="F4697" s="3" t="n">
        <v>3.43</v>
      </c>
      <c r="G4697" s="3">
        <f>F4697-E4697</f>
        <v/>
      </c>
      <c r="H4697" s="4">
        <f>IF(E4697=0,"",F4697/E4697-1)</f>
        <v/>
      </c>
      <c r="I4697" t="inlineStr"/>
    </row>
    <row r="4698">
      <c r="A4698" t="inlineStr">
        <is>
          <t>Processed food &amp; beverages</t>
        </is>
      </c>
      <c r="B4698" t="inlineStr">
        <is>
          <t>19</t>
        </is>
      </c>
      <c r="C4698" t="inlineStr">
        <is>
          <t>19041090</t>
        </is>
      </c>
      <c r="D4698" t="inlineStr">
        <is>
          <t>OTHER PAPD FOODS OBTND BY SWLNO/RSTNG OF CRLS</t>
        </is>
      </c>
      <c r="E4698" s="3" t="n">
        <v>4.12</v>
      </c>
      <c r="F4698" s="3" t="n">
        <v>3.4</v>
      </c>
      <c r="G4698" s="3">
        <f>F4698-E4698</f>
        <v/>
      </c>
      <c r="H4698" s="4">
        <f>IF(E4698=0,"",F4698/E4698-1)</f>
        <v/>
      </c>
      <c r="I4698" t="inlineStr"/>
    </row>
    <row r="4699">
      <c r="A4699" t="inlineStr">
        <is>
          <t>Processed food &amp; beverages</t>
        </is>
      </c>
      <c r="B4699" t="inlineStr">
        <is>
          <t>19</t>
        </is>
      </c>
      <c r="C4699" t="inlineStr">
        <is>
          <t>19021900</t>
        </is>
      </c>
      <c r="D4699" t="inlineStr">
        <is>
          <t>OTHR UNCOOKD NOTSTFD/OTHRWSE PRPD PSTA</t>
        </is>
      </c>
      <c r="E4699" s="3" t="n">
        <v>0.39</v>
      </c>
      <c r="F4699" s="3" t="n">
        <v>3.15</v>
      </c>
      <c r="G4699" s="3">
        <f>F4699-E4699</f>
        <v/>
      </c>
      <c r="H4699" s="4">
        <f>IF(E4699=0,"",F4699/E4699-1)</f>
        <v/>
      </c>
      <c r="I4699" t="inlineStr"/>
    </row>
    <row r="4700">
      <c r="A4700" t="inlineStr">
        <is>
          <t>Processed food &amp; beverages</t>
        </is>
      </c>
      <c r="B4700" t="inlineStr">
        <is>
          <t>15</t>
        </is>
      </c>
      <c r="C4700" t="inlineStr">
        <is>
          <t>15180039</t>
        </is>
      </c>
      <c r="D4700" t="inlineStr">
        <is>
          <t>OTHR VEG OIL AND ITS FATS EXCLDEDBLE GRADE</t>
        </is>
      </c>
      <c r="E4700" s="3" t="n">
        <v>0.1</v>
      </c>
      <c r="F4700" s="3" t="n">
        <v>3.06</v>
      </c>
      <c r="G4700" s="3">
        <f>F4700-E4700</f>
        <v/>
      </c>
      <c r="H4700" s="4">
        <f>IF(E4700=0,"",F4700/E4700-1)</f>
        <v/>
      </c>
      <c r="I4700" t="inlineStr"/>
    </row>
    <row r="4701">
      <c r="A4701" t="inlineStr">
        <is>
          <t>Processed food &amp; beverages</t>
        </is>
      </c>
      <c r="B4701" t="inlineStr">
        <is>
          <t>20</t>
        </is>
      </c>
      <c r="C4701" t="inlineStr">
        <is>
          <t>20079990</t>
        </is>
      </c>
      <c r="D4701" t="inlineStr">
        <is>
          <t>JAMS JELLIES MRMLDS ETC OF OTHER FRUITS</t>
        </is>
      </c>
      <c r="E4701" s="3" t="n">
        <v>1.65</v>
      </c>
      <c r="F4701" s="3" t="n">
        <v>2.92</v>
      </c>
      <c r="G4701" s="3">
        <f>F4701-E4701</f>
        <v/>
      </c>
      <c r="H4701" s="4">
        <f>IF(E4701=0,"",F4701/E4701-1)</f>
        <v/>
      </c>
      <c r="I4701" t="inlineStr"/>
    </row>
    <row r="4702">
      <c r="A4702" t="inlineStr">
        <is>
          <t>Processed food &amp; beverages</t>
        </is>
      </c>
      <c r="B4702" t="inlineStr">
        <is>
          <t>20</t>
        </is>
      </c>
      <c r="C4702" t="inlineStr">
        <is>
          <t>20081100</t>
        </is>
      </c>
      <c r="D4702" t="inlineStr">
        <is>
          <t>GROUND NUTS , PRPD/PRSVD</t>
        </is>
      </c>
      <c r="E4702" s="3" t="n">
        <v>2.67</v>
      </c>
      <c r="F4702" s="3" t="n">
        <v>2.9</v>
      </c>
      <c r="G4702" s="3">
        <f>F4702-E4702</f>
        <v/>
      </c>
      <c r="H4702" s="4">
        <f>IF(E4702=0,"",F4702/E4702-1)</f>
        <v/>
      </c>
      <c r="I4702" t="inlineStr"/>
    </row>
    <row r="4703">
      <c r="A4703" t="inlineStr">
        <is>
          <t>Processed food &amp; beverages</t>
        </is>
      </c>
      <c r="B4703" t="inlineStr">
        <is>
          <t>15</t>
        </is>
      </c>
      <c r="C4703" t="inlineStr">
        <is>
          <t>15071000</t>
        </is>
      </c>
      <c r="D4703" t="inlineStr">
        <is>
          <t>SOYA BEAN CRUDE OIL W/N DEGUMMED</t>
        </is>
      </c>
      <c r="E4703" s="3" t="n">
        <v>3.08</v>
      </c>
      <c r="F4703" s="3" t="n">
        <v>2.87</v>
      </c>
      <c r="G4703" s="3">
        <f>F4703-E4703</f>
        <v/>
      </c>
      <c r="H4703" s="4">
        <f>IF(E4703=0,"",F4703/E4703-1)</f>
        <v/>
      </c>
      <c r="I4703" t="inlineStr"/>
    </row>
    <row r="4704">
      <c r="A4704" t="inlineStr">
        <is>
          <t>Processed food &amp; beverages</t>
        </is>
      </c>
      <c r="B4704" t="inlineStr">
        <is>
          <t>18</t>
        </is>
      </c>
      <c r="C4704" t="inlineStr">
        <is>
          <t>18069020</t>
        </is>
      </c>
      <c r="D4704" t="inlineStr">
        <is>
          <t>SUGAR CNFCTNRY CNTNG COCOA</t>
        </is>
      </c>
      <c r="E4704" s="3" t="n">
        <v>2.18</v>
      </c>
      <c r="F4704" s="3" t="n">
        <v>2.79</v>
      </c>
      <c r="G4704" s="3">
        <f>F4704-E4704</f>
        <v/>
      </c>
      <c r="H4704" s="4">
        <f>IF(E4704=0,"",F4704/E4704-1)</f>
        <v/>
      </c>
      <c r="I4704" t="inlineStr"/>
    </row>
    <row r="4705">
      <c r="A4705" t="inlineStr">
        <is>
          <t>Processed food &amp; beverages</t>
        </is>
      </c>
      <c r="B4705" t="inlineStr">
        <is>
          <t>20</t>
        </is>
      </c>
      <c r="C4705" t="inlineStr">
        <is>
          <t>20089919</t>
        </is>
      </c>
      <c r="D4705" t="inlineStr">
        <is>
          <t>OTHER FRUIT SQUASH</t>
        </is>
      </c>
      <c r="E4705" s="3" t="n">
        <v>1.34</v>
      </c>
      <c r="F4705" s="3" t="n">
        <v>2.7</v>
      </c>
      <c r="G4705" s="3">
        <f>F4705-E4705</f>
        <v/>
      </c>
      <c r="H4705" s="4">
        <f>IF(E4705=0,"",F4705/E4705-1)</f>
        <v/>
      </c>
      <c r="I4705" t="inlineStr"/>
    </row>
    <row r="4706">
      <c r="A4706" t="inlineStr">
        <is>
          <t>Processed food &amp; beverages</t>
        </is>
      </c>
      <c r="B4706" t="inlineStr">
        <is>
          <t>17</t>
        </is>
      </c>
      <c r="C4706" t="inlineStr">
        <is>
          <t>17011410</t>
        </is>
      </c>
      <c r="D4706" t="inlineStr">
        <is>
          <t>CANE JAGGERY</t>
        </is>
      </c>
      <c r="E4706" s="3" t="n">
        <v>2.62</v>
      </c>
      <c r="F4706" s="3" t="n">
        <v>2.48</v>
      </c>
      <c r="G4706" s="3">
        <f>F4706-E4706</f>
        <v/>
      </c>
      <c r="H4706" s="4">
        <f>IF(E4706=0,"",F4706/E4706-1)</f>
        <v/>
      </c>
      <c r="I4706" t="inlineStr"/>
    </row>
    <row r="4707">
      <c r="A4707" t="inlineStr">
        <is>
          <t>Processed food &amp; beverages</t>
        </is>
      </c>
      <c r="B4707" t="inlineStr">
        <is>
          <t>22</t>
        </is>
      </c>
      <c r="C4707" t="inlineStr">
        <is>
          <t>22030000</t>
        </is>
      </c>
      <c r="D4707" t="inlineStr">
        <is>
          <t>BEER MADE FROM MALT</t>
        </is>
      </c>
      <c r="E4707" s="3" t="n">
        <v>1.85</v>
      </c>
      <c r="F4707" s="3" t="n">
        <v>2.41</v>
      </c>
      <c r="G4707" s="3">
        <f>F4707-E4707</f>
        <v/>
      </c>
      <c r="H4707" s="4">
        <f>IF(E4707=0,"",F4707/E4707-1)</f>
        <v/>
      </c>
      <c r="I4707" t="inlineStr"/>
    </row>
    <row r="4708">
      <c r="A4708" t="inlineStr">
        <is>
          <t>Processed food &amp; beverages</t>
        </is>
      </c>
      <c r="B4708" t="inlineStr">
        <is>
          <t>23</t>
        </is>
      </c>
      <c r="C4708" t="inlineStr">
        <is>
          <t>23099010</t>
        </is>
      </c>
      <c r="D4708" t="inlineStr">
        <is>
          <t>COMPOUNDED ANIMAL FEED</t>
        </is>
      </c>
      <c r="E4708" s="3" t="n">
        <v>1.81</v>
      </c>
      <c r="F4708" s="3" t="n">
        <v>2.41</v>
      </c>
      <c r="G4708" s="3">
        <f>F4708-E4708</f>
        <v/>
      </c>
      <c r="H4708" s="4">
        <f>IF(E4708=0,"",F4708/E4708-1)</f>
        <v/>
      </c>
      <c r="I4708" t="inlineStr"/>
    </row>
    <row r="4709">
      <c r="A4709" t="inlineStr">
        <is>
          <t>Processed food &amp; beverages</t>
        </is>
      </c>
      <c r="B4709" t="inlineStr">
        <is>
          <t>19</t>
        </is>
      </c>
      <c r="C4709" t="inlineStr">
        <is>
          <t>19030000</t>
        </is>
      </c>
      <c r="D4709" t="inlineStr">
        <is>
          <t>TPIOCA AND SUBSTTUTES PRPD FRM STRCH IN FORMOF FLKS GRAINS PERLS SFTNGS/IN SMLR FORMS</t>
        </is>
      </c>
      <c r="E4709" s="3" t="n">
        <v>2.26</v>
      </c>
      <c r="F4709" s="3" t="n">
        <v>2.38</v>
      </c>
      <c r="G4709" s="3">
        <f>F4709-E4709</f>
        <v/>
      </c>
      <c r="H4709" s="4">
        <f>IF(E4709=0,"",F4709/E4709-1)</f>
        <v/>
      </c>
      <c r="I4709" t="inlineStr"/>
    </row>
    <row r="4710">
      <c r="A4710" t="inlineStr">
        <is>
          <t>Processed food &amp; beverages</t>
        </is>
      </c>
      <c r="B4710" t="inlineStr">
        <is>
          <t>23</t>
        </is>
      </c>
      <c r="C4710" t="inlineStr">
        <is>
          <t>23033000</t>
        </is>
      </c>
      <c r="D4710" t="inlineStr">
        <is>
          <t>BREWING OR DISTILLING DREGS AND WASTE</t>
        </is>
      </c>
      <c r="E4710" s="3" t="n">
        <v>0.51</v>
      </c>
      <c r="F4710" s="3" t="n">
        <v>2.28</v>
      </c>
      <c r="G4710" s="3">
        <f>F4710-E4710</f>
        <v/>
      </c>
      <c r="H4710" s="4">
        <f>IF(E4710=0,"",F4710/E4710-1)</f>
        <v/>
      </c>
      <c r="I4710" t="inlineStr"/>
    </row>
    <row r="4711">
      <c r="A4711" t="inlineStr">
        <is>
          <t>Processed food &amp; beverages</t>
        </is>
      </c>
      <c r="B4711" t="inlineStr">
        <is>
          <t>17</t>
        </is>
      </c>
      <c r="C4711" t="inlineStr">
        <is>
          <t>17049030</t>
        </is>
      </c>
      <c r="D4711" t="inlineStr">
        <is>
          <t>TOFFEES,CARAMELS AND SIM SWEETS</t>
        </is>
      </c>
      <c r="E4711" s="3" t="n">
        <v>1.98</v>
      </c>
      <c r="F4711" s="3" t="n">
        <v>2.14</v>
      </c>
      <c r="G4711" s="3">
        <f>F4711-E4711</f>
        <v/>
      </c>
      <c r="H4711" s="4">
        <f>IF(E4711=0,"",F4711/E4711-1)</f>
        <v/>
      </c>
      <c r="I4711" t="inlineStr"/>
    </row>
    <row r="4712">
      <c r="A4712" t="inlineStr">
        <is>
          <t>Processed food &amp; beverages</t>
        </is>
      </c>
      <c r="B4712" t="inlineStr">
        <is>
          <t>19</t>
        </is>
      </c>
      <c r="C4712" t="inlineStr">
        <is>
          <t>19019090</t>
        </is>
      </c>
      <c r="D4712" t="inlineStr">
        <is>
          <t>ALL OTHR PRPN OF FLR MEAL STRCH/MLT EXTRCT</t>
        </is>
      </c>
      <c r="E4712" s="3" t="n">
        <v>5.53</v>
      </c>
      <c r="F4712" s="3" t="n">
        <v>2.08</v>
      </c>
      <c r="G4712" s="3">
        <f>F4712-E4712</f>
        <v/>
      </c>
      <c r="H4712" s="4">
        <f>IF(E4712=0,"",F4712/E4712-1)</f>
        <v/>
      </c>
      <c r="I4712" t="inlineStr"/>
    </row>
    <row r="4713">
      <c r="A4713" t="inlineStr">
        <is>
          <t>Processed food &amp; beverages</t>
        </is>
      </c>
      <c r="B4713" t="inlineStr">
        <is>
          <t>19</t>
        </is>
      </c>
      <c r="C4713" t="inlineStr">
        <is>
          <t>19012000</t>
        </is>
      </c>
      <c r="D4713" t="inlineStr">
        <is>
          <t>MIXES AND DOUGHS FOR THE PREPARATION OF BAKERS WARES OF HEADING NO 1905</t>
        </is>
      </c>
      <c r="E4713" s="3" t="n">
        <v>1.29</v>
      </c>
      <c r="F4713" s="3" t="n">
        <v>2.07</v>
      </c>
      <c r="G4713" s="3">
        <f>F4713-E4713</f>
        <v/>
      </c>
      <c r="H4713" s="4">
        <f>IF(E4713=0,"",F4713/E4713-1)</f>
        <v/>
      </c>
      <c r="I4713" t="inlineStr"/>
    </row>
    <row r="4714">
      <c r="A4714" t="inlineStr">
        <is>
          <t>Processed food &amp; beverages</t>
        </is>
      </c>
      <c r="B4714" t="inlineStr">
        <is>
          <t>21</t>
        </is>
      </c>
      <c r="C4714" t="inlineStr">
        <is>
          <t>21011110</t>
        </is>
      </c>
      <c r="D4714" t="inlineStr">
        <is>
          <t>INSTANT COFFEE FLAVOURED</t>
        </is>
      </c>
      <c r="E4714" s="3" t="n">
        <v>0.51</v>
      </c>
      <c r="F4714" s="3" t="n">
        <v>2.04</v>
      </c>
      <c r="G4714" s="3">
        <f>F4714-E4714</f>
        <v/>
      </c>
      <c r="H4714" s="4">
        <f>IF(E4714=0,"",F4714/E4714-1)</f>
        <v/>
      </c>
      <c r="I4714" t="inlineStr"/>
    </row>
    <row r="4715">
      <c r="A4715" t="inlineStr">
        <is>
          <t>Processed food &amp; beverages</t>
        </is>
      </c>
      <c r="B4715" t="inlineStr">
        <is>
          <t>19</t>
        </is>
      </c>
      <c r="C4715" t="inlineStr">
        <is>
          <t>19053211</t>
        </is>
      </c>
      <c r="D4715" t="inlineStr">
        <is>
          <t>COATED WITH CHOCOLATE OR CONTNG CHOCOLATE</t>
        </is>
      </c>
      <c r="E4715" s="3" t="n">
        <v>2.11</v>
      </c>
      <c r="F4715" s="3" t="n">
        <v>2.03</v>
      </c>
      <c r="G4715" s="3">
        <f>F4715-E4715</f>
        <v/>
      </c>
      <c r="H4715" s="4">
        <f>IF(E4715=0,"",F4715/E4715-1)</f>
        <v/>
      </c>
      <c r="I4715" t="inlineStr"/>
    </row>
    <row r="4716">
      <c r="A4716" t="inlineStr">
        <is>
          <t>Processed food &amp; beverages</t>
        </is>
      </c>
      <c r="B4716" t="inlineStr">
        <is>
          <t>15</t>
        </is>
      </c>
      <c r="C4716" t="inlineStr">
        <is>
          <t>15149120</t>
        </is>
      </c>
      <c r="D4716" t="inlineStr">
        <is>
          <t>CRUDE MUSTARD OIL</t>
        </is>
      </c>
      <c r="E4716" s="3" t="n">
        <v>1.96</v>
      </c>
      <c r="F4716" s="3" t="n">
        <v>1.92</v>
      </c>
      <c r="G4716" s="3">
        <f>F4716-E4716</f>
        <v/>
      </c>
      <c r="H4716" s="4">
        <f>IF(E4716=0,"",F4716/E4716-1)</f>
        <v/>
      </c>
      <c r="I4716" t="inlineStr"/>
    </row>
    <row r="4717">
      <c r="A4717" t="inlineStr">
        <is>
          <t>Processed food &amp; beverages</t>
        </is>
      </c>
      <c r="B4717" t="inlineStr">
        <is>
          <t>17</t>
        </is>
      </c>
      <c r="C4717" t="inlineStr">
        <is>
          <t>17011420</t>
        </is>
      </c>
      <c r="D4717" t="inlineStr">
        <is>
          <t>KHANDSARI SUGAR</t>
        </is>
      </c>
      <c r="E4717" s="3" t="n">
        <v>5.33</v>
      </c>
      <c r="F4717" s="3" t="n">
        <v>1.9</v>
      </c>
      <c r="G4717" s="3">
        <f>F4717-E4717</f>
        <v/>
      </c>
      <c r="H4717" s="4">
        <f>IF(E4717=0,"",F4717/E4717-1)</f>
        <v/>
      </c>
      <c r="I4717" t="inlineStr"/>
    </row>
    <row r="4718">
      <c r="A4718" t="inlineStr">
        <is>
          <t>Processed food &amp; beverages</t>
        </is>
      </c>
      <c r="B4718" t="inlineStr">
        <is>
          <t>20</t>
        </is>
      </c>
      <c r="C4718" t="inlineStr">
        <is>
          <t>20081920</t>
        </is>
      </c>
      <c r="D4718" t="inlineStr">
        <is>
          <t>*OTHER ROASTED NUTS AND SEEDS</t>
        </is>
      </c>
      <c r="E4718" s="3" t="n">
        <v>1.16</v>
      </c>
      <c r="F4718" s="3" t="n">
        <v>1.85</v>
      </c>
      <c r="G4718" s="3">
        <f>F4718-E4718</f>
        <v/>
      </c>
      <c r="H4718" s="4">
        <f>IF(E4718=0,"",F4718/E4718-1)</f>
        <v/>
      </c>
      <c r="I4718" t="inlineStr"/>
    </row>
    <row r="4719">
      <c r="A4719" t="inlineStr">
        <is>
          <t>Processed food &amp; beverages</t>
        </is>
      </c>
      <c r="B4719" t="inlineStr">
        <is>
          <t>21</t>
        </is>
      </c>
      <c r="C4719" t="inlineStr">
        <is>
          <t>21069060</t>
        </is>
      </c>
      <c r="D4719" t="inlineStr">
        <is>
          <t>FOOD FLAVOURING MATERIAL</t>
        </is>
      </c>
      <c r="E4719" s="3" t="n">
        <v>2.53</v>
      </c>
      <c r="F4719" s="3" t="n">
        <v>1.84</v>
      </c>
      <c r="G4719" s="3">
        <f>F4719-E4719</f>
        <v/>
      </c>
      <c r="H4719" s="4">
        <f>IF(E4719=0,"",F4719/E4719-1)</f>
        <v/>
      </c>
      <c r="I4719" t="inlineStr"/>
    </row>
    <row r="4720">
      <c r="A4720" t="inlineStr">
        <is>
          <t>Processed food &amp; beverages</t>
        </is>
      </c>
      <c r="B4720" t="inlineStr">
        <is>
          <t>21</t>
        </is>
      </c>
      <c r="C4720" t="inlineStr">
        <is>
          <t>21039020</t>
        </is>
      </c>
      <c r="D4720" t="inlineStr">
        <is>
          <t>CHILLI SAUCE</t>
        </is>
      </c>
      <c r="E4720" s="3" t="n">
        <v>1.65</v>
      </c>
      <c r="F4720" s="3" t="n">
        <v>1.75</v>
      </c>
      <c r="G4720" s="3">
        <f>F4720-E4720</f>
        <v/>
      </c>
      <c r="H4720" s="4">
        <f>IF(E4720=0,"",F4720/E4720-1)</f>
        <v/>
      </c>
      <c r="I4720" t="inlineStr"/>
    </row>
    <row r="4721">
      <c r="A4721" t="inlineStr">
        <is>
          <t>Processed food &amp; beverages</t>
        </is>
      </c>
      <c r="B4721" t="inlineStr">
        <is>
          <t>20</t>
        </is>
      </c>
      <c r="C4721" t="inlineStr">
        <is>
          <t>20079910</t>
        </is>
      </c>
      <c r="D4721" t="inlineStr">
        <is>
          <t>JAMS JELLIES MRMLDS ETC. OF MANGOE</t>
        </is>
      </c>
      <c r="E4721" s="3" t="n">
        <v>3.39</v>
      </c>
      <c r="F4721" s="3" t="n">
        <v>1.71</v>
      </c>
      <c r="G4721" s="3">
        <f>F4721-E4721</f>
        <v/>
      </c>
      <c r="H4721" s="4">
        <f>IF(E4721=0,"",F4721/E4721-1)</f>
        <v/>
      </c>
      <c r="I4721" t="inlineStr"/>
    </row>
    <row r="4722">
      <c r="A4722" t="inlineStr">
        <is>
          <t>Processed food &amp; beverages</t>
        </is>
      </c>
      <c r="B4722" t="inlineStr">
        <is>
          <t>21</t>
        </is>
      </c>
      <c r="C4722" t="inlineStr">
        <is>
          <t>21011120</t>
        </is>
      </c>
      <c r="D4722" t="inlineStr">
        <is>
          <t>INSTANT COFFEE NOT FLAVOURED</t>
        </is>
      </c>
      <c r="E4722" s="3" t="n">
        <v>0.95</v>
      </c>
      <c r="F4722" s="3" t="n">
        <v>1.45</v>
      </c>
      <c r="G4722" s="3">
        <f>F4722-E4722</f>
        <v/>
      </c>
      <c r="H4722" s="4">
        <f>IF(E4722=0,"",F4722/E4722-1)</f>
        <v/>
      </c>
      <c r="I4722" t="inlineStr"/>
    </row>
    <row r="4723">
      <c r="A4723" t="inlineStr">
        <is>
          <t>Processed food &amp; beverages</t>
        </is>
      </c>
      <c r="B4723" t="inlineStr">
        <is>
          <t>19</t>
        </is>
      </c>
      <c r="C4723" t="inlineStr">
        <is>
          <t>19023090</t>
        </is>
      </c>
      <c r="D4723" t="inlineStr">
        <is>
          <t>OTHER PASTA OTHER THAN DRIED PASTA</t>
        </is>
      </c>
      <c r="E4723" s="3" t="n">
        <v>0.15</v>
      </c>
      <c r="F4723" s="3" t="n">
        <v>1.4</v>
      </c>
      <c r="G4723" s="3">
        <f>F4723-E4723</f>
        <v/>
      </c>
      <c r="H4723" s="4">
        <f>IF(E4723=0,"",F4723/E4723-1)</f>
        <v/>
      </c>
      <c r="I4723" t="inlineStr"/>
    </row>
    <row r="4724">
      <c r="A4724" t="inlineStr">
        <is>
          <t>Processed food &amp; beverages</t>
        </is>
      </c>
      <c r="B4724" t="inlineStr">
        <is>
          <t>15</t>
        </is>
      </c>
      <c r="C4724" t="inlineStr">
        <is>
          <t>15042090</t>
        </is>
      </c>
      <c r="D4724" t="inlineStr">
        <is>
          <t>OTHR FATS AND OILS OTHR THAN LIVER OILS</t>
        </is>
      </c>
      <c r="E4724" s="3" t="n">
        <v>0</v>
      </c>
      <c r="F4724" s="3" t="n">
        <v>1.39</v>
      </c>
      <c r="G4724" s="3">
        <f>F4724-E4724</f>
        <v/>
      </c>
      <c r="H4724" s="4">
        <f>IF(E4724=0,"",F4724/E4724-1)</f>
        <v/>
      </c>
      <c r="I4724" t="inlineStr"/>
    </row>
    <row r="4725">
      <c r="A4725" t="inlineStr">
        <is>
          <t>Processed food &amp; beverages</t>
        </is>
      </c>
      <c r="B4725" t="inlineStr">
        <is>
          <t>17</t>
        </is>
      </c>
      <c r="C4725" t="inlineStr">
        <is>
          <t>17011390</t>
        </is>
      </c>
      <c r="D4725" t="inlineStr">
        <is>
          <t>OTHER CANE SUGAR SPECIFIED IN NOTE 2</t>
        </is>
      </c>
      <c r="E4725" s="3" t="n">
        <v>0.97</v>
      </c>
      <c r="F4725" s="3" t="n">
        <v>1.38</v>
      </c>
      <c r="G4725" s="3">
        <f>F4725-E4725</f>
        <v/>
      </c>
      <c r="H4725" s="4">
        <f>IF(E4725=0,"",F4725/E4725-1)</f>
        <v/>
      </c>
      <c r="I4725" t="inlineStr"/>
    </row>
    <row r="4726">
      <c r="A4726" t="inlineStr">
        <is>
          <t>Processed food &amp; beverages</t>
        </is>
      </c>
      <c r="B4726" t="inlineStr">
        <is>
          <t>20</t>
        </is>
      </c>
      <c r="C4726" t="inlineStr">
        <is>
          <t>20081910</t>
        </is>
      </c>
      <c r="D4726" t="inlineStr">
        <is>
          <t>CASHEW NUT,ROASTED AND/OR SALTED</t>
        </is>
      </c>
      <c r="E4726" s="3" t="n">
        <v>0.06</v>
      </c>
      <c r="F4726" s="3" t="n">
        <v>1.3</v>
      </c>
      <c r="G4726" s="3">
        <f>F4726-E4726</f>
        <v/>
      </c>
      <c r="H4726" s="4">
        <f>IF(E4726=0,"",F4726/E4726-1)</f>
        <v/>
      </c>
      <c r="I4726" t="inlineStr"/>
    </row>
    <row r="4727">
      <c r="A4727" t="inlineStr">
        <is>
          <t>Processed food &amp; beverages</t>
        </is>
      </c>
      <c r="B4727" t="inlineStr">
        <is>
          <t>22</t>
        </is>
      </c>
      <c r="C4727" t="inlineStr">
        <is>
          <t>22082011</t>
        </is>
      </c>
      <c r="D4727" t="inlineStr">
        <is>
          <t>BRANDY IN CONTAINERS HOLDING 2 LTR OR LESS</t>
        </is>
      </c>
      <c r="E4727" s="3" t="n">
        <v>0.88</v>
      </c>
      <c r="F4727" s="3" t="n">
        <v>1.29</v>
      </c>
      <c r="G4727" s="3">
        <f>F4727-E4727</f>
        <v/>
      </c>
      <c r="H4727" s="4">
        <f>IF(E4727=0,"",F4727/E4727-1)</f>
        <v/>
      </c>
      <c r="I4727" t="inlineStr"/>
    </row>
    <row r="4728">
      <c r="A4728" t="inlineStr">
        <is>
          <t>Processed food &amp; beverages</t>
        </is>
      </c>
      <c r="B4728" t="inlineStr">
        <is>
          <t>23</t>
        </is>
      </c>
      <c r="C4728" t="inlineStr">
        <is>
          <t>23091000</t>
        </is>
      </c>
      <c r="D4728" t="inlineStr">
        <is>
          <t>DOG OR CAT FOOD PUT UP FOR RETAIL SALE</t>
        </is>
      </c>
      <c r="E4728" s="3" t="n">
        <v>0.48</v>
      </c>
      <c r="F4728" s="3" t="n">
        <v>1.29</v>
      </c>
      <c r="G4728" s="3">
        <f>F4728-E4728</f>
        <v/>
      </c>
      <c r="H4728" s="4">
        <f>IF(E4728=0,"",F4728/E4728-1)</f>
        <v/>
      </c>
      <c r="I4728" t="inlineStr"/>
    </row>
    <row r="4729">
      <c r="A4729" t="inlineStr">
        <is>
          <t>Processed food &amp; beverages</t>
        </is>
      </c>
      <c r="B4729" t="inlineStr">
        <is>
          <t>17</t>
        </is>
      </c>
      <c r="C4729" t="inlineStr">
        <is>
          <t>17041000</t>
        </is>
      </c>
      <c r="D4729" t="inlineStr">
        <is>
          <t>CHEWING GUM W/N SUGAR COATED</t>
        </is>
      </c>
      <c r="E4729" s="3" t="n">
        <v>0.17</v>
      </c>
      <c r="F4729" s="3" t="n">
        <v>1.28</v>
      </c>
      <c r="G4729" s="3">
        <f>F4729-E4729</f>
        <v/>
      </c>
      <c r="H4729" s="4">
        <f>IF(E4729=0,"",F4729/E4729-1)</f>
        <v/>
      </c>
      <c r="I4729" t="inlineStr"/>
    </row>
    <row r="4730">
      <c r="A4730" t="inlineStr">
        <is>
          <t>Processed food &amp; beverages</t>
        </is>
      </c>
      <c r="B4730" t="inlineStr">
        <is>
          <t>19</t>
        </is>
      </c>
      <c r="C4730" t="inlineStr">
        <is>
          <t>19059020</t>
        </is>
      </c>
      <c r="D4730" t="inlineStr">
        <is>
          <t>BISCUITS NES OR INCLUDED</t>
        </is>
      </c>
      <c r="E4730" s="3" t="n">
        <v>2.47</v>
      </c>
      <c r="F4730" s="3" t="n">
        <v>1.25</v>
      </c>
      <c r="G4730" s="3">
        <f>F4730-E4730</f>
        <v/>
      </c>
      <c r="H4730" s="4">
        <f>IF(E4730=0,"",F4730/E4730-1)</f>
        <v/>
      </c>
      <c r="I4730" t="inlineStr"/>
    </row>
    <row r="4731">
      <c r="A4731" t="inlineStr">
        <is>
          <t>Processed food &amp; beverages</t>
        </is>
      </c>
      <c r="B4731" t="inlineStr">
        <is>
          <t>20</t>
        </is>
      </c>
      <c r="C4731" t="inlineStr">
        <is>
          <t>20011000</t>
        </is>
      </c>
      <c r="D4731" t="inlineStr">
        <is>
          <t>CUCMBRS AND GHRKNS PRPD/PRSVD BY ACETIC ACID</t>
        </is>
      </c>
      <c r="E4731" s="3" t="n">
        <v>0.85</v>
      </c>
      <c r="F4731" s="3" t="n">
        <v>1.24</v>
      </c>
      <c r="G4731" s="3">
        <f>F4731-E4731</f>
        <v/>
      </c>
      <c r="H4731" s="4">
        <f>IF(E4731=0,"",F4731/E4731-1)</f>
        <v/>
      </c>
      <c r="I4731" t="inlineStr"/>
    </row>
    <row r="4732">
      <c r="A4732" t="inlineStr">
        <is>
          <t>Processed food &amp; beverages</t>
        </is>
      </c>
      <c r="B4732" t="inlineStr">
        <is>
          <t>19</t>
        </is>
      </c>
      <c r="C4732" t="inlineStr">
        <is>
          <t>19041020</t>
        </is>
      </c>
      <c r="D4732" t="inlineStr">
        <is>
          <t>PAWA,MUDI AND THE LIKE</t>
        </is>
      </c>
      <c r="E4732" s="3" t="n">
        <v>0.95</v>
      </c>
      <c r="F4732" s="3" t="n">
        <v>1.22</v>
      </c>
      <c r="G4732" s="3">
        <f>F4732-E4732</f>
        <v/>
      </c>
      <c r="H4732" s="4">
        <f>IF(E4732=0,"",F4732/E4732-1)</f>
        <v/>
      </c>
      <c r="I4732" t="inlineStr"/>
    </row>
    <row r="4733">
      <c r="A4733" t="inlineStr">
        <is>
          <t>Processed food &amp; beverages</t>
        </is>
      </c>
      <c r="B4733" t="inlineStr">
        <is>
          <t>20</t>
        </is>
      </c>
      <c r="C4733" t="inlineStr">
        <is>
          <t>20059900</t>
        </is>
      </c>
      <c r="D4733" t="inlineStr">
        <is>
          <t>OTHER VEG AND MIXTRE OF VEGETBLES</t>
        </is>
      </c>
      <c r="E4733" s="3" t="n">
        <v>1.41</v>
      </c>
      <c r="F4733" s="3" t="n">
        <v>1.2</v>
      </c>
      <c r="G4733" s="3">
        <f>F4733-E4733</f>
        <v/>
      </c>
      <c r="H4733" s="4">
        <f>IF(E4733=0,"",F4733/E4733-1)</f>
        <v/>
      </c>
      <c r="I4733" t="inlineStr"/>
    </row>
    <row r="4734">
      <c r="A4734" t="inlineStr">
        <is>
          <t>Processed food &amp; beverages</t>
        </is>
      </c>
      <c r="B4734" t="inlineStr">
        <is>
          <t>21</t>
        </is>
      </c>
      <c r="C4734" t="inlineStr">
        <is>
          <t>21039010</t>
        </is>
      </c>
      <c r="D4734" t="inlineStr">
        <is>
          <t>CURRY PASTE</t>
        </is>
      </c>
      <c r="E4734" s="3" t="n">
        <v>0.61</v>
      </c>
      <c r="F4734" s="3" t="n">
        <v>1.18</v>
      </c>
      <c r="G4734" s="3">
        <f>F4734-E4734</f>
        <v/>
      </c>
      <c r="H4734" s="4">
        <f>IF(E4734=0,"",F4734/E4734-1)</f>
        <v/>
      </c>
      <c r="I4734" t="inlineStr"/>
    </row>
    <row r="4735">
      <c r="A4735" t="inlineStr">
        <is>
          <t>Processed food &amp; beverages</t>
        </is>
      </c>
      <c r="B4735" t="inlineStr">
        <is>
          <t>17</t>
        </is>
      </c>
      <c r="C4735" t="inlineStr">
        <is>
          <t>17049010</t>
        </is>
      </c>
      <c r="D4735" t="inlineStr">
        <is>
          <t>JELLY CONFECTIONERY</t>
        </is>
      </c>
      <c r="E4735" s="3" t="n">
        <v>0.1</v>
      </c>
      <c r="F4735" s="3" t="n">
        <v>1.05</v>
      </c>
      <c r="G4735" s="3">
        <f>F4735-E4735</f>
        <v/>
      </c>
      <c r="H4735" s="4">
        <f>IF(E4735=0,"",F4735/E4735-1)</f>
        <v/>
      </c>
      <c r="I4735" t="inlineStr"/>
    </row>
    <row r="4736">
      <c r="A4736" t="inlineStr">
        <is>
          <t>Processed food &amp; beverages</t>
        </is>
      </c>
      <c r="B4736" t="inlineStr">
        <is>
          <t>22</t>
        </is>
      </c>
      <c r="C4736" t="inlineStr">
        <is>
          <t>22084011</t>
        </is>
      </c>
      <c r="D4736" t="inlineStr">
        <is>
          <t>RUM IN CONTAINERS HOLDING 2 LTR OR LESS</t>
        </is>
      </c>
      <c r="E4736" s="3" t="n">
        <v>1.06</v>
      </c>
      <c r="F4736" s="3" t="n">
        <v>1.04</v>
      </c>
      <c r="G4736" s="3">
        <f>F4736-E4736</f>
        <v/>
      </c>
      <c r="H4736" s="4">
        <f>IF(E4736=0,"",F4736/E4736-1)</f>
        <v/>
      </c>
      <c r="I4736" t="inlineStr"/>
    </row>
    <row r="4737">
      <c r="A4737" t="inlineStr">
        <is>
          <t>Processed food &amp; beverages</t>
        </is>
      </c>
      <c r="B4737" t="inlineStr">
        <is>
          <t>18</t>
        </is>
      </c>
      <c r="C4737" t="inlineStr">
        <is>
          <t>18062000</t>
        </is>
      </c>
      <c r="D4737" t="inlineStr">
        <is>
          <t>OTHR FOOD PRPN CNTNG COCOA IN BLKS/SLBS WGHNG&gt;2KG/IN LQD,PSTE,PWDR,GRNLR/OTHR BULKFORM IN CNTNRS ETC OF A CNTNT &gt;</t>
        </is>
      </c>
      <c r="E4737" s="3" t="n">
        <v>1.5</v>
      </c>
      <c r="F4737" s="3" t="n">
        <v>1.03</v>
      </c>
      <c r="G4737" s="3">
        <f>F4737-E4737</f>
        <v/>
      </c>
      <c r="H4737" s="4">
        <f>IF(E4737=0,"",F4737/E4737-1)</f>
        <v/>
      </c>
      <c r="I4737" t="inlineStr"/>
    </row>
    <row r="4738">
      <c r="A4738" t="inlineStr">
        <is>
          <t>Processed food &amp; beverages</t>
        </is>
      </c>
      <c r="B4738" t="inlineStr">
        <is>
          <t>22</t>
        </is>
      </c>
      <c r="C4738" t="inlineStr">
        <is>
          <t>22029930</t>
        </is>
      </c>
      <c r="D4738" t="inlineStr">
        <is>
          <t>*BEVERAGES CONTAINING MILK</t>
        </is>
      </c>
      <c r="E4738" s="3" t="n">
        <v>0.72</v>
      </c>
      <c r="F4738" s="3" t="n">
        <v>1.03</v>
      </c>
      <c r="G4738" s="3">
        <f>F4738-E4738</f>
        <v/>
      </c>
      <c r="H4738" s="4">
        <f>IF(E4738=0,"",F4738/E4738-1)</f>
        <v/>
      </c>
      <c r="I4738" t="inlineStr"/>
    </row>
    <row r="4739">
      <c r="A4739" t="inlineStr">
        <is>
          <t>Processed food &amp; beverages</t>
        </is>
      </c>
      <c r="B4739" t="inlineStr">
        <is>
          <t>18</t>
        </is>
      </c>
      <c r="C4739" t="inlineStr">
        <is>
          <t>18069090</t>
        </is>
      </c>
      <c r="D4739" t="inlineStr">
        <is>
          <t>OTHER FOOD PREPARATIONS CONTAINING COCOA</t>
        </is>
      </c>
      <c r="E4739" s="3" t="n">
        <v>2.11</v>
      </c>
      <c r="F4739" s="3" t="n">
        <v>1.01</v>
      </c>
      <c r="G4739" s="3">
        <f>F4739-E4739</f>
        <v/>
      </c>
      <c r="H4739" s="4">
        <f>IF(E4739=0,"",F4739/E4739-1)</f>
        <v/>
      </c>
      <c r="I4739" t="inlineStr"/>
    </row>
    <row r="4740">
      <c r="A4740" t="inlineStr">
        <is>
          <t>Processed food &amp; beverages</t>
        </is>
      </c>
      <c r="B4740" t="inlineStr">
        <is>
          <t>19</t>
        </is>
      </c>
      <c r="C4740" t="inlineStr">
        <is>
          <t>19059010</t>
        </is>
      </c>
      <c r="D4740" t="inlineStr">
        <is>
          <t>PASTRIES AND CAKES</t>
        </is>
      </c>
      <c r="E4740" s="3" t="n">
        <v>0.6899999999999999</v>
      </c>
      <c r="F4740" s="3" t="n">
        <v>1.01</v>
      </c>
      <c r="G4740" s="3">
        <f>F4740-E4740</f>
        <v/>
      </c>
      <c r="H4740" s="4">
        <f>IF(E4740=0,"",F4740/E4740-1)</f>
        <v/>
      </c>
      <c r="I4740" t="inlineStr"/>
    </row>
    <row r="4741">
      <c r="A4741" t="inlineStr">
        <is>
          <t>Processed food &amp; beverages</t>
        </is>
      </c>
      <c r="B4741" t="inlineStr">
        <is>
          <t>15</t>
        </is>
      </c>
      <c r="C4741" t="inlineStr">
        <is>
          <t>15042020</t>
        </is>
      </c>
      <c r="D4741" t="inlineStr">
        <is>
          <t>FISH LIPID OIL</t>
        </is>
      </c>
      <c r="E4741" s="3" t="n">
        <v>0</v>
      </c>
      <c r="F4741" s="3" t="n">
        <v>0.97</v>
      </c>
      <c r="G4741" s="3">
        <f>F4741-E4741</f>
        <v/>
      </c>
      <c r="H4741" s="4">
        <f>IF(E4741=0,"",F4741/E4741-1)</f>
        <v/>
      </c>
      <c r="I4741" t="inlineStr"/>
    </row>
    <row r="4742">
      <c r="A4742" t="inlineStr">
        <is>
          <t>Processed food &amp; beverages</t>
        </is>
      </c>
      <c r="B4742" t="inlineStr">
        <is>
          <t>21</t>
        </is>
      </c>
      <c r="C4742" t="inlineStr">
        <is>
          <t>21012090</t>
        </is>
      </c>
      <c r="D4742" t="inlineStr">
        <is>
          <t>OTHR EXTRCTS ESSNCSAND CNCNTRTS OF TEA/MATE</t>
        </is>
      </c>
      <c r="E4742" s="3" t="n">
        <v>0.93</v>
      </c>
      <c r="F4742" s="3" t="n">
        <v>0.97</v>
      </c>
      <c r="G4742" s="3">
        <f>F4742-E4742</f>
        <v/>
      </c>
      <c r="H4742" s="4">
        <f>IF(E4742=0,"",F4742/E4742-1)</f>
        <v/>
      </c>
      <c r="I4742" t="inlineStr"/>
    </row>
    <row r="4743">
      <c r="A4743" t="inlineStr">
        <is>
          <t>Processed food &amp; beverages</t>
        </is>
      </c>
      <c r="B4743" t="inlineStr">
        <is>
          <t>17</t>
        </is>
      </c>
      <c r="C4743" t="inlineStr">
        <is>
          <t>17021110</t>
        </is>
      </c>
      <c r="D4743" t="inlineStr">
        <is>
          <t>LACTS AND LACTS SYRP CONTNG 99% OR MRE LACTSIN SOLID FRM</t>
        </is>
      </c>
      <c r="E4743" s="3" t="n">
        <v>0.05</v>
      </c>
      <c r="F4743" s="3" t="n">
        <v>0.96</v>
      </c>
      <c r="G4743" s="3">
        <f>F4743-E4743</f>
        <v/>
      </c>
      <c r="H4743" s="4">
        <f>IF(E4743=0,"",F4743/E4743-1)</f>
        <v/>
      </c>
      <c r="I4743" t="inlineStr"/>
    </row>
    <row r="4744">
      <c r="A4744" t="inlineStr">
        <is>
          <t>Processed food &amp; beverages</t>
        </is>
      </c>
      <c r="B4744" t="inlineStr">
        <is>
          <t>23</t>
        </is>
      </c>
      <c r="C4744" t="inlineStr">
        <is>
          <t>23099020</t>
        </is>
      </c>
      <c r="D4744" t="inlineStr">
        <is>
          <t>CONCENTRATED FOR COMPOUND ANIMAL FEED</t>
        </is>
      </c>
      <c r="E4744" s="3" t="n">
        <v>0.5600000000000001</v>
      </c>
      <c r="F4744" s="3" t="n">
        <v>0.87</v>
      </c>
      <c r="G4744" s="3">
        <f>F4744-E4744</f>
        <v/>
      </c>
      <c r="H4744" s="4">
        <f>IF(E4744=0,"",F4744/E4744-1)</f>
        <v/>
      </c>
      <c r="I4744" t="inlineStr"/>
    </row>
    <row r="4745">
      <c r="A4745" t="inlineStr">
        <is>
          <t>Processed food &amp; beverages</t>
        </is>
      </c>
      <c r="B4745" t="inlineStr">
        <is>
          <t>22</t>
        </is>
      </c>
      <c r="C4745" t="inlineStr">
        <is>
          <t>22071090</t>
        </is>
      </c>
      <c r="D4745" t="inlineStr">
        <is>
          <t>OTHR SPIRIT OF UNDENATRD ETHYL ALCHL</t>
        </is>
      </c>
      <c r="E4745" s="3" t="n">
        <v>0.3</v>
      </c>
      <c r="F4745" s="3" t="n">
        <v>0.77</v>
      </c>
      <c r="G4745" s="3">
        <f>F4745-E4745</f>
        <v/>
      </c>
      <c r="H4745" s="4">
        <f>IF(E4745=0,"",F4745/E4745-1)</f>
        <v/>
      </c>
      <c r="I4745" t="inlineStr"/>
    </row>
    <row r="4746">
      <c r="A4746" t="inlineStr">
        <is>
          <t>Processed food &amp; beverages</t>
        </is>
      </c>
      <c r="B4746" t="inlineStr">
        <is>
          <t>15</t>
        </is>
      </c>
      <c r="C4746" t="inlineStr">
        <is>
          <t>15149990</t>
        </is>
      </c>
      <c r="D4746" t="inlineStr">
        <is>
          <t>OTHER RAPE COLZA MSTRD OILS EXCL CRUDE NES</t>
        </is>
      </c>
      <c r="E4746" s="3" t="n">
        <v>0.02</v>
      </c>
      <c r="F4746" s="3" t="n">
        <v>0.75</v>
      </c>
      <c r="G4746" s="3">
        <f>F4746-E4746</f>
        <v/>
      </c>
      <c r="H4746" s="4">
        <f>IF(E4746=0,"",F4746/E4746-1)</f>
        <v/>
      </c>
      <c r="I4746" t="inlineStr"/>
    </row>
    <row r="4747">
      <c r="A4747" t="inlineStr">
        <is>
          <t>Processed food &amp; beverages</t>
        </is>
      </c>
      <c r="B4747" t="inlineStr">
        <is>
          <t>20</t>
        </is>
      </c>
      <c r="C4747" t="inlineStr">
        <is>
          <t>20079920</t>
        </is>
      </c>
      <c r="D4747" t="inlineStr">
        <is>
          <t>GUAVA</t>
        </is>
      </c>
      <c r="E4747" s="3" t="n">
        <v>0.64</v>
      </c>
      <c r="F4747" s="3" t="n">
        <v>0.72</v>
      </c>
      <c r="G4747" s="3">
        <f>F4747-E4747</f>
        <v/>
      </c>
      <c r="H4747" s="4">
        <f>IF(E4747=0,"",F4747/E4747-1)</f>
        <v/>
      </c>
      <c r="I4747" t="inlineStr"/>
    </row>
    <row r="4748">
      <c r="A4748" t="inlineStr">
        <is>
          <t>Processed food &amp; beverages</t>
        </is>
      </c>
      <c r="B4748" t="inlineStr">
        <is>
          <t>15</t>
        </is>
      </c>
      <c r="C4748" t="inlineStr">
        <is>
          <t>15153090</t>
        </is>
      </c>
      <c r="D4748" t="inlineStr">
        <is>
          <t>CASTOR OILANDITS FRCTNS OTHR THN EDBLE GRADE</t>
        </is>
      </c>
      <c r="E4748" s="3" t="n">
        <v>0.23</v>
      </c>
      <c r="F4748" s="3" t="n">
        <v>0.71</v>
      </c>
      <c r="G4748" s="3">
        <f>F4748-E4748</f>
        <v/>
      </c>
      <c r="H4748" s="4">
        <f>IF(E4748=0,"",F4748/E4748-1)</f>
        <v/>
      </c>
      <c r="I4748" t="inlineStr"/>
    </row>
    <row r="4749">
      <c r="A4749" t="inlineStr">
        <is>
          <t>Processed food &amp; beverages</t>
        </is>
      </c>
      <c r="B4749" t="inlineStr">
        <is>
          <t>15</t>
        </is>
      </c>
      <c r="C4749" t="inlineStr">
        <is>
          <t>15089091</t>
        </is>
      </c>
      <c r="D4749" t="inlineStr">
        <is>
          <t>REFND GRND NUT OIL OF EDBLE GRDE</t>
        </is>
      </c>
      <c r="E4749" s="3" t="n">
        <v>0.58</v>
      </c>
      <c r="F4749" s="3" t="n">
        <v>0.66</v>
      </c>
      <c r="G4749" s="3">
        <f>F4749-E4749</f>
        <v/>
      </c>
      <c r="H4749" s="4">
        <f>IF(E4749=0,"",F4749/E4749-1)</f>
        <v/>
      </c>
      <c r="I4749" t="inlineStr"/>
    </row>
    <row r="4750">
      <c r="A4750" t="inlineStr">
        <is>
          <t>Processed food &amp; beverages</t>
        </is>
      </c>
      <c r="B4750" t="inlineStr">
        <is>
          <t>20</t>
        </is>
      </c>
      <c r="C4750" t="inlineStr">
        <is>
          <t>20060000</t>
        </is>
      </c>
      <c r="D4750" t="inlineStr">
        <is>
          <t>VEGTBLS FRUITS NUTS FRUT PEEL AND OTHR PRTS OF PLNTSPRSVD BY SUGR (DRAIND GLACE/ CRYSTALLISED)</t>
        </is>
      </c>
      <c r="E4750" s="3" t="n">
        <v>0.48</v>
      </c>
      <c r="F4750" s="3" t="n">
        <v>0.64</v>
      </c>
      <c r="G4750" s="3">
        <f>F4750-E4750</f>
        <v/>
      </c>
      <c r="H4750" s="4">
        <f>IF(E4750=0,"",F4750/E4750-1)</f>
        <v/>
      </c>
      <c r="I4750" t="inlineStr"/>
    </row>
    <row r="4751">
      <c r="A4751" t="inlineStr">
        <is>
          <t>Processed food &amp; beverages</t>
        </is>
      </c>
      <c r="B4751" t="inlineStr">
        <is>
          <t>19</t>
        </is>
      </c>
      <c r="C4751" t="inlineStr">
        <is>
          <t>19022010</t>
        </is>
      </c>
      <c r="D4751" t="inlineStr">
        <is>
          <t>COOKED STUFFED PASTA</t>
        </is>
      </c>
      <c r="E4751" s="3" t="n">
        <v>0.19</v>
      </c>
      <c r="F4751" s="3" t="n">
        <v>0.6</v>
      </c>
      <c r="G4751" s="3">
        <f>F4751-E4751</f>
        <v/>
      </c>
      <c r="H4751" s="4">
        <f>IF(E4751=0,"",F4751/E4751-1)</f>
        <v/>
      </c>
      <c r="I4751" t="inlineStr"/>
    </row>
    <row r="4752">
      <c r="A4752" t="inlineStr">
        <is>
          <t>Processed food &amp; beverages</t>
        </is>
      </c>
      <c r="B4752" t="inlineStr">
        <is>
          <t>21</t>
        </is>
      </c>
      <c r="C4752" t="inlineStr">
        <is>
          <t>21069050</t>
        </is>
      </c>
      <c r="D4752" t="inlineStr">
        <is>
          <t>*COMPND PRPNS FOR MKNG BEVERGS(NON-ALCOHLC)</t>
        </is>
      </c>
      <c r="E4752" s="3" t="n">
        <v>1.21</v>
      </c>
      <c r="F4752" s="3" t="n">
        <v>0.59</v>
      </c>
      <c r="G4752" s="3">
        <f>F4752-E4752</f>
        <v/>
      </c>
      <c r="H4752" s="4">
        <f>IF(E4752=0,"",F4752/E4752-1)</f>
        <v/>
      </c>
      <c r="I4752" t="inlineStr"/>
    </row>
    <row r="4753">
      <c r="A4753" t="inlineStr">
        <is>
          <t>Processed food &amp; beverages</t>
        </is>
      </c>
      <c r="B4753" t="inlineStr">
        <is>
          <t>21</t>
        </is>
      </c>
      <c r="C4753" t="inlineStr">
        <is>
          <t>21023000</t>
        </is>
      </c>
      <c r="D4753" t="inlineStr">
        <is>
          <t>PREPARED BAKING POWDERS</t>
        </is>
      </c>
      <c r="E4753" s="3" t="n">
        <v>0.61</v>
      </c>
      <c r="F4753" s="3" t="n">
        <v>0.57</v>
      </c>
      <c r="G4753" s="3">
        <f>F4753-E4753</f>
        <v/>
      </c>
      <c r="H4753" s="4">
        <f>IF(E4753=0,"",F4753/E4753-1)</f>
        <v/>
      </c>
      <c r="I4753" t="inlineStr"/>
    </row>
    <row r="4754">
      <c r="A4754" t="inlineStr">
        <is>
          <t>Processed food &amp; beverages</t>
        </is>
      </c>
      <c r="B4754" t="inlineStr">
        <is>
          <t>22</t>
        </is>
      </c>
      <c r="C4754" t="inlineStr">
        <is>
          <t>22021010</t>
        </is>
      </c>
      <c r="D4754" t="inlineStr">
        <is>
          <t>AERATED WATERS</t>
        </is>
      </c>
      <c r="E4754" s="3" t="n">
        <v>0.43</v>
      </c>
      <c r="F4754" s="3" t="n">
        <v>0.57</v>
      </c>
      <c r="G4754" s="3">
        <f>F4754-E4754</f>
        <v/>
      </c>
      <c r="H4754" s="4">
        <f>IF(E4754=0,"",F4754/E4754-1)</f>
        <v/>
      </c>
      <c r="I4754" t="inlineStr"/>
    </row>
    <row r="4755">
      <c r="A4755" t="inlineStr">
        <is>
          <t>Processed food &amp; beverages</t>
        </is>
      </c>
      <c r="B4755" t="inlineStr">
        <is>
          <t>17</t>
        </is>
      </c>
      <c r="C4755" t="inlineStr">
        <is>
          <t>17029040</t>
        </is>
      </c>
      <c r="D4755" t="inlineStr">
        <is>
          <t>CARAMEL</t>
        </is>
      </c>
      <c r="E4755" s="3" t="n">
        <v>0.47</v>
      </c>
      <c r="F4755" s="3" t="n">
        <v>0.52</v>
      </c>
      <c r="G4755" s="3">
        <f>F4755-E4755</f>
        <v/>
      </c>
      <c r="H4755" s="4">
        <f>IF(E4755=0,"",F4755/E4755-1)</f>
        <v/>
      </c>
      <c r="I4755" t="inlineStr"/>
    </row>
    <row r="4756">
      <c r="A4756" t="inlineStr">
        <is>
          <t>Processed food &amp; beverages</t>
        </is>
      </c>
      <c r="B4756" t="inlineStr">
        <is>
          <t>20</t>
        </is>
      </c>
      <c r="C4756" t="inlineStr">
        <is>
          <t>20081930</t>
        </is>
      </c>
      <c r="D4756" t="inlineStr">
        <is>
          <t>*OTHER NUTS OTHERWISE PRPD/PRSD</t>
        </is>
      </c>
      <c r="E4756" s="3" t="n">
        <v>0.77</v>
      </c>
      <c r="F4756" s="3" t="n">
        <v>0.52</v>
      </c>
      <c r="G4756" s="3">
        <f>F4756-E4756</f>
        <v/>
      </c>
      <c r="H4756" s="4">
        <f>IF(E4756=0,"",F4756/E4756-1)</f>
        <v/>
      </c>
      <c r="I4756" t="inlineStr"/>
    </row>
    <row r="4757">
      <c r="A4757" t="inlineStr">
        <is>
          <t>Processed food &amp; beverages</t>
        </is>
      </c>
      <c r="B4757" t="inlineStr">
        <is>
          <t>16</t>
        </is>
      </c>
      <c r="C4757" t="inlineStr">
        <is>
          <t>16041410</t>
        </is>
      </c>
      <c r="D4757" t="inlineStr">
        <is>
          <t>TUNAS WHOLE OR IN PIECES BUT NOT MINCED</t>
        </is>
      </c>
      <c r="E4757" s="3" t="n">
        <v>1.65</v>
      </c>
      <c r="F4757" s="3" t="n">
        <v>0.47</v>
      </c>
      <c r="G4757" s="3">
        <f>F4757-E4757</f>
        <v/>
      </c>
      <c r="H4757" s="4">
        <f>IF(E4757=0,"",F4757/E4757-1)</f>
        <v/>
      </c>
      <c r="I4757" t="inlineStr"/>
    </row>
    <row r="4758">
      <c r="A4758" t="inlineStr">
        <is>
          <t>Processed food &amp; beverages</t>
        </is>
      </c>
      <c r="B4758" t="inlineStr">
        <is>
          <t>17</t>
        </is>
      </c>
      <c r="C4758" t="inlineStr">
        <is>
          <t>17023031</t>
        </is>
      </c>
      <c r="D4758" t="inlineStr">
        <is>
          <t>DEXTROSE,SOLID</t>
        </is>
      </c>
      <c r="E4758" s="3" t="n">
        <v>0.3</v>
      </c>
      <c r="F4758" s="3" t="n">
        <v>0.47</v>
      </c>
      <c r="G4758" s="3">
        <f>F4758-E4758</f>
        <v/>
      </c>
      <c r="H4758" s="4">
        <f>IF(E4758=0,"",F4758/E4758-1)</f>
        <v/>
      </c>
      <c r="I4758" t="inlineStr"/>
    </row>
    <row r="4759">
      <c r="A4759" t="inlineStr">
        <is>
          <t>Processed food &amp; beverages</t>
        </is>
      </c>
      <c r="B4759" t="inlineStr">
        <is>
          <t>19</t>
        </is>
      </c>
      <c r="C4759" t="inlineStr">
        <is>
          <t>19011090</t>
        </is>
      </c>
      <c r="D4759" t="inlineStr">
        <is>
          <t>OTHER FOOD PRPNS FR INFNT USE EXCL MALTED MILK</t>
        </is>
      </c>
      <c r="E4759" s="3" t="n">
        <v>0.23</v>
      </c>
      <c r="F4759" s="3" t="n">
        <v>0.46</v>
      </c>
      <c r="G4759" s="3">
        <f>F4759-E4759</f>
        <v/>
      </c>
      <c r="H4759" s="4">
        <f>IF(E4759=0,"",F4759/E4759-1)</f>
        <v/>
      </c>
      <c r="I4759" t="inlineStr"/>
    </row>
    <row r="4760">
      <c r="A4760" t="inlineStr">
        <is>
          <t>Processed food &amp; beverages</t>
        </is>
      </c>
      <c r="B4760" t="inlineStr">
        <is>
          <t>24</t>
        </is>
      </c>
      <c r="C4760" t="inlineStr">
        <is>
          <t>24022090</t>
        </is>
      </c>
      <c r="D4760" t="inlineStr">
        <is>
          <t>OTHER CIGARETTES CONTNG TOBACCO</t>
        </is>
      </c>
      <c r="E4760" s="3" t="n">
        <v>0.5600000000000001</v>
      </c>
      <c r="F4760" s="3" t="n">
        <v>0.45</v>
      </c>
      <c r="G4760" s="3">
        <f>F4760-E4760</f>
        <v/>
      </c>
      <c r="H4760" s="4">
        <f>IF(E4760=0,"",F4760/E4760-1)</f>
        <v/>
      </c>
      <c r="I4760" t="inlineStr"/>
    </row>
    <row r="4761">
      <c r="A4761" t="inlineStr">
        <is>
          <t>Processed food &amp; beverages</t>
        </is>
      </c>
      <c r="B4761" t="inlineStr">
        <is>
          <t>18</t>
        </is>
      </c>
      <c r="C4761" t="inlineStr">
        <is>
          <t>18069040</t>
        </is>
      </c>
      <c r="D4761" t="inlineStr">
        <is>
          <t>PREPNS CNTNG COCOA FOR MKG BEVRGES.</t>
        </is>
      </c>
      <c r="E4761" s="3" t="n">
        <v>0</v>
      </c>
      <c r="F4761" s="3" t="n">
        <v>0.44</v>
      </c>
      <c r="G4761" s="3">
        <f>F4761-E4761</f>
        <v/>
      </c>
      <c r="H4761" s="4">
        <f>IF(E4761=0,"",F4761/E4761-1)</f>
        <v/>
      </c>
      <c r="I4761" t="inlineStr"/>
    </row>
    <row r="4762">
      <c r="A4762" t="inlineStr">
        <is>
          <t>Processed food &amp; beverages</t>
        </is>
      </c>
      <c r="B4762" t="inlineStr">
        <is>
          <t>21</t>
        </is>
      </c>
      <c r="C4762" t="inlineStr">
        <is>
          <t>21041010</t>
        </is>
      </c>
      <c r="D4762" t="inlineStr">
        <is>
          <t>DRIED SOUPSL BROTS AND PREPARAQIONS THEREFOR</t>
        </is>
      </c>
      <c r="E4762" s="3" t="n">
        <v>0.02</v>
      </c>
      <c r="F4762" s="3" t="n">
        <v>0.43</v>
      </c>
      <c r="G4762" s="3">
        <f>F4762-E4762</f>
        <v/>
      </c>
      <c r="H4762" s="4">
        <f>IF(E4762=0,"",F4762/E4762-1)</f>
        <v/>
      </c>
      <c r="I4762" t="inlineStr"/>
    </row>
    <row r="4763">
      <c r="A4763" t="inlineStr">
        <is>
          <t>Processed food &amp; beverages</t>
        </is>
      </c>
      <c r="B4763" t="inlineStr">
        <is>
          <t>20</t>
        </is>
      </c>
      <c r="C4763" t="inlineStr">
        <is>
          <t>20049000</t>
        </is>
      </c>
      <c r="D4763" t="inlineStr">
        <is>
          <t>OTHR VEG AND MIXTRS OF VEG, PRPD/PRSVD,FRZN</t>
        </is>
      </c>
      <c r="E4763" s="3" t="n">
        <v>0.37</v>
      </c>
      <c r="F4763" s="3" t="n">
        <v>0.41</v>
      </c>
      <c r="G4763" s="3">
        <f>F4763-E4763</f>
        <v/>
      </c>
      <c r="H4763" s="4">
        <f>IF(E4763=0,"",F4763/E4763-1)</f>
        <v/>
      </c>
      <c r="I4763" t="inlineStr"/>
    </row>
    <row r="4764">
      <c r="A4764" t="inlineStr">
        <is>
          <t>Processed food &amp; beverages</t>
        </is>
      </c>
      <c r="B4764" t="inlineStr">
        <is>
          <t>20</t>
        </is>
      </c>
      <c r="C4764" t="inlineStr">
        <is>
          <t>20089911</t>
        </is>
      </c>
      <c r="D4764" t="inlineStr">
        <is>
          <t>MANGO SQUASH</t>
        </is>
      </c>
      <c r="E4764" s="3" t="n">
        <v>3.65</v>
      </c>
      <c r="F4764" s="3" t="n">
        <v>0.41</v>
      </c>
      <c r="G4764" s="3">
        <f>F4764-E4764</f>
        <v/>
      </c>
      <c r="H4764" s="4">
        <f>IF(E4764=0,"",F4764/E4764-1)</f>
        <v/>
      </c>
      <c r="I4764" t="inlineStr"/>
    </row>
    <row r="4765">
      <c r="A4765" t="inlineStr">
        <is>
          <t>Processed food &amp; beverages</t>
        </is>
      </c>
      <c r="B4765" t="inlineStr">
        <is>
          <t>18</t>
        </is>
      </c>
      <c r="C4765" t="inlineStr">
        <is>
          <t>18061000</t>
        </is>
      </c>
      <c r="D4765" t="inlineStr">
        <is>
          <t>COCOA PWDR CONTNG SUGAR/OTHR SWTNG MATRL</t>
        </is>
      </c>
      <c r="E4765" s="3" t="n">
        <v>0.02</v>
      </c>
      <c r="F4765" s="3" t="n">
        <v>0.4</v>
      </c>
      <c r="G4765" s="3">
        <f>F4765-E4765</f>
        <v/>
      </c>
      <c r="H4765" s="4">
        <f>IF(E4765=0,"",F4765/E4765-1)</f>
        <v/>
      </c>
      <c r="I4765" t="inlineStr"/>
    </row>
    <row r="4766">
      <c r="A4766" t="inlineStr">
        <is>
          <t>Processed food &amp; beverages</t>
        </is>
      </c>
      <c r="B4766" t="inlineStr">
        <is>
          <t>17</t>
        </is>
      </c>
      <c r="C4766" t="inlineStr">
        <is>
          <t>17019910</t>
        </is>
      </c>
      <c r="D4766" t="inlineStr">
        <is>
          <t>SUGAR CUBES</t>
        </is>
      </c>
      <c r="E4766" s="3" t="n">
        <v>16.96</v>
      </c>
      <c r="F4766" s="3" t="n">
        <v>0.39</v>
      </c>
      <c r="G4766" s="3">
        <f>F4766-E4766</f>
        <v/>
      </c>
      <c r="H4766" s="4">
        <f>IF(E4766=0,"",F4766/E4766-1)</f>
        <v/>
      </c>
      <c r="I4766" t="inlineStr"/>
    </row>
    <row r="4767">
      <c r="A4767" t="inlineStr">
        <is>
          <t>Processed food &amp; beverages</t>
        </is>
      </c>
      <c r="B4767" t="inlineStr">
        <is>
          <t>20</t>
        </is>
      </c>
      <c r="C4767" t="inlineStr">
        <is>
          <t>20052000</t>
        </is>
      </c>
      <c r="D4767" t="inlineStr">
        <is>
          <t>POTATOES PRPD/PRSVD, NOT FRZN</t>
        </is>
      </c>
      <c r="E4767" s="3" t="n">
        <v>0.19</v>
      </c>
      <c r="F4767" s="3" t="n">
        <v>0.37</v>
      </c>
      <c r="G4767" s="3">
        <f>F4767-E4767</f>
        <v/>
      </c>
      <c r="H4767" s="4">
        <f>IF(E4767=0,"",F4767/E4767-1)</f>
        <v/>
      </c>
      <c r="I4767" t="inlineStr"/>
    </row>
    <row r="4768">
      <c r="A4768" t="inlineStr">
        <is>
          <t>Processed food &amp; beverages</t>
        </is>
      </c>
      <c r="B4768" t="inlineStr">
        <is>
          <t>22</t>
        </is>
      </c>
      <c r="C4768" t="inlineStr">
        <is>
          <t>22021090</t>
        </is>
      </c>
      <c r="D4768" t="inlineStr">
        <is>
          <t>OTHR THAN LEMONADE/AERATED WATERS</t>
        </is>
      </c>
      <c r="E4768" s="3" t="n">
        <v>0.14</v>
      </c>
      <c r="F4768" s="3" t="n">
        <v>0.35</v>
      </c>
      <c r="G4768" s="3">
        <f>F4768-E4768</f>
        <v/>
      </c>
      <c r="H4768" s="4">
        <f>IF(E4768=0,"",F4768/E4768-1)</f>
        <v/>
      </c>
      <c r="I4768" t="inlineStr"/>
    </row>
    <row r="4769">
      <c r="A4769" t="inlineStr">
        <is>
          <t>Processed food &amp; beverages</t>
        </is>
      </c>
      <c r="B4769" t="inlineStr">
        <is>
          <t>17</t>
        </is>
      </c>
      <c r="C4769" t="inlineStr">
        <is>
          <t>17023010</t>
        </is>
      </c>
      <c r="D4769" t="inlineStr">
        <is>
          <t>GLUCOSE LIQUID</t>
        </is>
      </c>
      <c r="E4769" s="3" t="n">
        <v>1.25</v>
      </c>
      <c r="F4769" s="3" t="n">
        <v>0.33</v>
      </c>
      <c r="G4769" s="3">
        <f>F4769-E4769</f>
        <v/>
      </c>
      <c r="H4769" s="4">
        <f>IF(E4769=0,"",F4769/E4769-1)</f>
        <v/>
      </c>
      <c r="I4769" t="inlineStr"/>
    </row>
    <row r="4770">
      <c r="A4770" t="inlineStr">
        <is>
          <t>Processed food &amp; beverages</t>
        </is>
      </c>
      <c r="B4770" t="inlineStr">
        <is>
          <t>21</t>
        </is>
      </c>
      <c r="C4770" t="inlineStr">
        <is>
          <t>21031000</t>
        </is>
      </c>
      <c r="D4770" t="inlineStr">
        <is>
          <t>SOYA SAUCE</t>
        </is>
      </c>
      <c r="E4770" s="3" t="n">
        <v>0.08</v>
      </c>
      <c r="F4770" s="3" t="n">
        <v>0.33</v>
      </c>
      <c r="G4770" s="3">
        <f>F4770-E4770</f>
        <v/>
      </c>
      <c r="H4770" s="4">
        <f>IF(E4770=0,"",F4770/E4770-1)</f>
        <v/>
      </c>
      <c r="I4770" t="inlineStr"/>
    </row>
    <row r="4771">
      <c r="A4771" t="inlineStr">
        <is>
          <t>Processed food &amp; beverages</t>
        </is>
      </c>
      <c r="B4771" t="inlineStr">
        <is>
          <t>21</t>
        </is>
      </c>
      <c r="C4771" t="inlineStr">
        <is>
          <t>21032000</t>
        </is>
      </c>
      <c r="D4771" t="inlineStr">
        <is>
          <t>TOMATO KETCHUP AND OTHER TOMATO SAUCES</t>
        </is>
      </c>
      <c r="E4771" s="3" t="n">
        <v>0.2</v>
      </c>
      <c r="F4771" s="3" t="n">
        <v>0.33</v>
      </c>
      <c r="G4771" s="3">
        <f>F4771-E4771</f>
        <v/>
      </c>
      <c r="H4771" s="4">
        <f>IF(E4771=0,"",F4771/E4771-1)</f>
        <v/>
      </c>
      <c r="I4771" t="inlineStr"/>
    </row>
    <row r="4772">
      <c r="A4772" t="inlineStr">
        <is>
          <t>Processed food &amp; beverages</t>
        </is>
      </c>
      <c r="B4772" t="inlineStr">
        <is>
          <t>21</t>
        </is>
      </c>
      <c r="C4772" t="inlineStr">
        <is>
          <t>21011190</t>
        </is>
      </c>
      <c r="D4772" t="inlineStr">
        <is>
          <t>OTHER EXRCTS ESSNCS AND CNCNTRTS OF COFFEE</t>
        </is>
      </c>
      <c r="E4772" s="3" t="n">
        <v>0.07000000000000001</v>
      </c>
      <c r="F4772" s="3" t="n">
        <v>0.3</v>
      </c>
      <c r="G4772" s="3">
        <f>F4772-E4772</f>
        <v/>
      </c>
      <c r="H4772" s="4">
        <f>IF(E4772=0,"",F4772/E4772-1)</f>
        <v/>
      </c>
      <c r="I4772" t="inlineStr"/>
    </row>
    <row r="4773">
      <c r="A4773" t="inlineStr">
        <is>
          <t>Processed food &amp; beverages</t>
        </is>
      </c>
      <c r="B4773" t="inlineStr">
        <is>
          <t>17</t>
        </is>
      </c>
      <c r="C4773" t="inlineStr">
        <is>
          <t>17029090</t>
        </is>
      </c>
      <c r="D4773" t="inlineStr">
        <is>
          <t>OTHERS (INCLUDING INVERT SUGAR)</t>
        </is>
      </c>
      <c r="E4773" s="3" t="n">
        <v>1.32</v>
      </c>
      <c r="F4773" s="3" t="n">
        <v>0.29</v>
      </c>
      <c r="G4773" s="3">
        <f>F4773-E4773</f>
        <v/>
      </c>
      <c r="H4773" s="4">
        <f>IF(E4773=0,"",F4773/E4773-1)</f>
        <v/>
      </c>
      <c r="I4773" t="inlineStr"/>
    </row>
    <row r="4774">
      <c r="A4774" t="inlineStr">
        <is>
          <t>Processed food &amp; beverages</t>
        </is>
      </c>
      <c r="B4774" t="inlineStr">
        <is>
          <t>22</t>
        </is>
      </c>
      <c r="C4774" t="inlineStr">
        <is>
          <t>22011010</t>
        </is>
      </c>
      <c r="D4774" t="inlineStr">
        <is>
          <t>MINERAL WATERS</t>
        </is>
      </c>
      <c r="E4774" s="3" t="n">
        <v>0.34</v>
      </c>
      <c r="F4774" s="3" t="n">
        <v>0.29</v>
      </c>
      <c r="G4774" s="3">
        <f>F4774-E4774</f>
        <v/>
      </c>
      <c r="H4774" s="4">
        <f>IF(E4774=0,"",F4774/E4774-1)</f>
        <v/>
      </c>
      <c r="I4774" t="inlineStr"/>
    </row>
    <row r="4775">
      <c r="A4775" t="inlineStr">
        <is>
          <t>Processed food &amp; beverages</t>
        </is>
      </c>
      <c r="B4775" t="inlineStr">
        <is>
          <t>21</t>
        </is>
      </c>
      <c r="C4775" t="inlineStr">
        <is>
          <t>21012010</t>
        </is>
      </c>
      <c r="D4775" t="inlineStr">
        <is>
          <t>INSTANT TEA</t>
        </is>
      </c>
      <c r="E4775" s="3" t="n">
        <v>0.19</v>
      </c>
      <c r="F4775" s="3" t="n">
        <v>0.28</v>
      </c>
      <c r="G4775" s="3">
        <f>F4775-E4775</f>
        <v/>
      </c>
      <c r="H4775" s="4">
        <f>IF(E4775=0,"",F4775/E4775-1)</f>
        <v/>
      </c>
      <c r="I4775" t="inlineStr"/>
    </row>
    <row r="4776">
      <c r="A4776" t="inlineStr">
        <is>
          <t>Processed food &amp; beverages</t>
        </is>
      </c>
      <c r="B4776" t="inlineStr">
        <is>
          <t>15</t>
        </is>
      </c>
      <c r="C4776" t="inlineStr">
        <is>
          <t>15159091</t>
        </is>
      </c>
      <c r="D4776" t="inlineStr">
        <is>
          <t>OTHR FXD VEG OILS OF EDBLE GRADE</t>
        </is>
      </c>
      <c r="E4776" s="3" t="n">
        <v>0.01</v>
      </c>
      <c r="F4776" s="3" t="n">
        <v>0.26</v>
      </c>
      <c r="G4776" s="3">
        <f>F4776-E4776</f>
        <v/>
      </c>
      <c r="H4776" s="4">
        <f>IF(E4776=0,"",F4776/E4776-1)</f>
        <v/>
      </c>
      <c r="I4776" t="inlineStr"/>
    </row>
    <row r="4777">
      <c r="A4777" t="inlineStr">
        <is>
          <t>Processed food &amp; beverages</t>
        </is>
      </c>
      <c r="B4777" t="inlineStr">
        <is>
          <t>21</t>
        </is>
      </c>
      <c r="C4777" t="inlineStr">
        <is>
          <t>21069011</t>
        </is>
      </c>
      <c r="D4777" t="inlineStr">
        <is>
          <t>SOFT DRINK -SHARBAT</t>
        </is>
      </c>
      <c r="E4777" s="3" t="n">
        <v>0.05</v>
      </c>
      <c r="F4777" s="3" t="n">
        <v>0.26</v>
      </c>
      <c r="G4777" s="3">
        <f>F4777-E4777</f>
        <v/>
      </c>
      <c r="H4777" s="4">
        <f>IF(E4777=0,"",F4777/E4777-1)</f>
        <v/>
      </c>
      <c r="I4777" t="inlineStr"/>
    </row>
    <row r="4778">
      <c r="A4778" t="inlineStr">
        <is>
          <t>Processed food &amp; beverages</t>
        </is>
      </c>
      <c r="B4778" t="inlineStr">
        <is>
          <t>19</t>
        </is>
      </c>
      <c r="C4778" t="inlineStr">
        <is>
          <t>19023010</t>
        </is>
      </c>
      <c r="D4778" t="inlineStr">
        <is>
          <t>DRIED OTHER PASTA</t>
        </is>
      </c>
      <c r="E4778" s="3" t="n">
        <v>0.32</v>
      </c>
      <c r="F4778" s="3" t="n">
        <v>0.25</v>
      </c>
      <c r="G4778" s="3">
        <f>F4778-E4778</f>
        <v/>
      </c>
      <c r="H4778" s="4">
        <f>IF(E4778=0,"",F4778/E4778-1)</f>
        <v/>
      </c>
      <c r="I4778" t="inlineStr"/>
    </row>
    <row r="4779">
      <c r="A4779" t="inlineStr">
        <is>
          <t>Processed food &amp; beverages</t>
        </is>
      </c>
      <c r="B4779" t="inlineStr">
        <is>
          <t>22</t>
        </is>
      </c>
      <c r="C4779" t="inlineStr">
        <is>
          <t>22071019</t>
        </is>
      </c>
      <c r="D4779" t="inlineStr">
        <is>
          <t>OTHER RECTIFIED SPIRIT</t>
        </is>
      </c>
      <c r="E4779" s="3" t="n">
        <v>0</v>
      </c>
      <c r="F4779" s="3" t="n">
        <v>0.25</v>
      </c>
      <c r="G4779" s="3">
        <f>F4779-E4779</f>
        <v/>
      </c>
      <c r="H4779" s="4">
        <f>IF(E4779=0,"",F4779/E4779-1)</f>
        <v/>
      </c>
      <c r="I4779" t="inlineStr"/>
    </row>
    <row r="4780">
      <c r="A4780" t="inlineStr">
        <is>
          <t>Processed food &amp; beverages</t>
        </is>
      </c>
      <c r="B4780" t="inlineStr">
        <is>
          <t>19</t>
        </is>
      </c>
      <c r="C4780" t="inlineStr">
        <is>
          <t>19042090</t>
        </is>
      </c>
      <c r="D4780" t="inlineStr">
        <is>
          <t>OTHERS-OF-PRPD FOODS OBTND FRM ROASTD/UNROASTD OR MXTR OR UNROASTD CRLS FLKS</t>
        </is>
      </c>
      <c r="E4780" s="3" t="n">
        <v>0.29</v>
      </c>
      <c r="F4780" s="3" t="n">
        <v>0.23</v>
      </c>
      <c r="G4780" s="3">
        <f>F4780-E4780</f>
        <v/>
      </c>
      <c r="H4780" s="4">
        <f>IF(E4780=0,"",F4780/E4780-1)</f>
        <v/>
      </c>
      <c r="I4780" t="inlineStr"/>
    </row>
    <row r="4781">
      <c r="A4781" t="inlineStr">
        <is>
          <t>Processed food &amp; beverages</t>
        </is>
      </c>
      <c r="B4781" t="inlineStr">
        <is>
          <t>21</t>
        </is>
      </c>
      <c r="C4781" t="inlineStr">
        <is>
          <t>21069080</t>
        </is>
      </c>
      <c r="D4781" t="inlineStr">
        <is>
          <t>CUSTARD POWDER</t>
        </is>
      </c>
      <c r="E4781" s="3" t="n">
        <v>0.36</v>
      </c>
      <c r="F4781" s="3" t="n">
        <v>0.23</v>
      </c>
      <c r="G4781" s="3">
        <f>F4781-E4781</f>
        <v/>
      </c>
      <c r="H4781" s="4">
        <f>IF(E4781=0,"",F4781/E4781-1)</f>
        <v/>
      </c>
      <c r="I4781" t="inlineStr"/>
    </row>
    <row r="4782">
      <c r="A4782" t="inlineStr">
        <is>
          <t>Processed food &amp; beverages</t>
        </is>
      </c>
      <c r="B4782" t="inlineStr">
        <is>
          <t>22</t>
        </is>
      </c>
      <c r="C4782" t="inlineStr">
        <is>
          <t>22083093</t>
        </is>
      </c>
      <c r="D4782" t="inlineStr">
        <is>
          <t>BLENDED WHISKEY IN CONTAINERS HOLDING MORE THAN 2 LTR</t>
        </is>
      </c>
      <c r="E4782" s="3" t="n">
        <v>0</v>
      </c>
      <c r="F4782" s="3" t="n">
        <v>0.22</v>
      </c>
      <c r="G4782" s="3">
        <f>F4782-E4782</f>
        <v/>
      </c>
      <c r="H4782" s="4">
        <f>IF(E4782=0,"",F4782/E4782-1)</f>
        <v/>
      </c>
      <c r="I4782" t="inlineStr"/>
    </row>
    <row r="4783">
      <c r="A4783" t="inlineStr">
        <is>
          <t>Processed food &amp; beverages</t>
        </is>
      </c>
      <c r="B4783" t="inlineStr">
        <is>
          <t>17</t>
        </is>
      </c>
      <c r="C4783" t="inlineStr">
        <is>
          <t>17029010</t>
        </is>
      </c>
      <c r="D4783" t="inlineStr">
        <is>
          <t>PALMYRA JAGGERY</t>
        </is>
      </c>
      <c r="E4783" s="3" t="n">
        <v>0.18</v>
      </c>
      <c r="F4783" s="3" t="n">
        <v>0.2</v>
      </c>
      <c r="G4783" s="3">
        <f>F4783-E4783</f>
        <v/>
      </c>
      <c r="H4783" s="4">
        <f>IF(E4783=0,"",F4783/E4783-1)</f>
        <v/>
      </c>
      <c r="I4783" t="inlineStr"/>
    </row>
    <row r="4784">
      <c r="A4784" t="inlineStr">
        <is>
          <t>Processed food &amp; beverages</t>
        </is>
      </c>
      <c r="B4784" t="inlineStr">
        <is>
          <t>20</t>
        </is>
      </c>
      <c r="C4784" t="inlineStr">
        <is>
          <t>20029000</t>
        </is>
      </c>
      <c r="D4784" t="inlineStr">
        <is>
          <t>OTHER PRPD/PRSVD TOMATOES</t>
        </is>
      </c>
      <c r="E4784" s="3" t="n">
        <v>0.02</v>
      </c>
      <c r="F4784" s="3" t="n">
        <v>0.2</v>
      </c>
      <c r="G4784" s="3">
        <f>F4784-E4784</f>
        <v/>
      </c>
      <c r="H4784" s="4">
        <f>IF(E4784=0,"",F4784/E4784-1)</f>
        <v/>
      </c>
      <c r="I4784" t="inlineStr"/>
    </row>
    <row r="4785">
      <c r="A4785" t="inlineStr">
        <is>
          <t>Processed food &amp; beverages</t>
        </is>
      </c>
      <c r="B4785" t="inlineStr">
        <is>
          <t>17</t>
        </is>
      </c>
      <c r="C4785" t="inlineStr">
        <is>
          <t>17023020</t>
        </is>
      </c>
      <c r="D4785" t="inlineStr">
        <is>
          <t>GLUCOSE SOLID</t>
        </is>
      </c>
      <c r="E4785" s="3" t="n">
        <v>0.31</v>
      </c>
      <c r="F4785" s="3" t="n">
        <v>0.19</v>
      </c>
      <c r="G4785" s="3">
        <f>F4785-E4785</f>
        <v/>
      </c>
      <c r="H4785" s="4">
        <f>IF(E4785=0,"",F4785/E4785-1)</f>
        <v/>
      </c>
      <c r="I4785" t="inlineStr"/>
    </row>
    <row r="4786">
      <c r="A4786" t="inlineStr">
        <is>
          <t>Processed food &amp; beverages</t>
        </is>
      </c>
      <c r="B4786" t="inlineStr">
        <is>
          <t>17</t>
        </is>
      </c>
      <c r="C4786" t="inlineStr">
        <is>
          <t>17024020</t>
        </is>
      </c>
      <c r="D4786" t="inlineStr">
        <is>
          <t>GLUCOSE SOLID</t>
        </is>
      </c>
      <c r="E4786" s="3" t="n">
        <v>0</v>
      </c>
      <c r="F4786" s="3" t="n">
        <v>0.18</v>
      </c>
      <c r="G4786" s="3">
        <f>F4786-E4786</f>
        <v/>
      </c>
      <c r="H4786" s="4">
        <f>IF(E4786=0,"",F4786/E4786-1)</f>
        <v/>
      </c>
      <c r="I4786" t="inlineStr"/>
    </row>
    <row r="4787">
      <c r="A4787" t="inlineStr">
        <is>
          <t>Processed food &amp; beverages</t>
        </is>
      </c>
      <c r="B4787" t="inlineStr">
        <is>
          <t>20</t>
        </is>
      </c>
      <c r="C4787" t="inlineStr">
        <is>
          <t>20098990</t>
        </is>
      </c>
      <c r="D4787" t="inlineStr">
        <is>
          <t>OTHER FRUIT JUICE</t>
        </is>
      </c>
      <c r="E4787" s="3" t="n">
        <v>0.22</v>
      </c>
      <c r="F4787" s="3" t="n">
        <v>0.18</v>
      </c>
      <c r="G4787" s="3">
        <f>F4787-E4787</f>
        <v/>
      </c>
      <c r="H4787" s="4">
        <f>IF(E4787=0,"",F4787/E4787-1)</f>
        <v/>
      </c>
      <c r="I4787" t="inlineStr"/>
    </row>
    <row r="4788">
      <c r="A4788" t="inlineStr">
        <is>
          <t>Processed food &amp; beverages</t>
        </is>
      </c>
      <c r="B4788" t="inlineStr">
        <is>
          <t>15</t>
        </is>
      </c>
      <c r="C4788" t="inlineStr">
        <is>
          <t>15131100</t>
        </is>
      </c>
      <c r="D4788" t="inlineStr">
        <is>
          <t>COCONUT (COPRA) CRUDE OIL AND FRACTIONS</t>
        </is>
      </c>
      <c r="E4788" s="3" t="n">
        <v>0.39</v>
      </c>
      <c r="F4788" s="3" t="n">
        <v>0.17</v>
      </c>
      <c r="G4788" s="3">
        <f>F4788-E4788</f>
        <v/>
      </c>
      <c r="H4788" s="4">
        <f>IF(E4788=0,"",F4788/E4788-1)</f>
        <v/>
      </c>
      <c r="I4788" t="inlineStr"/>
    </row>
    <row r="4789">
      <c r="A4789" t="inlineStr">
        <is>
          <t>Processed food &amp; beverages</t>
        </is>
      </c>
      <c r="B4789" t="inlineStr">
        <is>
          <t>19</t>
        </is>
      </c>
      <c r="C4789" t="inlineStr">
        <is>
          <t>19024090</t>
        </is>
      </c>
      <c r="D4789" t="inlineStr">
        <is>
          <t>OTHER COUSCOUS W/N PREPARED</t>
        </is>
      </c>
      <c r="E4789" s="3" t="n">
        <v>0.18</v>
      </c>
      <c r="F4789" s="3" t="n">
        <v>0.17</v>
      </c>
      <c r="G4789" s="3">
        <f>F4789-E4789</f>
        <v/>
      </c>
      <c r="H4789" s="4">
        <f>IF(E4789=0,"",F4789/E4789-1)</f>
        <v/>
      </c>
      <c r="I4789" t="inlineStr"/>
    </row>
    <row r="4790">
      <c r="A4790" t="inlineStr">
        <is>
          <t>Processed food &amp; beverages</t>
        </is>
      </c>
      <c r="B4790" t="inlineStr">
        <is>
          <t>15</t>
        </is>
      </c>
      <c r="C4790" t="inlineStr">
        <is>
          <t>15089099</t>
        </is>
      </c>
      <c r="D4790" t="inlineStr">
        <is>
          <t>OTHER GROUND NUT OIL</t>
        </is>
      </c>
      <c r="E4790" s="3" t="n">
        <v>0.13</v>
      </c>
      <c r="F4790" s="3" t="n">
        <v>0.15</v>
      </c>
      <c r="G4790" s="3">
        <f>F4790-E4790</f>
        <v/>
      </c>
      <c r="H4790" s="4">
        <f>IF(E4790=0,"",F4790/E4790-1)</f>
        <v/>
      </c>
      <c r="I4790" t="inlineStr"/>
    </row>
    <row r="4791">
      <c r="A4791" t="inlineStr">
        <is>
          <t>Processed food &amp; beverages</t>
        </is>
      </c>
      <c r="B4791" t="inlineStr">
        <is>
          <t>17</t>
        </is>
      </c>
      <c r="C4791" t="inlineStr">
        <is>
          <t>17019100</t>
        </is>
      </c>
      <c r="D4791" t="inlineStr">
        <is>
          <t>SUGR REFIND CONTNG FLVRNG OR CLRNG MATTER</t>
        </is>
      </c>
      <c r="E4791" s="3" t="n">
        <v>0.43</v>
      </c>
      <c r="F4791" s="3" t="n">
        <v>0.15</v>
      </c>
      <c r="G4791" s="3">
        <f>F4791-E4791</f>
        <v/>
      </c>
      <c r="H4791" s="4">
        <f>IF(E4791=0,"",F4791/E4791-1)</f>
        <v/>
      </c>
      <c r="I4791" t="inlineStr"/>
    </row>
    <row r="4792">
      <c r="A4792" t="inlineStr">
        <is>
          <t>Processed food &amp; beverages</t>
        </is>
      </c>
      <c r="B4792" t="inlineStr">
        <is>
          <t>20</t>
        </is>
      </c>
      <c r="C4792" t="inlineStr">
        <is>
          <t>20081990</t>
        </is>
      </c>
      <c r="D4792" t="inlineStr">
        <is>
          <t>*OTHER NUTS AND SEEDS NES</t>
        </is>
      </c>
      <c r="E4792" s="3" t="n">
        <v>0.4</v>
      </c>
      <c r="F4792" s="3" t="n">
        <v>0.15</v>
      </c>
      <c r="G4792" s="3">
        <f>F4792-E4792</f>
        <v/>
      </c>
      <c r="H4792" s="4">
        <f>IF(E4792=0,"",F4792/E4792-1)</f>
        <v/>
      </c>
      <c r="I4792" t="inlineStr"/>
    </row>
    <row r="4793">
      <c r="A4793" t="inlineStr">
        <is>
          <t>Processed food &amp; beverages</t>
        </is>
      </c>
      <c r="B4793" t="inlineStr">
        <is>
          <t>22</t>
        </is>
      </c>
      <c r="C4793" t="inlineStr">
        <is>
          <t>22029920</t>
        </is>
      </c>
      <c r="D4793" t="inlineStr">
        <is>
          <t>*FRUIT PULP OR FRUIT JUICE BASED DRINK</t>
        </is>
      </c>
      <c r="E4793" s="3" t="n">
        <v>0.29</v>
      </c>
      <c r="F4793" s="3" t="n">
        <v>0.15</v>
      </c>
      <c r="G4793" s="3">
        <f>F4793-E4793</f>
        <v/>
      </c>
      <c r="H4793" s="4">
        <f>IF(E4793=0,"",F4793/E4793-1)</f>
        <v/>
      </c>
      <c r="I4793" t="inlineStr"/>
    </row>
    <row r="4794">
      <c r="A4794" t="inlineStr">
        <is>
          <t>Processed food &amp; beverages</t>
        </is>
      </c>
      <c r="B4794" t="inlineStr">
        <is>
          <t>23</t>
        </is>
      </c>
      <c r="C4794" t="inlineStr">
        <is>
          <t>23099039</t>
        </is>
      </c>
      <c r="D4794" t="inlineStr">
        <is>
          <t>OTHER PEEDS OF FISH</t>
        </is>
      </c>
      <c r="E4794" s="3" t="n">
        <v>0</v>
      </c>
      <c r="F4794" s="3" t="n">
        <v>0.15</v>
      </c>
      <c r="G4794" s="3">
        <f>F4794-E4794</f>
        <v/>
      </c>
      <c r="H4794" s="4">
        <f>IF(E4794=0,"",F4794/E4794-1)</f>
        <v/>
      </c>
      <c r="I4794" t="inlineStr"/>
    </row>
    <row r="4795">
      <c r="A4795" t="inlineStr">
        <is>
          <t>Processed food &amp; beverages</t>
        </is>
      </c>
      <c r="B4795" t="inlineStr">
        <is>
          <t>17</t>
        </is>
      </c>
      <c r="C4795" t="inlineStr">
        <is>
          <t>17021190</t>
        </is>
      </c>
      <c r="D4795" t="inlineStr">
        <is>
          <t>LACTS AND LACTS SYRP CONTNG 99%OR MRE LACTS OTHR THAN SOLID FORM</t>
        </is>
      </c>
      <c r="E4795" s="3" t="n">
        <v>0.41</v>
      </c>
      <c r="F4795" s="3" t="n">
        <v>0.14</v>
      </c>
      <c r="G4795" s="3">
        <f>F4795-E4795</f>
        <v/>
      </c>
      <c r="H4795" s="4">
        <f>IF(E4795=0,"",F4795/E4795-1)</f>
        <v/>
      </c>
      <c r="I4795" t="inlineStr"/>
    </row>
    <row r="4796">
      <c r="A4796" t="inlineStr">
        <is>
          <t>Processed food &amp; beverages</t>
        </is>
      </c>
      <c r="B4796" t="inlineStr">
        <is>
          <t>21</t>
        </is>
      </c>
      <c r="C4796" t="inlineStr">
        <is>
          <t>21050000</t>
        </is>
      </c>
      <c r="D4796" t="inlineStr">
        <is>
          <t>ICE CREAM AND OTHR EDBL ICE W/N CONTNG COCOA</t>
        </is>
      </c>
      <c r="E4796" s="3" t="n">
        <v>0.11</v>
      </c>
      <c r="F4796" s="3" t="n">
        <v>0.13</v>
      </c>
      <c r="G4796" s="3">
        <f>F4796-E4796</f>
        <v/>
      </c>
      <c r="H4796" s="4">
        <f>IF(E4796=0,"",F4796/E4796-1)</f>
        <v/>
      </c>
      <c r="I4796" t="inlineStr"/>
    </row>
    <row r="4797">
      <c r="A4797" t="inlineStr">
        <is>
          <t>Processed food &amp; beverages</t>
        </is>
      </c>
      <c r="B4797" t="inlineStr">
        <is>
          <t>21</t>
        </is>
      </c>
      <c r="C4797" t="inlineStr">
        <is>
          <t>21069019</t>
        </is>
      </c>
      <c r="D4797" t="inlineStr">
        <is>
          <t>SOFT DRINK - OTHER THAN SHARBAT</t>
        </is>
      </c>
      <c r="E4797" s="3" t="n">
        <v>0.84</v>
      </c>
      <c r="F4797" s="3" t="n">
        <v>0.13</v>
      </c>
      <c r="G4797" s="3">
        <f>F4797-E4797</f>
        <v/>
      </c>
      <c r="H4797" s="4">
        <f>IF(E4797=0,"",F4797/E4797-1)</f>
        <v/>
      </c>
      <c r="I4797" t="inlineStr"/>
    </row>
    <row r="4798">
      <c r="A4798" t="inlineStr">
        <is>
          <t>Processed food &amp; beverages</t>
        </is>
      </c>
      <c r="B4798" t="inlineStr">
        <is>
          <t>22</t>
        </is>
      </c>
      <c r="C4798" t="inlineStr">
        <is>
          <t>22029100</t>
        </is>
      </c>
      <c r="D4798" t="inlineStr">
        <is>
          <t>NON ALCOHOLIC BEER</t>
        </is>
      </c>
      <c r="E4798" s="3" t="n">
        <v>0.6899999999999999</v>
      </c>
      <c r="F4798" s="3" t="n">
        <v>0.13</v>
      </c>
      <c r="G4798" s="3">
        <f>F4798-E4798</f>
        <v/>
      </c>
      <c r="H4798" s="4">
        <f>IF(E4798=0,"",F4798/E4798-1)</f>
        <v/>
      </c>
      <c r="I4798" t="inlineStr"/>
    </row>
    <row r="4799">
      <c r="A4799" t="inlineStr">
        <is>
          <t>Processed food &amp; beverages</t>
        </is>
      </c>
      <c r="B4799" t="inlineStr">
        <is>
          <t>21</t>
        </is>
      </c>
      <c r="C4799" t="inlineStr">
        <is>
          <t>21011130</t>
        </is>
      </c>
      <c r="D4799" t="inlineStr">
        <is>
          <t>COFFEE AROMA</t>
        </is>
      </c>
      <c r="E4799" s="3" t="n">
        <v>0</v>
      </c>
      <c r="F4799" s="3" t="n">
        <v>0.12</v>
      </c>
      <c r="G4799" s="3">
        <f>F4799-E4799</f>
        <v/>
      </c>
      <c r="H4799" s="4">
        <f>IF(E4799=0,"",F4799/E4799-1)</f>
        <v/>
      </c>
      <c r="I4799" t="inlineStr"/>
    </row>
    <row r="4800">
      <c r="A4800" t="inlineStr">
        <is>
          <t>Processed food &amp; beverages</t>
        </is>
      </c>
      <c r="B4800" t="inlineStr">
        <is>
          <t>22</t>
        </is>
      </c>
      <c r="C4800" t="inlineStr">
        <is>
          <t>22082091</t>
        </is>
      </c>
      <c r="D4800" t="inlineStr">
        <is>
          <t>BRANDY IN CONTAINERS HOLDING MORE THAN 2 LTR</t>
        </is>
      </c>
      <c r="E4800" s="3" t="n">
        <v>0.29</v>
      </c>
      <c r="F4800" s="3" t="n">
        <v>0.12</v>
      </c>
      <c r="G4800" s="3">
        <f>F4800-E4800</f>
        <v/>
      </c>
      <c r="H4800" s="4">
        <f>IF(E4800=0,"",F4800/E4800-1)</f>
        <v/>
      </c>
      <c r="I4800" t="inlineStr"/>
    </row>
    <row r="4801">
      <c r="A4801" t="inlineStr">
        <is>
          <t>Processed food &amp; beverages</t>
        </is>
      </c>
      <c r="B4801" t="inlineStr">
        <is>
          <t>17</t>
        </is>
      </c>
      <c r="C4801" t="inlineStr">
        <is>
          <t>17011200</t>
        </is>
      </c>
      <c r="D4801" t="inlineStr">
        <is>
          <t>BEET SUGR RAW NT CONTNG FLVRNG/COLRNG MATR</t>
        </is>
      </c>
      <c r="E4801" s="3" t="n">
        <v>0.42</v>
      </c>
      <c r="F4801" s="3" t="n">
        <v>0.11</v>
      </c>
      <c r="G4801" s="3">
        <f>F4801-E4801</f>
        <v/>
      </c>
      <c r="H4801" s="4">
        <f>IF(E4801=0,"",F4801/E4801-1)</f>
        <v/>
      </c>
      <c r="I4801" t="inlineStr"/>
    </row>
    <row r="4802">
      <c r="A4802" t="inlineStr">
        <is>
          <t>Processed food &amp; beverages</t>
        </is>
      </c>
      <c r="B4802" t="inlineStr">
        <is>
          <t>17</t>
        </is>
      </c>
      <c r="C4802" t="inlineStr">
        <is>
          <t>17031000</t>
        </is>
      </c>
      <c r="D4802" t="inlineStr">
        <is>
          <t>CANE MOLSES RSLTD FRM EXTRCTN/RFNG OF SUGR</t>
        </is>
      </c>
      <c r="E4802" s="3" t="n">
        <v>6.01</v>
      </c>
      <c r="F4802" s="3" t="n">
        <v>0.11</v>
      </c>
      <c r="G4802" s="3">
        <f>F4802-E4802</f>
        <v/>
      </c>
      <c r="H4802" s="4">
        <f>IF(E4802=0,"",F4802/E4802-1)</f>
        <v/>
      </c>
      <c r="I4802" t="inlineStr"/>
    </row>
    <row r="4803">
      <c r="A4803" t="inlineStr">
        <is>
          <t>Processed food &amp; beverages</t>
        </is>
      </c>
      <c r="B4803" t="inlineStr">
        <is>
          <t>20</t>
        </is>
      </c>
      <c r="C4803" t="inlineStr">
        <is>
          <t>20089700</t>
        </is>
      </c>
      <c r="D4803" t="inlineStr">
        <is>
          <t>MIXTURES</t>
        </is>
      </c>
      <c r="E4803" s="3" t="n">
        <v>0.05</v>
      </c>
      <c r="F4803" s="3" t="n">
        <v>0.11</v>
      </c>
      <c r="G4803" s="3">
        <f>F4803-E4803</f>
        <v/>
      </c>
      <c r="H4803" s="4">
        <f>IF(E4803=0,"",F4803/E4803-1)</f>
        <v/>
      </c>
      <c r="I4803" t="inlineStr"/>
    </row>
    <row r="4804">
      <c r="A4804" t="inlineStr">
        <is>
          <t>Processed food &amp; beverages</t>
        </is>
      </c>
      <c r="B4804" t="inlineStr">
        <is>
          <t>21</t>
        </is>
      </c>
      <c r="C4804" t="inlineStr">
        <is>
          <t>21069091</t>
        </is>
      </c>
      <c r="D4804" t="inlineStr">
        <is>
          <t>OTHER DIABETIC FOODS</t>
        </is>
      </c>
      <c r="E4804" s="3" t="n">
        <v>0.55</v>
      </c>
      <c r="F4804" s="3" t="n">
        <v>0.11</v>
      </c>
      <c r="G4804" s="3">
        <f>F4804-E4804</f>
        <v/>
      </c>
      <c r="H4804" s="4">
        <f>IF(E4804=0,"",F4804/E4804-1)</f>
        <v/>
      </c>
      <c r="I4804" t="inlineStr"/>
    </row>
    <row r="4805">
      <c r="A4805" t="inlineStr">
        <is>
          <t>Processed food &amp; beverages</t>
        </is>
      </c>
      <c r="B4805" t="inlineStr">
        <is>
          <t>20</t>
        </is>
      </c>
      <c r="C4805" t="inlineStr">
        <is>
          <t>20079930</t>
        </is>
      </c>
      <c r="D4805" t="inlineStr">
        <is>
          <t>PINEAPPLE</t>
        </is>
      </c>
      <c r="E4805" s="3" t="n">
        <v>0.03</v>
      </c>
      <c r="F4805" s="3" t="n">
        <v>0.1</v>
      </c>
      <c r="G4805" s="3">
        <f>F4805-E4805</f>
        <v/>
      </c>
      <c r="H4805" s="4">
        <f>IF(E4805=0,"",F4805/E4805-1)</f>
        <v/>
      </c>
      <c r="I4805" t="inlineStr"/>
    </row>
    <row r="4806">
      <c r="A4806" t="inlineStr">
        <is>
          <t>Processed food &amp; beverages</t>
        </is>
      </c>
      <c r="B4806" t="inlineStr">
        <is>
          <t>15</t>
        </is>
      </c>
      <c r="C4806" t="inlineStr">
        <is>
          <t>15180040</t>
        </is>
      </c>
      <c r="D4806" t="inlineStr">
        <is>
          <t>OTHER ANML OR VEG FATS AND OILS AND THEIR FRACTIONS</t>
        </is>
      </c>
      <c r="E4806" s="3" t="n">
        <v>0.08</v>
      </c>
      <c r="F4806" s="3" t="n">
        <v>0.09</v>
      </c>
      <c r="G4806" s="3">
        <f>F4806-E4806</f>
        <v/>
      </c>
      <c r="H4806" s="4">
        <f>IF(E4806=0,"",F4806/E4806-1)</f>
        <v/>
      </c>
      <c r="I4806" t="inlineStr"/>
    </row>
    <row r="4807">
      <c r="A4807" t="inlineStr">
        <is>
          <t>Processed food &amp; beverages</t>
        </is>
      </c>
      <c r="B4807" t="inlineStr">
        <is>
          <t>19</t>
        </is>
      </c>
      <c r="C4807" t="inlineStr">
        <is>
          <t>19021100</t>
        </is>
      </c>
      <c r="D4807" t="inlineStr">
        <is>
          <t>UNCOKD PSTA NTSTFD/OTHRWSE PRPD CNTNG EGGS</t>
        </is>
      </c>
      <c r="E4807" s="3" t="n">
        <v>0.01</v>
      </c>
      <c r="F4807" s="3" t="n">
        <v>0.09</v>
      </c>
      <c r="G4807" s="3">
        <f>F4807-E4807</f>
        <v/>
      </c>
      <c r="H4807" s="4">
        <f>IF(E4807=0,"",F4807/E4807-1)</f>
        <v/>
      </c>
      <c r="I4807" t="inlineStr"/>
    </row>
    <row r="4808">
      <c r="A4808" t="inlineStr">
        <is>
          <t>Processed food &amp; beverages</t>
        </is>
      </c>
      <c r="B4808" t="inlineStr">
        <is>
          <t>15</t>
        </is>
      </c>
      <c r="C4808" t="inlineStr">
        <is>
          <t>15179090</t>
        </is>
      </c>
      <c r="D4808" t="inlineStr">
        <is>
          <t>OTHER EDBLE MIXTR OR PREPRSNS OF ANMAL OR VEG FATS OR OILS</t>
        </is>
      </c>
      <c r="E4808" s="3" t="n">
        <v>0.06</v>
      </c>
      <c r="F4808" s="3" t="n">
        <v>0.08</v>
      </c>
      <c r="G4808" s="3">
        <f>F4808-E4808</f>
        <v/>
      </c>
      <c r="H4808" s="4">
        <f>IF(E4808=0,"",F4808/E4808-1)</f>
        <v/>
      </c>
      <c r="I4808" t="inlineStr"/>
    </row>
    <row r="4809">
      <c r="A4809" t="inlineStr">
        <is>
          <t>Processed food &amp; beverages</t>
        </is>
      </c>
      <c r="B4809" t="inlineStr">
        <is>
          <t>20</t>
        </is>
      </c>
      <c r="C4809" t="inlineStr">
        <is>
          <t>20099000</t>
        </is>
      </c>
      <c r="D4809" t="inlineStr">
        <is>
          <t>MIXTRS OF JUICES UNFRMNTD NT CONTNG SPIRIT</t>
        </is>
      </c>
      <c r="E4809" s="3" t="n">
        <v>0.2</v>
      </c>
      <c r="F4809" s="3" t="n">
        <v>0.08</v>
      </c>
      <c r="G4809" s="3">
        <f>F4809-E4809</f>
        <v/>
      </c>
      <c r="H4809" s="4">
        <f>IF(E4809=0,"",F4809/E4809-1)</f>
        <v/>
      </c>
      <c r="I4809" t="inlineStr"/>
    </row>
    <row r="4810">
      <c r="A4810" t="inlineStr">
        <is>
          <t>Processed food &amp; beverages</t>
        </is>
      </c>
      <c r="B4810" t="inlineStr">
        <is>
          <t>19</t>
        </is>
      </c>
      <c r="C4810" t="inlineStr">
        <is>
          <t>19051000</t>
        </is>
      </c>
      <c r="D4810" t="inlineStr">
        <is>
          <t>CRISP BREAD</t>
        </is>
      </c>
      <c r="E4810" s="3" t="n">
        <v>0.02</v>
      </c>
      <c r="F4810" s="3" t="n">
        <v>0.07000000000000001</v>
      </c>
      <c r="G4810" s="3">
        <f>F4810-E4810</f>
        <v/>
      </c>
      <c r="H4810" s="4">
        <f>IF(E4810=0,"",F4810/E4810-1)</f>
        <v/>
      </c>
      <c r="I4810" t="inlineStr"/>
    </row>
    <row r="4811">
      <c r="A4811" t="inlineStr">
        <is>
          <t>Processed food &amp; beverages</t>
        </is>
      </c>
      <c r="B4811" t="inlineStr">
        <is>
          <t>22</t>
        </is>
      </c>
      <c r="C4811" t="inlineStr">
        <is>
          <t>22084012</t>
        </is>
      </c>
      <c r="D4811" t="inlineStr">
        <is>
          <t>TAFIA IN CONTAINERS HOLDING 2 LTR OR LESS</t>
        </is>
      </c>
      <c r="E4811" s="3" t="n">
        <v>0.14</v>
      </c>
      <c r="F4811" s="3" t="n">
        <v>0.07000000000000001</v>
      </c>
      <c r="G4811" s="3">
        <f>F4811-E4811</f>
        <v/>
      </c>
      <c r="H4811" s="4">
        <f>IF(E4811=0,"",F4811/E4811-1)</f>
        <v/>
      </c>
      <c r="I4811" t="inlineStr"/>
    </row>
    <row r="4812">
      <c r="A4812" t="inlineStr">
        <is>
          <t>Processed food &amp; beverages</t>
        </is>
      </c>
      <c r="B4812" t="inlineStr">
        <is>
          <t>23</t>
        </is>
      </c>
      <c r="C4812" t="inlineStr">
        <is>
          <t>23061020</t>
        </is>
      </c>
      <c r="D4812" t="inlineStr">
        <is>
          <t>OIL-CAKE AND OIL-CAKE MEAL DECRTICED,SOLVNT EXTRACTED (DEFATD) VARITY OF COTTON SEEDS</t>
        </is>
      </c>
      <c r="E4812" s="3" t="n">
        <v>0</v>
      </c>
      <c r="F4812" s="3" t="n">
        <v>0.07000000000000001</v>
      </c>
      <c r="G4812" s="3">
        <f>F4812-E4812</f>
        <v/>
      </c>
      <c r="H4812" s="4">
        <f>IF(E4812=0,"",F4812/E4812-1)</f>
        <v/>
      </c>
      <c r="I4812" t="inlineStr"/>
    </row>
    <row r="4813">
      <c r="A4813" t="inlineStr">
        <is>
          <t>Processed food &amp; beverages</t>
        </is>
      </c>
      <c r="B4813" t="inlineStr">
        <is>
          <t>15</t>
        </is>
      </c>
      <c r="C4813" t="inlineStr">
        <is>
          <t>15151990</t>
        </is>
      </c>
      <c r="D4813" t="inlineStr">
        <is>
          <t>OTHER LINSEED OIL OTHER THAN EDBLE GRADE</t>
        </is>
      </c>
      <c r="E4813" s="3" t="n">
        <v>0.01</v>
      </c>
      <c r="F4813" s="3" t="n">
        <v>0.06</v>
      </c>
      <c r="G4813" s="3">
        <f>F4813-E4813</f>
        <v/>
      </c>
      <c r="H4813" s="4">
        <f>IF(E4813=0,"",F4813/E4813-1)</f>
        <v/>
      </c>
      <c r="I4813" t="inlineStr"/>
    </row>
    <row r="4814">
      <c r="A4814" t="inlineStr">
        <is>
          <t>Processed food &amp; beverages</t>
        </is>
      </c>
      <c r="B4814" t="inlineStr">
        <is>
          <t>15</t>
        </is>
      </c>
      <c r="C4814" t="inlineStr">
        <is>
          <t>15159020</t>
        </is>
      </c>
      <c r="D4814" t="inlineStr">
        <is>
          <t>FXD VEG OILS VIZ. NEEM SD, KARNJ, SLK CTN,KHAKON,WAT MELN,KSUM,RUBRSD,DHUP,UNDI MRTI,PISA,NAHAR</t>
        </is>
      </c>
      <c r="E4814" s="3" t="n">
        <v>0.06</v>
      </c>
      <c r="F4814" s="3" t="n">
        <v>0.06</v>
      </c>
      <c r="G4814" s="3">
        <f>F4814-E4814</f>
        <v/>
      </c>
      <c r="H4814" s="4">
        <f>IF(E4814=0,"",F4814/E4814-1)</f>
        <v/>
      </c>
      <c r="I4814" t="inlineStr"/>
    </row>
    <row r="4815">
      <c r="A4815" t="inlineStr">
        <is>
          <t>Processed food &amp; beverages</t>
        </is>
      </c>
      <c r="B4815" t="inlineStr">
        <is>
          <t>20</t>
        </is>
      </c>
      <c r="C4815" t="inlineStr">
        <is>
          <t>20079940</t>
        </is>
      </c>
      <c r="D4815" t="inlineStr">
        <is>
          <t>APPLE</t>
        </is>
      </c>
      <c r="E4815" s="3" t="n">
        <v>0</v>
      </c>
      <c r="F4815" s="3" t="n">
        <v>0.06</v>
      </c>
      <c r="G4815" s="3">
        <f>F4815-E4815</f>
        <v/>
      </c>
      <c r="H4815" s="4">
        <f>IF(E4815=0,"",F4815/E4815-1)</f>
        <v/>
      </c>
      <c r="I4815" t="inlineStr"/>
    </row>
    <row r="4816">
      <c r="A4816" t="inlineStr">
        <is>
          <t>Processed food &amp; beverages</t>
        </is>
      </c>
      <c r="B4816" t="inlineStr">
        <is>
          <t>24</t>
        </is>
      </c>
      <c r="C4816" t="inlineStr">
        <is>
          <t>24049100</t>
        </is>
      </c>
      <c r="D4816" t="inlineStr">
        <is>
          <t>FOR ORAL APPLICATION</t>
        </is>
      </c>
      <c r="E4816" s="3" t="n">
        <v>0</v>
      </c>
      <c r="F4816" s="3" t="n">
        <v>0.06</v>
      </c>
      <c r="G4816" s="3">
        <f>F4816-E4816</f>
        <v/>
      </c>
      <c r="H4816" s="4">
        <f>IF(E4816=0,"",F4816/E4816-1)</f>
        <v/>
      </c>
      <c r="I4816" t="inlineStr"/>
    </row>
    <row r="4817">
      <c r="A4817" t="inlineStr">
        <is>
          <t>Processed food &amp; beverages</t>
        </is>
      </c>
      <c r="B4817" t="inlineStr">
        <is>
          <t>19</t>
        </is>
      </c>
      <c r="C4817" t="inlineStr">
        <is>
          <t>19049000</t>
        </is>
      </c>
      <c r="D4817" t="inlineStr">
        <is>
          <t>OTHER PRPD FOODS OBTND FROM RSTD CRL FLKS</t>
        </is>
      </c>
      <c r="E4817" s="3" t="n">
        <v>0.03</v>
      </c>
      <c r="F4817" s="3" t="n">
        <v>0.05</v>
      </c>
      <c r="G4817" s="3">
        <f>F4817-E4817</f>
        <v/>
      </c>
      <c r="H4817" s="4">
        <f>IF(E4817=0,"",F4817/E4817-1)</f>
        <v/>
      </c>
      <c r="I4817" t="inlineStr"/>
    </row>
    <row r="4818">
      <c r="A4818" t="inlineStr">
        <is>
          <t>Processed food &amp; beverages</t>
        </is>
      </c>
      <c r="B4818" t="inlineStr">
        <is>
          <t>15</t>
        </is>
      </c>
      <c r="C4818" t="inlineStr">
        <is>
          <t>15081000</t>
        </is>
      </c>
      <c r="D4818" t="inlineStr">
        <is>
          <t>GROUND NUT OIL CRUDE</t>
        </is>
      </c>
      <c r="E4818" s="3" t="n">
        <v>0.07000000000000001</v>
      </c>
      <c r="F4818" s="3" t="n">
        <v>0.04</v>
      </c>
      <c r="G4818" s="3">
        <f>F4818-E4818</f>
        <v/>
      </c>
      <c r="H4818" s="4">
        <f>IF(E4818=0,"",F4818/E4818-1)</f>
        <v/>
      </c>
      <c r="I4818" t="inlineStr"/>
    </row>
    <row r="4819">
      <c r="A4819" t="inlineStr">
        <is>
          <t>Processed food &amp; beverages</t>
        </is>
      </c>
      <c r="B4819" t="inlineStr">
        <is>
          <t>15</t>
        </is>
      </c>
      <c r="C4819" t="inlineStr">
        <is>
          <t>15121990</t>
        </is>
      </c>
      <c r="D4819" t="inlineStr">
        <is>
          <t>OTHERSUNFLWR ANDSAFFLWR OIL EXCLD EDIBLE/ NON-EDBLE GRADE</t>
        </is>
      </c>
      <c r="E4819" s="3" t="n">
        <v>0</v>
      </c>
      <c r="F4819" s="3" t="n">
        <v>0.04</v>
      </c>
      <c r="G4819" s="3">
        <f>F4819-E4819</f>
        <v/>
      </c>
      <c r="H4819" s="4">
        <f>IF(E4819=0,"",F4819/E4819-1)</f>
        <v/>
      </c>
      <c r="I4819" t="inlineStr"/>
    </row>
    <row r="4820">
      <c r="A4820" t="inlineStr">
        <is>
          <t>Processed food &amp; beverages</t>
        </is>
      </c>
      <c r="B4820" t="inlineStr">
        <is>
          <t>15</t>
        </is>
      </c>
      <c r="C4820" t="inlineStr">
        <is>
          <t>15162021</t>
        </is>
      </c>
      <c r="D4820" t="inlineStr">
        <is>
          <t>GROUND NUT OIL OF EDBLE GRADE</t>
        </is>
      </c>
      <c r="E4820" s="3" t="n">
        <v>0.09</v>
      </c>
      <c r="F4820" s="3" t="n">
        <v>0.04</v>
      </c>
      <c r="G4820" s="3">
        <f>F4820-E4820</f>
        <v/>
      </c>
      <c r="H4820" s="4">
        <f>IF(E4820=0,"",F4820/E4820-1)</f>
        <v/>
      </c>
      <c r="I4820" t="inlineStr"/>
    </row>
    <row r="4821">
      <c r="A4821" t="inlineStr">
        <is>
          <t>Processed food &amp; beverages</t>
        </is>
      </c>
      <c r="B4821" t="inlineStr">
        <is>
          <t>20</t>
        </is>
      </c>
      <c r="C4821" t="inlineStr">
        <is>
          <t>20071000</t>
        </is>
      </c>
      <c r="D4821" t="inlineStr">
        <is>
          <t>HOMOGENISED PREPARATIONS</t>
        </is>
      </c>
      <c r="E4821" s="3" t="n">
        <v>0.23</v>
      </c>
      <c r="F4821" s="3" t="n">
        <v>0.04</v>
      </c>
      <c r="G4821" s="3">
        <f>F4821-E4821</f>
        <v/>
      </c>
      <c r="H4821" s="4">
        <f>IF(E4821=0,"",F4821/E4821-1)</f>
        <v/>
      </c>
      <c r="I4821" t="inlineStr"/>
    </row>
    <row r="4822">
      <c r="A4822" t="inlineStr">
        <is>
          <t>Processed food &amp; beverages</t>
        </is>
      </c>
      <c r="B4822" t="inlineStr">
        <is>
          <t>23</t>
        </is>
      </c>
      <c r="C4822" t="inlineStr">
        <is>
          <t>23040090</t>
        </is>
      </c>
      <c r="D4822" t="inlineStr">
        <is>
          <t>OTHER SOLID RESIDUES RESULTING FROM OF EXTRACTION SOYABEAN OIL</t>
        </is>
      </c>
      <c r="E4822" s="3" t="n">
        <v>3.02</v>
      </c>
      <c r="F4822" s="3" t="n">
        <v>0.04</v>
      </c>
      <c r="G4822" s="3">
        <f>F4822-E4822</f>
        <v/>
      </c>
      <c r="H4822" s="4">
        <f>IF(E4822=0,"",F4822/E4822-1)</f>
        <v/>
      </c>
      <c r="I4822" t="inlineStr"/>
    </row>
    <row r="4823">
      <c r="A4823" t="inlineStr">
        <is>
          <t>Processed food &amp; beverages</t>
        </is>
      </c>
      <c r="B4823" t="inlineStr">
        <is>
          <t>15</t>
        </is>
      </c>
      <c r="C4823" t="inlineStr">
        <is>
          <t>15149920</t>
        </is>
      </c>
      <c r="D4823" t="inlineStr">
        <is>
          <t>REFND MUSTARD OIL EDBLE GRDE</t>
        </is>
      </c>
      <c r="E4823" s="3" t="n">
        <v>0.18</v>
      </c>
      <c r="F4823" s="3" t="n">
        <v>0.03</v>
      </c>
      <c r="G4823" s="3">
        <f>F4823-E4823</f>
        <v/>
      </c>
      <c r="H4823" s="4">
        <f>IF(E4823=0,"",F4823/E4823-1)</f>
        <v/>
      </c>
      <c r="I4823" t="inlineStr"/>
    </row>
    <row r="4824">
      <c r="A4824" t="inlineStr">
        <is>
          <t>Processed food &amp; beverages</t>
        </is>
      </c>
      <c r="B4824" t="inlineStr">
        <is>
          <t>18</t>
        </is>
      </c>
      <c r="C4824" t="inlineStr">
        <is>
          <t>18063100</t>
        </is>
      </c>
      <c r="D4824" t="inlineStr">
        <is>
          <t>OTHR FOOD PRPN IN BLCKS SLBS/BARS FLLED</t>
        </is>
      </c>
      <c r="E4824" s="3" t="n">
        <v>0.05</v>
      </c>
      <c r="F4824" s="3" t="n">
        <v>0.03</v>
      </c>
      <c r="G4824" s="3">
        <f>F4824-E4824</f>
        <v/>
      </c>
      <c r="H4824" s="4">
        <f>IF(E4824=0,"",F4824/E4824-1)</f>
        <v/>
      </c>
      <c r="I4824" t="inlineStr"/>
    </row>
    <row r="4825">
      <c r="A4825" t="inlineStr">
        <is>
          <t>Processed food &amp; beverages</t>
        </is>
      </c>
      <c r="B4825" t="inlineStr">
        <is>
          <t>20</t>
        </is>
      </c>
      <c r="C4825" t="inlineStr">
        <is>
          <t>20079100</t>
        </is>
      </c>
      <c r="D4825" t="inlineStr">
        <is>
          <t>JAMS JELLIES MRMLDS ETC OF CITRUS FRUITS</t>
        </is>
      </c>
      <c r="E4825" s="3" t="n">
        <v>0.06</v>
      </c>
      <c r="F4825" s="3" t="n">
        <v>0.03</v>
      </c>
      <c r="G4825" s="3">
        <f>F4825-E4825</f>
        <v/>
      </c>
      <c r="H4825" s="4">
        <f>IF(E4825=0,"",F4825/E4825-1)</f>
        <v/>
      </c>
      <c r="I4825" t="inlineStr"/>
    </row>
    <row r="4826">
      <c r="A4826" t="inlineStr">
        <is>
          <t>Processed food &amp; beverages</t>
        </is>
      </c>
      <c r="B4826" t="inlineStr">
        <is>
          <t>22</t>
        </is>
      </c>
      <c r="C4826" t="inlineStr">
        <is>
          <t>22085011</t>
        </is>
      </c>
      <c r="D4826" t="inlineStr">
        <is>
          <t>GIN IN CONTAINERS HOLDING 2 LTR OR LESS</t>
        </is>
      </c>
      <c r="E4826" s="3" t="n">
        <v>0.13</v>
      </c>
      <c r="F4826" s="3" t="n">
        <v>0.03</v>
      </c>
      <c r="G4826" s="3">
        <f>F4826-E4826</f>
        <v/>
      </c>
      <c r="H4826" s="4">
        <f>IF(E4826=0,"",F4826/E4826-1)</f>
        <v/>
      </c>
      <c r="I4826" t="inlineStr"/>
    </row>
    <row r="4827">
      <c r="A4827" t="inlineStr">
        <is>
          <t>Processed food &amp; beverages</t>
        </is>
      </c>
      <c r="B4827" t="inlineStr">
        <is>
          <t>15</t>
        </is>
      </c>
      <c r="C4827" t="inlineStr">
        <is>
          <t>15159040</t>
        </is>
      </c>
      <c r="D4827" t="inlineStr">
        <is>
          <t>FXD VEG OILS OF EDBLE GRADE VIZ. MNGO KRNLMAHUA,RCE BRN OIL</t>
        </is>
      </c>
      <c r="E4827" s="3" t="n">
        <v>0.04</v>
      </c>
      <c r="F4827" s="3" t="n">
        <v>0.02</v>
      </c>
      <c r="G4827" s="3">
        <f>F4827-E4827</f>
        <v/>
      </c>
      <c r="H4827" s="4">
        <f>IF(E4827=0,"",F4827/E4827-1)</f>
        <v/>
      </c>
      <c r="I4827" t="inlineStr"/>
    </row>
    <row r="4828">
      <c r="A4828" t="inlineStr">
        <is>
          <t>Processed food &amp; beverages</t>
        </is>
      </c>
      <c r="B4828" t="inlineStr">
        <is>
          <t>15</t>
        </is>
      </c>
      <c r="C4828" t="inlineStr">
        <is>
          <t>15159099</t>
        </is>
      </c>
      <c r="D4828" t="inlineStr">
        <is>
          <t>OTHER FXD VEG FATS AND OIL AND THEIR FRACTIONS</t>
        </is>
      </c>
      <c r="E4828" s="3" t="n">
        <v>0.12</v>
      </c>
      <c r="F4828" s="3" t="n">
        <v>0.02</v>
      </c>
      <c r="G4828" s="3">
        <f>F4828-E4828</f>
        <v/>
      </c>
      <c r="H4828" s="4">
        <f>IF(E4828=0,"",F4828/E4828-1)</f>
        <v/>
      </c>
      <c r="I4828" t="inlineStr"/>
    </row>
    <row r="4829">
      <c r="A4829" t="inlineStr">
        <is>
          <t>Processed food &amp; beverages</t>
        </is>
      </c>
      <c r="B4829" t="inlineStr">
        <is>
          <t>15</t>
        </is>
      </c>
      <c r="C4829" t="inlineStr">
        <is>
          <t>15162099</t>
        </is>
      </c>
      <c r="D4829" t="inlineStr">
        <is>
          <t>OTHR VEG FATS AND OILS AND THEIR FRACTIONS</t>
        </is>
      </c>
      <c r="E4829" s="3" t="n">
        <v>0</v>
      </c>
      <c r="F4829" s="3" t="n">
        <v>0.02</v>
      </c>
      <c r="G4829" s="3">
        <f>F4829-E4829</f>
        <v/>
      </c>
      <c r="H4829" s="4">
        <f>IF(E4829=0,"",F4829/E4829-1)</f>
        <v/>
      </c>
      <c r="I4829" t="inlineStr"/>
    </row>
    <row r="4830">
      <c r="A4830" t="inlineStr">
        <is>
          <t>Processed food &amp; beverages</t>
        </is>
      </c>
      <c r="B4830" t="inlineStr">
        <is>
          <t>15</t>
        </is>
      </c>
      <c r="C4830" t="inlineStr">
        <is>
          <t>15179010</t>
        </is>
      </c>
      <c r="D4830" t="inlineStr">
        <is>
          <t>SAL FAT (PROCESSED OR REFINED)</t>
        </is>
      </c>
      <c r="E4830" s="3" t="n">
        <v>0</v>
      </c>
      <c r="F4830" s="3" t="n">
        <v>0.02</v>
      </c>
      <c r="G4830" s="3">
        <f>F4830-E4830</f>
        <v/>
      </c>
      <c r="H4830" s="4">
        <f>IF(E4830=0,"",F4830/E4830-1)</f>
        <v/>
      </c>
      <c r="I4830" t="inlineStr"/>
    </row>
    <row r="4831">
      <c r="A4831" t="inlineStr">
        <is>
          <t>Processed food &amp; beverages</t>
        </is>
      </c>
      <c r="B4831" t="inlineStr">
        <is>
          <t>15</t>
        </is>
      </c>
      <c r="C4831" t="inlineStr">
        <is>
          <t>15219010</t>
        </is>
      </c>
      <c r="D4831" t="inlineStr">
        <is>
          <t>BEES WAX W/N COLOURED</t>
        </is>
      </c>
      <c r="E4831" s="3" t="n">
        <v>0.01</v>
      </c>
      <c r="F4831" s="3" t="n">
        <v>0.02</v>
      </c>
      <c r="G4831" s="3">
        <f>F4831-E4831</f>
        <v/>
      </c>
      <c r="H4831" s="4">
        <f>IF(E4831=0,"",F4831/E4831-1)</f>
        <v/>
      </c>
      <c r="I4831" t="inlineStr"/>
    </row>
    <row r="4832">
      <c r="A4832" t="inlineStr">
        <is>
          <t>Processed food &amp; beverages</t>
        </is>
      </c>
      <c r="B4832" t="inlineStr">
        <is>
          <t>16</t>
        </is>
      </c>
      <c r="C4832" t="inlineStr">
        <is>
          <t>16052900</t>
        </is>
      </c>
      <c r="D4832" t="inlineStr">
        <is>
          <t>OTHER SHRIMPS AND PRAWNS</t>
        </is>
      </c>
      <c r="E4832" s="3" t="n">
        <v>0.01</v>
      </c>
      <c r="F4832" s="3" t="n">
        <v>0.02</v>
      </c>
      <c r="G4832" s="3">
        <f>F4832-E4832</f>
        <v/>
      </c>
      <c r="H4832" s="4">
        <f>IF(E4832=0,"",F4832/E4832-1)</f>
        <v/>
      </c>
      <c r="I4832" t="inlineStr"/>
    </row>
    <row r="4833">
      <c r="A4833" t="inlineStr">
        <is>
          <t>Processed food &amp; beverages</t>
        </is>
      </c>
      <c r="B4833" t="inlineStr">
        <is>
          <t>19</t>
        </is>
      </c>
      <c r="C4833" t="inlineStr">
        <is>
          <t>19041030</t>
        </is>
      </c>
      <c r="D4833" t="inlineStr">
        <is>
          <t>BULGAR WHEAT</t>
        </is>
      </c>
      <c r="E4833" s="3" t="n">
        <v>0.01</v>
      </c>
      <c r="F4833" s="3" t="n">
        <v>0.02</v>
      </c>
      <c r="G4833" s="3">
        <f>F4833-E4833</f>
        <v/>
      </c>
      <c r="H4833" s="4">
        <f>IF(E4833=0,"",F4833/E4833-1)</f>
        <v/>
      </c>
      <c r="I4833" t="inlineStr"/>
    </row>
    <row r="4834">
      <c r="A4834" t="inlineStr">
        <is>
          <t>Processed food &amp; beverages</t>
        </is>
      </c>
      <c r="B4834" t="inlineStr">
        <is>
          <t>20</t>
        </is>
      </c>
      <c r="C4834" t="inlineStr">
        <is>
          <t>20058000</t>
        </is>
      </c>
      <c r="D4834" t="inlineStr">
        <is>
          <t>SWEET CORN PRPD/PRSVD, NT FRZN</t>
        </is>
      </c>
      <c r="E4834" s="3" t="n">
        <v>0.01</v>
      </c>
      <c r="F4834" s="3" t="n">
        <v>0.02</v>
      </c>
      <c r="G4834" s="3">
        <f>F4834-E4834</f>
        <v/>
      </c>
      <c r="H4834" s="4">
        <f>IF(E4834=0,"",F4834/E4834-1)</f>
        <v/>
      </c>
      <c r="I4834" t="inlineStr"/>
    </row>
    <row r="4835">
      <c r="A4835" t="inlineStr">
        <is>
          <t>Processed food &amp; beverages</t>
        </is>
      </c>
      <c r="B4835" t="inlineStr">
        <is>
          <t>21</t>
        </is>
      </c>
      <c r="C4835" t="inlineStr">
        <is>
          <t>21013090</t>
        </is>
      </c>
      <c r="D4835" t="inlineStr">
        <is>
          <t>OTHR ROASTED COFFEE,SUBSTITUTES,EXTRACTS ESSENCES AND CONCENTRATES</t>
        </is>
      </c>
      <c r="E4835" s="3" t="n">
        <v>0</v>
      </c>
      <c r="F4835" s="3" t="n">
        <v>0.02</v>
      </c>
      <c r="G4835" s="3">
        <f>F4835-E4835</f>
        <v/>
      </c>
      <c r="H4835" s="4">
        <f>IF(E4835=0,"",F4835/E4835-1)</f>
        <v/>
      </c>
      <c r="I4835" t="inlineStr"/>
    </row>
    <row r="4836">
      <c r="A4836" t="inlineStr">
        <is>
          <t>Processed food &amp; beverages</t>
        </is>
      </c>
      <c r="B4836" t="inlineStr">
        <is>
          <t>22</t>
        </is>
      </c>
      <c r="C4836" t="inlineStr">
        <is>
          <t>22029990</t>
        </is>
      </c>
      <c r="D4836" t="inlineStr">
        <is>
          <t>*OTHER</t>
        </is>
      </c>
      <c r="E4836" s="3" t="n">
        <v>0.15</v>
      </c>
      <c r="F4836" s="3" t="n">
        <v>0.02</v>
      </c>
      <c r="G4836" s="3">
        <f>F4836-E4836</f>
        <v/>
      </c>
      <c r="H4836" s="4">
        <f>IF(E4836=0,"",F4836/E4836-1)</f>
        <v/>
      </c>
      <c r="I4836" t="inlineStr"/>
    </row>
    <row r="4837">
      <c r="A4837" t="inlineStr">
        <is>
          <t>Processed food &amp; beverages</t>
        </is>
      </c>
      <c r="B4837" t="inlineStr">
        <is>
          <t>22</t>
        </is>
      </c>
      <c r="C4837" t="inlineStr">
        <is>
          <t>22082019</t>
        </is>
      </c>
      <c r="D4837" t="inlineStr">
        <is>
          <t>OTHER SPIRITS IN CONTAINERS HOLDING 2 LTR OR LESS</t>
        </is>
      </c>
      <c r="E4837" s="3" t="n">
        <v>0</v>
      </c>
      <c r="F4837" s="3" t="n">
        <v>0.02</v>
      </c>
      <c r="G4837" s="3">
        <f>F4837-E4837</f>
        <v/>
      </c>
      <c r="H4837" s="4">
        <f>IF(E4837=0,"",F4837/E4837-1)</f>
        <v/>
      </c>
      <c r="I4837" t="inlineStr"/>
    </row>
    <row r="4838">
      <c r="A4838" t="inlineStr">
        <is>
          <t>Processed food &amp; beverages</t>
        </is>
      </c>
      <c r="B4838" t="inlineStr">
        <is>
          <t>22</t>
        </is>
      </c>
      <c r="C4838" t="inlineStr">
        <is>
          <t>22084091</t>
        </is>
      </c>
      <c r="D4838" t="inlineStr">
        <is>
          <t>RUM IN CONTAINERS HOLDING MORE THAN 2 LTR</t>
        </is>
      </c>
      <c r="E4838" s="3" t="n">
        <v>0</v>
      </c>
      <c r="F4838" s="3" t="n">
        <v>0.02</v>
      </c>
      <c r="G4838" s="3">
        <f>F4838-E4838</f>
        <v/>
      </c>
      <c r="H4838" s="4">
        <f>IF(E4838=0,"",F4838/E4838-1)</f>
        <v/>
      </c>
      <c r="I4838" t="inlineStr"/>
    </row>
    <row r="4839">
      <c r="A4839" t="inlineStr">
        <is>
          <t>Processed food &amp; beverages</t>
        </is>
      </c>
      <c r="B4839" t="inlineStr">
        <is>
          <t>22</t>
        </is>
      </c>
      <c r="C4839" t="inlineStr">
        <is>
          <t>22084092</t>
        </is>
      </c>
      <c r="D4839" t="inlineStr">
        <is>
          <t>TAFIA IN CONTAINERS HOLDING MORE THAN 2 LTR</t>
        </is>
      </c>
      <c r="E4839" s="3" t="n">
        <v>0</v>
      </c>
      <c r="F4839" s="3" t="n">
        <v>0.02</v>
      </c>
      <c r="G4839" s="3">
        <f>F4839-E4839</f>
        <v/>
      </c>
      <c r="H4839" s="4">
        <f>IF(E4839=0,"",F4839/E4839-1)</f>
        <v/>
      </c>
      <c r="I4839" t="inlineStr"/>
    </row>
    <row r="4840">
      <c r="A4840" t="inlineStr">
        <is>
          <t>Processed food &amp; beverages</t>
        </is>
      </c>
      <c r="B4840" t="inlineStr">
        <is>
          <t>15</t>
        </is>
      </c>
      <c r="C4840" t="inlineStr">
        <is>
          <t>15050090</t>
        </is>
      </c>
      <c r="D4840" t="inlineStr">
        <is>
          <t>0THERS</t>
        </is>
      </c>
      <c r="E4840" s="3" t="n">
        <v>0</v>
      </c>
      <c r="F4840" s="3" t="n">
        <v>0.01</v>
      </c>
      <c r="G4840" s="3">
        <f>F4840-E4840</f>
        <v/>
      </c>
      <c r="H4840" s="4">
        <f>IF(E4840=0,"",F4840/E4840-1)</f>
        <v/>
      </c>
      <c r="I4840" t="inlineStr"/>
    </row>
    <row r="4841">
      <c r="A4841" t="inlineStr">
        <is>
          <t>Processed food &amp; beverages</t>
        </is>
      </c>
      <c r="B4841" t="inlineStr">
        <is>
          <t>15</t>
        </is>
      </c>
      <c r="C4841" t="inlineStr">
        <is>
          <t>15132920</t>
        </is>
      </c>
      <c r="D4841" t="inlineStr">
        <is>
          <t>REFND BABASU OIL AND ITS FCTNS, EDBLE GRADE</t>
        </is>
      </c>
      <c r="E4841" s="3" t="n">
        <v>0</v>
      </c>
      <c r="F4841" s="3" t="n">
        <v>0.01</v>
      </c>
      <c r="G4841" s="3">
        <f>F4841-E4841</f>
        <v/>
      </c>
      <c r="H4841" s="4">
        <f>IF(E4841=0,"",F4841/E4841-1)</f>
        <v/>
      </c>
      <c r="I4841" t="inlineStr"/>
    </row>
    <row r="4842">
      <c r="A4842" t="inlineStr">
        <is>
          <t>Processed food &amp; beverages</t>
        </is>
      </c>
      <c r="B4842" t="inlineStr">
        <is>
          <t>15</t>
        </is>
      </c>
      <c r="C4842" t="inlineStr">
        <is>
          <t>15141190</t>
        </is>
      </c>
      <c r="D4842" t="inlineStr">
        <is>
          <t>OTHER CRUDE LOW ERUC ACID RAPE COLZA OIL</t>
        </is>
      </c>
      <c r="E4842" s="3" t="n">
        <v>0</v>
      </c>
      <c r="F4842" s="3" t="n">
        <v>0.01</v>
      </c>
      <c r="G4842" s="3">
        <f>F4842-E4842</f>
        <v/>
      </c>
      <c r="H4842" s="4">
        <f>IF(E4842=0,"",F4842/E4842-1)</f>
        <v/>
      </c>
      <c r="I4842" t="inlineStr"/>
    </row>
    <row r="4843">
      <c r="A4843" t="inlineStr">
        <is>
          <t>Processed food &amp; beverages</t>
        </is>
      </c>
      <c r="B4843" t="inlineStr">
        <is>
          <t>15</t>
        </is>
      </c>
      <c r="C4843" t="inlineStr">
        <is>
          <t>15155099</t>
        </is>
      </c>
      <c r="D4843" t="inlineStr">
        <is>
          <t>SESAME OIL AND ITS FRCTNS OTHER THAN CRUDE EXCLDNG EDBLE GRADE</t>
        </is>
      </c>
      <c r="E4843" s="3" t="n">
        <v>0.03</v>
      </c>
      <c r="F4843" s="3" t="n">
        <v>0.01</v>
      </c>
      <c r="G4843" s="3">
        <f>F4843-E4843</f>
        <v/>
      </c>
      <c r="H4843" s="4">
        <f>IF(E4843=0,"",F4843/E4843-1)</f>
        <v/>
      </c>
      <c r="I4843" t="inlineStr"/>
    </row>
    <row r="4844">
      <c r="A4844" t="inlineStr">
        <is>
          <t>Processed food &amp; beverages</t>
        </is>
      </c>
      <c r="B4844" t="inlineStr">
        <is>
          <t>15</t>
        </is>
      </c>
      <c r="C4844" t="inlineStr">
        <is>
          <t>15159030</t>
        </is>
      </c>
      <c r="D4844" t="inlineStr">
        <is>
          <t>FXD VEG OILS VIZ. CARDMDM,CHLLIES/CAPSCUM,TURMRC,AJWN,SD,NGRSD,GARLIC</t>
        </is>
      </c>
      <c r="E4844" s="3" t="n">
        <v>0</v>
      </c>
      <c r="F4844" s="3" t="n">
        <v>0.01</v>
      </c>
      <c r="G4844" s="3">
        <f>F4844-E4844</f>
        <v/>
      </c>
      <c r="H4844" s="4">
        <f>IF(E4844=0,"",F4844/E4844-1)</f>
        <v/>
      </c>
      <c r="I4844" t="inlineStr"/>
    </row>
    <row r="4845">
      <c r="A4845" t="inlineStr">
        <is>
          <t>Processed food &amp; beverages</t>
        </is>
      </c>
      <c r="B4845" t="inlineStr">
        <is>
          <t>15</t>
        </is>
      </c>
      <c r="C4845" t="inlineStr">
        <is>
          <t>15162029</t>
        </is>
      </c>
      <c r="D4845" t="inlineStr">
        <is>
          <t>GROUNDNUT OIL OTHER THN EDBLE GRADE</t>
        </is>
      </c>
      <c r="E4845" s="3" t="n">
        <v>0</v>
      </c>
      <c r="F4845" s="3" t="n">
        <v>0.01</v>
      </c>
      <c r="G4845" s="3">
        <f>F4845-E4845</f>
        <v/>
      </c>
      <c r="H4845" s="4">
        <f>IF(E4845=0,"",F4845/E4845-1)</f>
        <v/>
      </c>
      <c r="I4845" t="inlineStr"/>
    </row>
    <row r="4846">
      <c r="A4846" t="inlineStr">
        <is>
          <t>Processed food &amp; beverages</t>
        </is>
      </c>
      <c r="B4846" t="inlineStr">
        <is>
          <t>15</t>
        </is>
      </c>
      <c r="C4846" t="inlineStr">
        <is>
          <t>15180019</t>
        </is>
      </c>
      <c r="D4846" t="inlineStr">
        <is>
          <t>LINSEED OIL OTHR THN EDIBLE GRADE</t>
        </is>
      </c>
      <c r="E4846" s="3" t="n">
        <v>0.2</v>
      </c>
      <c r="F4846" s="3" t="n">
        <v>0.01</v>
      </c>
      <c r="G4846" s="3">
        <f>F4846-E4846</f>
        <v/>
      </c>
      <c r="H4846" s="4">
        <f>IF(E4846=0,"",F4846/E4846-1)</f>
        <v/>
      </c>
      <c r="I4846" t="inlineStr"/>
    </row>
    <row r="4847">
      <c r="A4847" t="inlineStr">
        <is>
          <t>Processed food &amp; beverages</t>
        </is>
      </c>
      <c r="B4847" t="inlineStr">
        <is>
          <t>16</t>
        </is>
      </c>
      <c r="C4847" t="inlineStr">
        <is>
          <t>16041210</t>
        </is>
      </c>
      <c r="D4847" t="inlineStr">
        <is>
          <t>PICKLED HERRING FISH</t>
        </is>
      </c>
      <c r="E4847" s="3" t="n">
        <v>0</v>
      </c>
      <c r="F4847" s="3" t="n">
        <v>0.01</v>
      </c>
      <c r="G4847" s="3">
        <f>F4847-E4847</f>
        <v/>
      </c>
      <c r="H4847" s="4">
        <f>IF(E4847=0,"",F4847/E4847-1)</f>
        <v/>
      </c>
      <c r="I4847" t="inlineStr"/>
    </row>
    <row r="4848">
      <c r="A4848" t="inlineStr">
        <is>
          <t>Processed food &amp; beverages</t>
        </is>
      </c>
      <c r="B4848" t="inlineStr">
        <is>
          <t>16</t>
        </is>
      </c>
      <c r="C4848" t="inlineStr">
        <is>
          <t>16052100</t>
        </is>
      </c>
      <c r="D4848" t="inlineStr">
        <is>
          <t>NOT IN AIRTIGHT CONTAINER</t>
        </is>
      </c>
      <c r="E4848" s="3" t="n">
        <v>0.01</v>
      </c>
      <c r="F4848" s="3" t="n">
        <v>0.01</v>
      </c>
      <c r="G4848" s="3">
        <f>F4848-E4848</f>
        <v/>
      </c>
      <c r="H4848" s="4">
        <f>IF(E4848=0,"",F4848/E4848-1)</f>
        <v/>
      </c>
      <c r="I4848" t="inlineStr"/>
    </row>
    <row r="4849">
      <c r="A4849" t="inlineStr">
        <is>
          <t>Processed food &amp; beverages</t>
        </is>
      </c>
      <c r="B4849" t="inlineStr">
        <is>
          <t>19</t>
        </is>
      </c>
      <c r="C4849" t="inlineStr">
        <is>
          <t>19011010</t>
        </is>
      </c>
      <c r="D4849" t="inlineStr">
        <is>
          <t>MALTED MILK (INCLUDING POWDER)</t>
        </is>
      </c>
      <c r="E4849" s="3" t="n">
        <v>0</v>
      </c>
      <c r="F4849" s="3" t="n">
        <v>0.01</v>
      </c>
      <c r="G4849" s="3">
        <f>F4849-E4849</f>
        <v/>
      </c>
      <c r="H4849" s="4">
        <f>IF(E4849=0,"",F4849/E4849-1)</f>
        <v/>
      </c>
      <c r="I4849" t="inlineStr"/>
    </row>
    <row r="4850">
      <c r="A4850" t="inlineStr">
        <is>
          <t>Processed food &amp; beverages</t>
        </is>
      </c>
      <c r="B4850" t="inlineStr">
        <is>
          <t>20</t>
        </is>
      </c>
      <c r="C4850" t="inlineStr">
        <is>
          <t>20083010</t>
        </is>
      </c>
      <c r="D4850" t="inlineStr">
        <is>
          <t>ORANGE PREPARED OR PRESERVED</t>
        </is>
      </c>
      <c r="E4850" s="3" t="n">
        <v>0.02</v>
      </c>
      <c r="F4850" s="3" t="n">
        <v>0.01</v>
      </c>
      <c r="G4850" s="3">
        <f>F4850-E4850</f>
        <v/>
      </c>
      <c r="H4850" s="4">
        <f>IF(E4850=0,"",F4850/E4850-1)</f>
        <v/>
      </c>
      <c r="I4850" t="inlineStr"/>
    </row>
    <row r="4851">
      <c r="A4851" t="inlineStr">
        <is>
          <t>Processed food &amp; beverages</t>
        </is>
      </c>
      <c r="B4851" t="inlineStr">
        <is>
          <t>20</t>
        </is>
      </c>
      <c r="C4851" t="inlineStr">
        <is>
          <t>20089914</t>
        </is>
      </c>
      <c r="D4851" t="inlineStr">
        <is>
          <t>PINEAPPLE SQUASH</t>
        </is>
      </c>
      <c r="E4851" s="3" t="n">
        <v>0</v>
      </c>
      <c r="F4851" s="3" t="n">
        <v>0.01</v>
      </c>
      <c r="G4851" s="3">
        <f>F4851-E4851</f>
        <v/>
      </c>
      <c r="H4851" s="4">
        <f>IF(E4851=0,"",F4851/E4851-1)</f>
        <v/>
      </c>
      <c r="I4851" t="inlineStr"/>
    </row>
    <row r="4852">
      <c r="A4852" t="inlineStr">
        <is>
          <t>Processed food &amp; beverages</t>
        </is>
      </c>
      <c r="B4852" t="inlineStr">
        <is>
          <t>21</t>
        </is>
      </c>
      <c r="C4852" t="inlineStr">
        <is>
          <t>21013010</t>
        </is>
      </c>
      <c r="D4852" t="inlineStr">
        <is>
          <t>CHICORY ROASTED</t>
        </is>
      </c>
      <c r="E4852" s="3" t="n">
        <v>0.01</v>
      </c>
      <c r="F4852" s="3" t="n">
        <v>0.01</v>
      </c>
      <c r="G4852" s="3">
        <f>F4852-E4852</f>
        <v/>
      </c>
      <c r="H4852" s="4">
        <f>IF(E4852=0,"",F4852/E4852-1)</f>
        <v/>
      </c>
      <c r="I4852" t="inlineStr"/>
    </row>
    <row r="4853">
      <c r="A4853" t="inlineStr">
        <is>
          <t>Processed food &amp; beverages</t>
        </is>
      </c>
      <c r="B4853" t="inlineStr">
        <is>
          <t>21</t>
        </is>
      </c>
      <c r="C4853" t="inlineStr">
        <is>
          <t>21013020</t>
        </is>
      </c>
      <c r="D4853" t="inlineStr">
        <is>
          <t>ROASTED COFFEE SUBSTITUTES</t>
        </is>
      </c>
      <c r="E4853" s="3" t="n">
        <v>0</v>
      </c>
      <c r="F4853" s="3" t="n">
        <v>0.01</v>
      </c>
      <c r="G4853" s="3">
        <f>F4853-E4853</f>
        <v/>
      </c>
      <c r="H4853" s="4">
        <f>IF(E4853=0,"",F4853/E4853-1)</f>
        <v/>
      </c>
      <c r="I4853" t="inlineStr"/>
    </row>
    <row r="4854">
      <c r="A4854" t="inlineStr">
        <is>
          <t>Processed food &amp; beverages</t>
        </is>
      </c>
      <c r="B4854" t="inlineStr">
        <is>
          <t>21</t>
        </is>
      </c>
      <c r="C4854" t="inlineStr">
        <is>
          <t>21033000</t>
        </is>
      </c>
      <c r="D4854" t="inlineStr">
        <is>
          <t>MUSTARD FLOUR AND MEAL AND PREPARED MUSTARD</t>
        </is>
      </c>
      <c r="E4854" s="3" t="n">
        <v>0</v>
      </c>
      <c r="F4854" s="3" t="n">
        <v>0.01</v>
      </c>
      <c r="G4854" s="3">
        <f>F4854-E4854</f>
        <v/>
      </c>
      <c r="H4854" s="4">
        <f>IF(E4854=0,"",F4854/E4854-1)</f>
        <v/>
      </c>
      <c r="I4854" t="inlineStr"/>
    </row>
    <row r="4855">
      <c r="A4855" t="inlineStr">
        <is>
          <t>Processed food &amp; beverages</t>
        </is>
      </c>
      <c r="B4855" t="inlineStr">
        <is>
          <t>21</t>
        </is>
      </c>
      <c r="C4855" t="inlineStr">
        <is>
          <t>21041090</t>
        </is>
      </c>
      <c r="D4855" t="inlineStr">
        <is>
          <t>OTHER THAN DRIED SOUP AND BROTHS AND PREPARATONS</t>
        </is>
      </c>
      <c r="E4855" s="3" t="n">
        <v>0.02</v>
      </c>
      <c r="F4855" s="3" t="n">
        <v>0.01</v>
      </c>
      <c r="G4855" s="3">
        <f>F4855-E4855</f>
        <v/>
      </c>
      <c r="H4855" s="4">
        <f>IF(E4855=0,"",F4855/E4855-1)</f>
        <v/>
      </c>
      <c r="I4855" t="inlineStr"/>
    </row>
    <row r="4856">
      <c r="A4856" t="inlineStr">
        <is>
          <t>Processed food &amp; beverages</t>
        </is>
      </c>
      <c r="B4856" t="inlineStr">
        <is>
          <t>21</t>
        </is>
      </c>
      <c r="C4856" t="inlineStr">
        <is>
          <t>21069040</t>
        </is>
      </c>
      <c r="D4856" t="inlineStr">
        <is>
          <t>SUGR-SYRP CONTNG FLAVRNG/COLRNG MTRL NES</t>
        </is>
      </c>
      <c r="E4856" s="3" t="n">
        <v>0.02</v>
      </c>
      <c r="F4856" s="3" t="n">
        <v>0.01</v>
      </c>
      <c r="G4856" s="3">
        <f>F4856-E4856</f>
        <v/>
      </c>
      <c r="H4856" s="4">
        <f>IF(E4856=0,"",F4856/E4856-1)</f>
        <v/>
      </c>
      <c r="I4856" t="inlineStr"/>
    </row>
    <row r="4857">
      <c r="A4857" t="inlineStr">
        <is>
          <t>Processed food &amp; beverages</t>
        </is>
      </c>
      <c r="B4857" t="inlineStr">
        <is>
          <t>22</t>
        </is>
      </c>
      <c r="C4857" t="inlineStr">
        <is>
          <t>22011020</t>
        </is>
      </c>
      <c r="D4857" t="inlineStr">
        <is>
          <t>AERATED WATERS</t>
        </is>
      </c>
      <c r="E4857" s="3" t="n">
        <v>0</v>
      </c>
      <c r="F4857" s="3" t="n">
        <v>0.01</v>
      </c>
      <c r="G4857" s="3">
        <f>F4857-E4857</f>
        <v/>
      </c>
      <c r="H4857" s="4">
        <f>IF(E4857=0,"",F4857/E4857-1)</f>
        <v/>
      </c>
      <c r="I4857" t="inlineStr"/>
    </row>
    <row r="4858">
      <c r="A4858" t="inlineStr">
        <is>
          <t>Processed food &amp; beverages</t>
        </is>
      </c>
      <c r="B4858" t="inlineStr">
        <is>
          <t>22</t>
        </is>
      </c>
      <c r="C4858" t="inlineStr">
        <is>
          <t>22090020</t>
        </is>
      </c>
      <c r="D4858" t="inlineStr">
        <is>
          <t>SYNTHETIC VINEGAR</t>
        </is>
      </c>
      <c r="E4858" s="3" t="n">
        <v>0.02</v>
      </c>
      <c r="F4858" s="3" t="n">
        <v>0.01</v>
      </c>
      <c r="G4858" s="3">
        <f>F4858-E4858</f>
        <v/>
      </c>
      <c r="H4858" s="4">
        <f>IF(E4858=0,"",F4858/E4858-1)</f>
        <v/>
      </c>
      <c r="I4858" t="inlineStr"/>
    </row>
    <row r="4859">
      <c r="A4859" t="inlineStr">
        <is>
          <t>Processed food &amp; beverages</t>
        </is>
      </c>
      <c r="B4859" t="inlineStr">
        <is>
          <t>15</t>
        </is>
      </c>
      <c r="C4859" t="inlineStr">
        <is>
          <t>15021090</t>
        </is>
      </c>
      <c r="D4859" t="inlineStr">
        <is>
          <t>OTHER TALLOW</t>
        </is>
      </c>
      <c r="E4859" s="3" t="n">
        <v>0</v>
      </c>
      <c r="F4859" s="3" t="n">
        <v>0</v>
      </c>
      <c r="G4859" s="3">
        <f>F4859-E4859</f>
        <v/>
      </c>
      <c r="H4859" s="4">
        <f>IF(E4859=0,"",F4859/E4859-1)</f>
        <v/>
      </c>
      <c r="I4859" t="inlineStr"/>
    </row>
    <row r="4860">
      <c r="A4860" t="inlineStr">
        <is>
          <t>Processed food &amp; beverages</t>
        </is>
      </c>
      <c r="B4860" t="inlineStr">
        <is>
          <t>15</t>
        </is>
      </c>
      <c r="C4860" t="inlineStr">
        <is>
          <t>15099010</t>
        </is>
      </c>
      <c r="D4860" t="inlineStr">
        <is>
          <t>OLIVE OIL AND ITS FRACTNS (EXCLDNG VRGN)OF EDIBLE GRDE</t>
        </is>
      </c>
      <c r="E4860" s="3" t="n">
        <v>0</v>
      </c>
      <c r="F4860" s="3" t="n">
        <v>0</v>
      </c>
      <c r="G4860" s="3">
        <f>F4860-E4860</f>
        <v/>
      </c>
      <c r="H4860" s="4">
        <f>IF(E4860=0,"",F4860/E4860-1)</f>
        <v/>
      </c>
      <c r="I4860" t="inlineStr"/>
    </row>
    <row r="4861">
      <c r="A4861" t="inlineStr">
        <is>
          <t>Processed food &amp; beverages</t>
        </is>
      </c>
      <c r="B4861" t="inlineStr">
        <is>
          <t>15</t>
        </is>
      </c>
      <c r="C4861" t="inlineStr">
        <is>
          <t>15099090</t>
        </is>
      </c>
      <c r="D4861" t="inlineStr">
        <is>
          <t>OTHER OLIVE OIL AND ITS FRACTNS (EXCLD VRGN)</t>
        </is>
      </c>
      <c r="E4861" s="3" t="n">
        <v>0</v>
      </c>
      <c r="F4861" s="3" t="n">
        <v>0</v>
      </c>
      <c r="G4861" s="3">
        <f>F4861-E4861</f>
        <v/>
      </c>
      <c r="H4861" s="4">
        <f>IF(E4861=0,"",F4861/E4861-1)</f>
        <v/>
      </c>
      <c r="I4861" t="inlineStr"/>
    </row>
    <row r="4862">
      <c r="A4862" t="inlineStr">
        <is>
          <t>Processed food &amp; beverages</t>
        </is>
      </c>
      <c r="B4862" t="inlineStr">
        <is>
          <t>15</t>
        </is>
      </c>
      <c r="C4862" t="inlineStr">
        <is>
          <t>15121110</t>
        </is>
      </c>
      <c r="D4862" t="inlineStr">
        <is>
          <t>SUNFLOWER SEED OIL CRUDE</t>
        </is>
      </c>
      <c r="E4862" s="3" t="n">
        <v>0</v>
      </c>
      <c r="F4862" s="3" t="n">
        <v>0</v>
      </c>
      <c r="G4862" s="3">
        <f>F4862-E4862</f>
        <v/>
      </c>
      <c r="H4862" s="4">
        <f>IF(E4862=0,"",F4862/E4862-1)</f>
        <v/>
      </c>
      <c r="I4862" t="inlineStr"/>
    </row>
    <row r="4863">
      <c r="A4863" t="inlineStr">
        <is>
          <t>Processed food &amp; beverages</t>
        </is>
      </c>
      <c r="B4863" t="inlineStr">
        <is>
          <t>15</t>
        </is>
      </c>
      <c r="C4863" t="inlineStr">
        <is>
          <t>15151100</t>
        </is>
      </c>
      <c r="D4863" t="inlineStr">
        <is>
          <t>CRUDE LINSEED OIL AND ITS FRACTIONS</t>
        </is>
      </c>
      <c r="E4863" s="3" t="n">
        <v>0</v>
      </c>
      <c r="F4863" s="3" t="n">
        <v>0</v>
      </c>
      <c r="G4863" s="3">
        <f>F4863-E4863</f>
        <v/>
      </c>
      <c r="H4863" s="4">
        <f>IF(E4863=0,"",F4863/E4863-1)</f>
        <v/>
      </c>
      <c r="I4863" t="inlineStr"/>
    </row>
    <row r="4864">
      <c r="A4864" t="inlineStr">
        <is>
          <t>Processed food &amp; beverages</t>
        </is>
      </c>
      <c r="B4864" t="inlineStr">
        <is>
          <t>15</t>
        </is>
      </c>
      <c r="C4864" t="inlineStr">
        <is>
          <t>15151910</t>
        </is>
      </c>
      <c r="D4864" t="inlineStr">
        <is>
          <t>OTHR LINSEED OIL OF EDBLE GRADE</t>
        </is>
      </c>
      <c r="E4864" s="3" t="n">
        <v>0</v>
      </c>
      <c r="F4864" s="3" t="n">
        <v>0</v>
      </c>
      <c r="G4864" s="3">
        <f>F4864-E4864</f>
        <v/>
      </c>
      <c r="H4864" s="4">
        <f>IF(E4864=0,"",F4864/E4864-1)</f>
        <v/>
      </c>
      <c r="I4864" t="inlineStr"/>
    </row>
    <row r="4865">
      <c r="A4865" t="inlineStr">
        <is>
          <t>Processed food &amp; beverages</t>
        </is>
      </c>
      <c r="B4865" t="inlineStr">
        <is>
          <t>15</t>
        </is>
      </c>
      <c r="C4865" t="inlineStr">
        <is>
          <t>15153010</t>
        </is>
      </c>
      <c r="D4865" t="inlineStr">
        <is>
          <t>CASTOR OIL AND ITS FRCTNS OF EDBLE GRADE</t>
        </is>
      </c>
      <c r="E4865" s="3" t="n">
        <v>0</v>
      </c>
      <c r="F4865" s="3" t="n">
        <v>0</v>
      </c>
      <c r="G4865" s="3">
        <f>F4865-E4865</f>
        <v/>
      </c>
      <c r="H4865" s="4">
        <f>IF(E4865=0,"",F4865/E4865-1)</f>
        <v/>
      </c>
      <c r="I4865" t="inlineStr"/>
    </row>
    <row r="4866">
      <c r="A4866" t="inlineStr">
        <is>
          <t>Processed food &amp; beverages</t>
        </is>
      </c>
      <c r="B4866" t="inlineStr">
        <is>
          <t>15</t>
        </is>
      </c>
      <c r="C4866" t="inlineStr">
        <is>
          <t>15155010</t>
        </is>
      </c>
      <c r="D4866" t="inlineStr">
        <is>
          <t>CRUDE SESAME OIL AND ITS FRACTIONS</t>
        </is>
      </c>
      <c r="E4866" s="3" t="n">
        <v>0.01</v>
      </c>
      <c r="F4866" s="3" t="n">
        <v>0</v>
      </c>
      <c r="G4866" s="3">
        <f>F4866-E4866</f>
        <v/>
      </c>
      <c r="H4866" s="4">
        <f>IF(E4866=0,"",F4866/E4866-1)</f>
        <v/>
      </c>
      <c r="I4866" t="inlineStr"/>
    </row>
    <row r="4867">
      <c r="A4867" t="inlineStr">
        <is>
          <t>Processed food &amp; beverages</t>
        </is>
      </c>
      <c r="B4867" t="inlineStr">
        <is>
          <t>15</t>
        </is>
      </c>
      <c r="C4867" t="inlineStr">
        <is>
          <t>15162039</t>
        </is>
      </c>
      <c r="D4867" t="inlineStr">
        <is>
          <t>OTHR HYDROGNTD CASTOR OIL(OPL WAX)</t>
        </is>
      </c>
      <c r="E4867" s="3" t="n">
        <v>0</v>
      </c>
      <c r="F4867" s="3" t="n">
        <v>0</v>
      </c>
      <c r="G4867" s="3">
        <f>F4867-E4867</f>
        <v/>
      </c>
      <c r="H4867" s="4">
        <f>IF(E4867=0,"",F4867/E4867-1)</f>
        <v/>
      </c>
      <c r="I4867" t="inlineStr"/>
    </row>
    <row r="4868">
      <c r="A4868" t="inlineStr">
        <is>
          <t>Processed food &amp; beverages</t>
        </is>
      </c>
      <c r="B4868" t="inlineStr">
        <is>
          <t>15</t>
        </is>
      </c>
      <c r="C4868" t="inlineStr">
        <is>
          <t>15162091</t>
        </is>
      </c>
      <c r="D4868" t="inlineStr">
        <is>
          <t>OTHR VEG FATS AND OILS AND THR FRCTNS OF EDBLEGRADE</t>
        </is>
      </c>
      <c r="E4868" s="3" t="n">
        <v>0.39</v>
      </c>
      <c r="F4868" s="3" t="n">
        <v>0</v>
      </c>
      <c r="G4868" s="3">
        <f>F4868-E4868</f>
        <v/>
      </c>
      <c r="H4868" s="4">
        <f>IF(E4868=0,"",F4868/E4868-1)</f>
        <v/>
      </c>
      <c r="I4868" t="inlineStr"/>
    </row>
    <row r="4869">
      <c r="A4869" t="inlineStr">
        <is>
          <t>Processed food &amp; beverages</t>
        </is>
      </c>
      <c r="B4869" t="inlineStr">
        <is>
          <t>15</t>
        </is>
      </c>
      <c r="C4869" t="inlineStr">
        <is>
          <t>15171021</t>
        </is>
      </c>
      <c r="D4869" t="inlineStr">
        <is>
          <t>MARGRNE OF VEG ORG OF EDBLE GRADE</t>
        </is>
      </c>
      <c r="E4869" s="3" t="n">
        <v>0.07000000000000001</v>
      </c>
      <c r="F4869" s="3" t="n">
        <v>0</v>
      </c>
      <c r="G4869" s="3">
        <f>F4869-E4869</f>
        <v/>
      </c>
      <c r="H4869" s="4">
        <f>IF(E4869=0,"",F4869/E4869-1)</f>
        <v/>
      </c>
      <c r="I4869" t="inlineStr"/>
    </row>
    <row r="4870">
      <c r="A4870" t="inlineStr">
        <is>
          <t>Processed food &amp; beverages</t>
        </is>
      </c>
      <c r="B4870" t="inlineStr">
        <is>
          <t>15</t>
        </is>
      </c>
      <c r="C4870" t="inlineStr">
        <is>
          <t>15180021</t>
        </is>
      </c>
      <c r="D4870" t="inlineStr">
        <is>
          <t>CASTOR OIL DEHYDRTD OF EDBILE GRADE</t>
        </is>
      </c>
      <c r="E4870" s="3" t="n">
        <v>0</v>
      </c>
      <c r="F4870" s="3" t="n">
        <v>0</v>
      </c>
      <c r="G4870" s="3">
        <f>F4870-E4870</f>
        <v/>
      </c>
      <c r="H4870" s="4">
        <f>IF(E4870=0,"",F4870/E4870-1)</f>
        <v/>
      </c>
      <c r="I4870" t="inlineStr"/>
    </row>
    <row r="4871">
      <c r="A4871" t="inlineStr">
        <is>
          <t>Processed food &amp; beverages</t>
        </is>
      </c>
      <c r="B4871" t="inlineStr">
        <is>
          <t>15</t>
        </is>
      </c>
      <c r="C4871" t="inlineStr">
        <is>
          <t>15219090</t>
        </is>
      </c>
      <c r="D4871" t="inlineStr">
        <is>
          <t>OTHR INSECT WAXES W/N COLOURED</t>
        </is>
      </c>
      <c r="E4871" s="3" t="n">
        <v>0</v>
      </c>
      <c r="F4871" s="3" t="n">
        <v>0</v>
      </c>
      <c r="G4871" s="3">
        <f>F4871-E4871</f>
        <v/>
      </c>
      <c r="H4871" s="4">
        <f>IF(E4871=0,"",F4871/E4871-1)</f>
        <v/>
      </c>
      <c r="I4871" t="inlineStr"/>
    </row>
    <row r="4872">
      <c r="A4872" t="inlineStr">
        <is>
          <t>Processed food &amp; beverages</t>
        </is>
      </c>
      <c r="B4872" t="inlineStr">
        <is>
          <t>16</t>
        </is>
      </c>
      <c r="C4872" t="inlineStr">
        <is>
          <t>16041290</t>
        </is>
      </c>
      <c r="D4872" t="inlineStr">
        <is>
          <t>OTHER HERRING FISH PRPD/PRSVD</t>
        </is>
      </c>
      <c r="E4872" s="3" t="n">
        <v>0</v>
      </c>
      <c r="F4872" s="3" t="n">
        <v>0</v>
      </c>
      <c r="G4872" s="3">
        <f>F4872-E4872</f>
        <v/>
      </c>
      <c r="H4872" s="4">
        <f>IF(E4872=0,"",F4872/E4872-1)</f>
        <v/>
      </c>
      <c r="I4872" t="inlineStr"/>
    </row>
    <row r="4873">
      <c r="A4873" t="inlineStr">
        <is>
          <t>Processed food &amp; beverages</t>
        </is>
      </c>
      <c r="B4873" t="inlineStr">
        <is>
          <t>16</t>
        </is>
      </c>
      <c r="C4873" t="inlineStr">
        <is>
          <t>16041310</t>
        </is>
      </c>
      <c r="D4873" t="inlineStr">
        <is>
          <t>SARDINES SARDINELLA AND BRISLING WHOLE OR IN PIECES BUT NOT MINCED PRPD OR PRSVD</t>
        </is>
      </c>
      <c r="E4873" s="3" t="n">
        <v>0.11</v>
      </c>
      <c r="F4873" s="3" t="n">
        <v>0</v>
      </c>
      <c r="G4873" s="3">
        <f>F4873-E4873</f>
        <v/>
      </c>
      <c r="H4873" s="4">
        <f>IF(E4873=0,"",F4873/E4873-1)</f>
        <v/>
      </c>
      <c r="I4873" t="inlineStr"/>
    </row>
    <row r="4874">
      <c r="A4874" t="inlineStr">
        <is>
          <t>Processed food &amp; beverages</t>
        </is>
      </c>
      <c r="B4874" t="inlineStr">
        <is>
          <t>17</t>
        </is>
      </c>
      <c r="C4874" t="inlineStr">
        <is>
          <t>17011320</t>
        </is>
      </c>
      <c r="D4874" t="inlineStr">
        <is>
          <t>KHANDSARI SUGAR</t>
        </is>
      </c>
      <c r="E4874" s="3" t="n">
        <v>11.26</v>
      </c>
      <c r="F4874" s="3" t="n">
        <v>0</v>
      </c>
      <c r="G4874" s="3">
        <f>F4874-E4874</f>
        <v/>
      </c>
      <c r="H4874" s="4">
        <f>IF(E4874=0,"",F4874/E4874-1)</f>
        <v/>
      </c>
      <c r="I4874" t="inlineStr"/>
    </row>
    <row r="4875">
      <c r="A4875" t="inlineStr">
        <is>
          <t>Processed food &amp; beverages</t>
        </is>
      </c>
      <c r="B4875" t="inlineStr">
        <is>
          <t>17</t>
        </is>
      </c>
      <c r="C4875" t="inlineStr">
        <is>
          <t>17021990</t>
        </is>
      </c>
      <c r="D4875" t="inlineStr">
        <is>
          <t>LACTS ANDLACTS SYRP OTHR THN SOLID FORM CONTNG &lt;99% LACTS</t>
        </is>
      </c>
      <c r="E4875" s="3" t="n">
        <v>0</v>
      </c>
      <c r="F4875" s="3" t="n">
        <v>0</v>
      </c>
      <c r="G4875" s="3">
        <f>F4875-E4875</f>
        <v/>
      </c>
      <c r="H4875" s="4">
        <f>IF(E4875=0,"",F4875/E4875-1)</f>
        <v/>
      </c>
      <c r="I4875" t="inlineStr"/>
    </row>
    <row r="4876">
      <c r="A4876" t="inlineStr">
        <is>
          <t>Processed food &amp; beverages</t>
        </is>
      </c>
      <c r="B4876" t="inlineStr">
        <is>
          <t>17</t>
        </is>
      </c>
      <c r="C4876" t="inlineStr">
        <is>
          <t>17023039</t>
        </is>
      </c>
      <c r="D4876" t="inlineStr">
        <is>
          <t>DEXTROSE OTHER THAN SOLID</t>
        </is>
      </c>
      <c r="E4876" s="3" t="n">
        <v>0.01</v>
      </c>
      <c r="F4876" s="3" t="n">
        <v>0</v>
      </c>
      <c r="G4876" s="3">
        <f>F4876-E4876</f>
        <v/>
      </c>
      <c r="H4876" s="4">
        <f>IF(E4876=0,"",F4876/E4876-1)</f>
        <v/>
      </c>
      <c r="I4876" t="inlineStr"/>
    </row>
    <row r="4877">
      <c r="A4877" t="inlineStr">
        <is>
          <t>Processed food &amp; beverages</t>
        </is>
      </c>
      <c r="B4877" t="inlineStr">
        <is>
          <t>17</t>
        </is>
      </c>
      <c r="C4877" t="inlineStr">
        <is>
          <t>17029020</t>
        </is>
      </c>
      <c r="D4877" t="inlineStr">
        <is>
          <t>CHEMCALLY PURE MALTOSE</t>
        </is>
      </c>
      <c r="E4877" s="3" t="n">
        <v>0.03</v>
      </c>
      <c r="F4877" s="3" t="n">
        <v>0</v>
      </c>
      <c r="G4877" s="3">
        <f>F4877-E4877</f>
        <v/>
      </c>
      <c r="H4877" s="4">
        <f>IF(E4877=0,"",F4877/E4877-1)</f>
        <v/>
      </c>
      <c r="I4877" t="inlineStr"/>
    </row>
    <row r="4878">
      <c r="A4878" t="inlineStr">
        <is>
          <t>Processed food &amp; beverages</t>
        </is>
      </c>
      <c r="B4878" t="inlineStr">
        <is>
          <t>18</t>
        </is>
      </c>
      <c r="C4878" t="inlineStr">
        <is>
          <t>18010000</t>
        </is>
      </c>
      <c r="D4878" t="inlineStr">
        <is>
          <t>COCOA BEANS WHOLE/BROKEN RAW/ROASTED</t>
        </is>
      </c>
      <c r="E4878" s="3" t="n">
        <v>0</v>
      </c>
      <c r="F4878" s="3" t="n">
        <v>0</v>
      </c>
      <c r="G4878" s="3">
        <f>F4878-E4878</f>
        <v/>
      </c>
      <c r="H4878" s="4">
        <f>IF(E4878=0,"",F4878/E4878-1)</f>
        <v/>
      </c>
      <c r="I4878" t="inlineStr"/>
    </row>
    <row r="4879">
      <c r="A4879" t="inlineStr">
        <is>
          <t>Processed food &amp; beverages</t>
        </is>
      </c>
      <c r="B4879" t="inlineStr">
        <is>
          <t>18</t>
        </is>
      </c>
      <c r="C4879" t="inlineStr">
        <is>
          <t>18050000</t>
        </is>
      </c>
      <c r="D4879" t="inlineStr">
        <is>
          <t>COCOA PWDR NT CONTNG SUGAR/SWTNG MATRL</t>
        </is>
      </c>
      <c r="E4879" s="3" t="n">
        <v>0</v>
      </c>
      <c r="F4879" s="3" t="n">
        <v>0</v>
      </c>
      <c r="G4879" s="3">
        <f>F4879-E4879</f>
        <v/>
      </c>
      <c r="H4879" s="4">
        <f>IF(E4879=0,"",F4879/E4879-1)</f>
        <v/>
      </c>
      <c r="I4879" t="inlineStr"/>
    </row>
    <row r="4880">
      <c r="A4880" t="inlineStr">
        <is>
          <t>Processed food &amp; beverages</t>
        </is>
      </c>
      <c r="B4880" t="inlineStr">
        <is>
          <t>18</t>
        </is>
      </c>
      <c r="C4880" t="inlineStr">
        <is>
          <t>18069030</t>
        </is>
      </c>
      <c r="D4880" t="inlineStr">
        <is>
          <t>SPREADS CNTNG COCOA</t>
        </is>
      </c>
      <c r="E4880" s="3" t="n">
        <v>0</v>
      </c>
      <c r="F4880" s="3" t="n">
        <v>0</v>
      </c>
      <c r="G4880" s="3">
        <f>F4880-E4880</f>
        <v/>
      </c>
      <c r="H4880" s="4">
        <f>IF(E4880=0,"",F4880/E4880-1)</f>
        <v/>
      </c>
      <c r="I4880" t="inlineStr"/>
    </row>
    <row r="4881">
      <c r="A4881" t="inlineStr">
        <is>
          <t>Processed food &amp; beverages</t>
        </is>
      </c>
      <c r="B4881" t="inlineStr">
        <is>
          <t>19</t>
        </is>
      </c>
      <c r="C4881" t="inlineStr">
        <is>
          <t>19019010</t>
        </is>
      </c>
      <c r="D4881" t="inlineStr">
        <is>
          <t>OTHER MALT EXTRACT</t>
        </is>
      </c>
      <c r="E4881" s="3" t="n">
        <v>0.18</v>
      </c>
      <c r="F4881" s="3" t="n">
        <v>0</v>
      </c>
      <c r="G4881" s="3">
        <f>F4881-E4881</f>
        <v/>
      </c>
      <c r="H4881" s="4">
        <f>IF(E4881=0,"",F4881/E4881-1)</f>
        <v/>
      </c>
      <c r="I4881" t="inlineStr"/>
    </row>
    <row r="4882">
      <c r="A4882" t="inlineStr">
        <is>
          <t>Processed food &amp; beverages</t>
        </is>
      </c>
      <c r="B4882" t="inlineStr">
        <is>
          <t>19</t>
        </is>
      </c>
      <c r="C4882" t="inlineStr">
        <is>
          <t>19053219</t>
        </is>
      </c>
      <c r="D4882" t="inlineStr">
        <is>
          <t>*OTHER COMMUNION WAFERS</t>
        </is>
      </c>
      <c r="E4882" s="3" t="n">
        <v>0.22</v>
      </c>
      <c r="F4882" s="3" t="n">
        <v>0</v>
      </c>
      <c r="G4882" s="3">
        <f>F4882-E4882</f>
        <v/>
      </c>
      <c r="H4882" s="4">
        <f>IF(E4882=0,"",F4882/E4882-1)</f>
        <v/>
      </c>
      <c r="I4882" t="inlineStr"/>
    </row>
    <row r="4883">
      <c r="A4883" t="inlineStr">
        <is>
          <t>Processed food &amp; beverages</t>
        </is>
      </c>
      <c r="B4883" t="inlineStr">
        <is>
          <t>20</t>
        </is>
      </c>
      <c r="C4883" t="inlineStr">
        <is>
          <t>20051000</t>
        </is>
      </c>
      <c r="D4883" t="inlineStr">
        <is>
          <t>HOMOGENISED VGTBLS,PRPD/PRSVD, NT FRZN</t>
        </is>
      </c>
      <c r="E4883" s="3" t="n">
        <v>0</v>
      </c>
      <c r="F4883" s="3" t="n">
        <v>0</v>
      </c>
      <c r="G4883" s="3">
        <f>F4883-E4883</f>
        <v/>
      </c>
      <c r="H4883" s="4">
        <f>IF(E4883=0,"",F4883/E4883-1)</f>
        <v/>
      </c>
      <c r="I4883" t="inlineStr"/>
    </row>
    <row r="4884">
      <c r="A4884" t="inlineStr">
        <is>
          <t>Processed food &amp; beverages</t>
        </is>
      </c>
      <c r="B4884" t="inlineStr">
        <is>
          <t>20</t>
        </is>
      </c>
      <c r="C4884" t="inlineStr">
        <is>
          <t>20055100</t>
        </is>
      </c>
      <c r="D4884" t="inlineStr">
        <is>
          <t>BEANS SHELLED PRPD/PRSVD, NT FRZN</t>
        </is>
      </c>
      <c r="E4884" s="3" t="n">
        <v>0.01</v>
      </c>
      <c r="F4884" s="3" t="n">
        <v>0</v>
      </c>
      <c r="G4884" s="3">
        <f>F4884-E4884</f>
        <v/>
      </c>
      <c r="H4884" s="4">
        <f>IF(E4884=0,"",F4884/E4884-1)</f>
        <v/>
      </c>
      <c r="I4884" t="inlineStr"/>
    </row>
    <row r="4885">
      <c r="A4885" t="inlineStr">
        <is>
          <t>Processed food &amp; beverages</t>
        </is>
      </c>
      <c r="B4885" t="inlineStr">
        <is>
          <t>20</t>
        </is>
      </c>
      <c r="C4885" t="inlineStr">
        <is>
          <t>20083090</t>
        </is>
      </c>
      <c r="D4885" t="inlineStr">
        <is>
          <t>OTHER CITRUS FRUITS PREPARED OR PRESERVED</t>
        </is>
      </c>
      <c r="E4885" s="3" t="n">
        <v>0</v>
      </c>
      <c r="F4885" s="3" t="n">
        <v>0</v>
      </c>
      <c r="G4885" s="3">
        <f>F4885-E4885</f>
        <v/>
      </c>
      <c r="H4885" s="4">
        <f>IF(E4885=0,"",F4885/E4885-1)</f>
        <v/>
      </c>
      <c r="I4885" t="inlineStr"/>
    </row>
    <row r="4886">
      <c r="A4886" t="inlineStr">
        <is>
          <t>Processed food &amp; beverages</t>
        </is>
      </c>
      <c r="B4886" t="inlineStr">
        <is>
          <t>20</t>
        </is>
      </c>
      <c r="C4886" t="inlineStr">
        <is>
          <t>20089994</t>
        </is>
      </c>
      <c r="D4886" t="inlineStr">
        <is>
          <t>GUAVA, PREPARED OR PRESERVED</t>
        </is>
      </c>
      <c r="E4886" s="3" t="n">
        <v>0.1</v>
      </c>
      <c r="F4886" s="3" t="n">
        <v>0</v>
      </c>
      <c r="G4886" s="3">
        <f>F4886-E4886</f>
        <v/>
      </c>
      <c r="H4886" s="4">
        <f>IF(E4886=0,"",F4886/E4886-1)</f>
        <v/>
      </c>
      <c r="I4886" t="inlineStr"/>
    </row>
    <row r="4887">
      <c r="A4887" t="inlineStr">
        <is>
          <t>Processed food &amp; beverages</t>
        </is>
      </c>
      <c r="B4887" t="inlineStr">
        <is>
          <t>21</t>
        </is>
      </c>
      <c r="C4887" t="inlineStr">
        <is>
          <t>21011200</t>
        </is>
      </c>
      <c r="D4887" t="inlineStr">
        <is>
          <t>PRPN WTH A BASIS OF EXTRCTS ESSNCS OR CNCNTRTS OR WTH A BASIS OF COFFEE</t>
        </is>
      </c>
      <c r="E4887" s="3" t="n">
        <v>0.04</v>
      </c>
      <c r="F4887" s="3" t="n">
        <v>0</v>
      </c>
      <c r="G4887" s="3">
        <f>F4887-E4887</f>
        <v/>
      </c>
      <c r="H4887" s="4">
        <f>IF(E4887=0,"",F4887/E4887-1)</f>
        <v/>
      </c>
      <c r="I4887" t="inlineStr"/>
    </row>
    <row r="4888">
      <c r="A4888" t="inlineStr">
        <is>
          <t>Processed food &amp; beverages</t>
        </is>
      </c>
      <c r="B4888" t="inlineStr">
        <is>
          <t>21</t>
        </is>
      </c>
      <c r="C4888" t="inlineStr">
        <is>
          <t>21021010</t>
        </is>
      </c>
      <c r="D4888" t="inlineStr">
        <is>
          <t>CULTURE YEAST</t>
        </is>
      </c>
      <c r="E4888" s="3" t="n">
        <v>0</v>
      </c>
      <c r="F4888" s="3" t="n">
        <v>0</v>
      </c>
      <c r="G4888" s="3">
        <f>F4888-E4888</f>
        <v/>
      </c>
      <c r="H4888" s="4">
        <f>IF(E4888=0,"",F4888/E4888-1)</f>
        <v/>
      </c>
      <c r="I4888" t="inlineStr"/>
    </row>
    <row r="4889">
      <c r="A4889" t="inlineStr">
        <is>
          <t>Processed food &amp; beverages</t>
        </is>
      </c>
      <c r="B4889" t="inlineStr">
        <is>
          <t>21</t>
        </is>
      </c>
      <c r="C4889" t="inlineStr">
        <is>
          <t>21021090</t>
        </is>
      </c>
      <c r="D4889" t="inlineStr">
        <is>
          <t>OTHER ACTIVE YEAST</t>
        </is>
      </c>
      <c r="E4889" s="3" t="n">
        <v>0</v>
      </c>
      <c r="F4889" s="3" t="n">
        <v>0</v>
      </c>
      <c r="G4889" s="3">
        <f>F4889-E4889</f>
        <v/>
      </c>
      <c r="H4889" s="4">
        <f>IF(E4889=0,"",F4889/E4889-1)</f>
        <v/>
      </c>
      <c r="I4889" t="inlineStr"/>
    </row>
    <row r="4890">
      <c r="A4890" t="inlineStr">
        <is>
          <t>Processed food &amp; beverages</t>
        </is>
      </c>
      <c r="B4890" t="inlineStr">
        <is>
          <t>21</t>
        </is>
      </c>
      <c r="C4890" t="inlineStr">
        <is>
          <t>21039030</t>
        </is>
      </c>
      <c r="D4890" t="inlineStr">
        <is>
          <t>MAJONNAISE AND SALAD DRESSINGS</t>
        </is>
      </c>
      <c r="E4890" s="3" t="n">
        <v>0</v>
      </c>
      <c r="F4890" s="3" t="n">
        <v>0</v>
      </c>
      <c r="G4890" s="3">
        <f>F4890-E4890</f>
        <v/>
      </c>
      <c r="H4890" s="4">
        <f>IF(E4890=0,"",F4890/E4890-1)</f>
        <v/>
      </c>
      <c r="I4890" t="inlineStr"/>
    </row>
    <row r="4891">
      <c r="A4891" t="inlineStr">
        <is>
          <t>Processed food &amp; beverages</t>
        </is>
      </c>
      <c r="B4891" t="inlineStr">
        <is>
          <t>21</t>
        </is>
      </c>
      <c r="C4891" t="inlineStr">
        <is>
          <t>21042000</t>
        </is>
      </c>
      <c r="D4891" t="inlineStr">
        <is>
          <t>HOMOGENISED COMPOSITE FOOD PREPARATIONS</t>
        </is>
      </c>
      <c r="E4891" s="3" t="n">
        <v>0</v>
      </c>
      <c r="F4891" s="3" t="n">
        <v>0</v>
      </c>
      <c r="G4891" s="3">
        <f>F4891-E4891</f>
        <v/>
      </c>
      <c r="H4891" s="4">
        <f>IF(E4891=0,"",F4891/E4891-1)</f>
        <v/>
      </c>
      <c r="I4891" t="inlineStr"/>
    </row>
    <row r="4892">
      <c r="A4892" t="inlineStr">
        <is>
          <t>Processed food &amp; beverages</t>
        </is>
      </c>
      <c r="B4892" t="inlineStr">
        <is>
          <t>21</t>
        </is>
      </c>
      <c r="C4892" t="inlineStr">
        <is>
          <t>21069030</t>
        </is>
      </c>
      <c r="D4892" t="inlineStr">
        <is>
          <t>BETEL NUT PRODUCT KNOWN AS SUPARI</t>
        </is>
      </c>
      <c r="E4892" s="3" t="n">
        <v>0</v>
      </c>
      <c r="F4892" s="3" t="n">
        <v>0</v>
      </c>
      <c r="G4892" s="3">
        <f>F4892-E4892</f>
        <v/>
      </c>
      <c r="H4892" s="4">
        <f>IF(E4892=0,"",F4892/E4892-1)</f>
        <v/>
      </c>
      <c r="I4892" t="inlineStr"/>
    </row>
    <row r="4893">
      <c r="A4893" t="inlineStr">
        <is>
          <t>Processed food &amp; beverages</t>
        </is>
      </c>
      <c r="B4893" t="inlineStr">
        <is>
          <t>22</t>
        </is>
      </c>
      <c r="C4893" t="inlineStr">
        <is>
          <t>22019090</t>
        </is>
      </c>
      <c r="D4893" t="inlineStr">
        <is>
          <t>OTHER WATERS (INCLUDING NATURAL WATER)</t>
        </is>
      </c>
      <c r="E4893" s="3" t="n">
        <v>0.01</v>
      </c>
      <c r="F4893" s="3" t="n">
        <v>0</v>
      </c>
      <c r="G4893" s="3">
        <f>F4893-E4893</f>
        <v/>
      </c>
      <c r="H4893" s="4">
        <f>IF(E4893=0,"",F4893/E4893-1)</f>
        <v/>
      </c>
      <c r="I4893" t="inlineStr"/>
    </row>
    <row r="4894">
      <c r="A4894" t="inlineStr">
        <is>
          <t>Processed food &amp; beverages</t>
        </is>
      </c>
      <c r="B4894" t="inlineStr">
        <is>
          <t>22</t>
        </is>
      </c>
      <c r="C4894" t="inlineStr">
        <is>
          <t>22021020</t>
        </is>
      </c>
      <c r="D4894" t="inlineStr">
        <is>
          <t>LEMONADE</t>
        </is>
      </c>
      <c r="E4894" s="3" t="n">
        <v>0</v>
      </c>
      <c r="F4894" s="3" t="n">
        <v>0</v>
      </c>
      <c r="G4894" s="3">
        <f>F4894-E4894</f>
        <v/>
      </c>
      <c r="H4894" s="4">
        <f>IF(E4894=0,"",F4894/E4894-1)</f>
        <v/>
      </c>
      <c r="I4894" t="inlineStr"/>
    </row>
    <row r="4895">
      <c r="A4895" t="inlineStr">
        <is>
          <t>Processed food &amp; beverages</t>
        </is>
      </c>
      <c r="B4895" t="inlineStr">
        <is>
          <t>22</t>
        </is>
      </c>
      <c r="C4895" t="inlineStr">
        <is>
          <t>22042190</t>
        </is>
      </c>
      <c r="D4895" t="inlineStr">
        <is>
          <t>OTHER WINE OF FRSH GRAPES INCLUDNG GRAPE MUST</t>
        </is>
      </c>
      <c r="E4895" s="3" t="n">
        <v>0.03</v>
      </c>
      <c r="F4895" s="3" t="n">
        <v>0</v>
      </c>
      <c r="G4895" s="3">
        <f>F4895-E4895</f>
        <v/>
      </c>
      <c r="H4895" s="4">
        <f>IF(E4895=0,"",F4895/E4895-1)</f>
        <v/>
      </c>
      <c r="I4895" t="inlineStr"/>
    </row>
    <row r="4896">
      <c r="A4896" t="inlineStr">
        <is>
          <t>Processed food &amp; beverages</t>
        </is>
      </c>
      <c r="B4896" t="inlineStr">
        <is>
          <t>22</t>
        </is>
      </c>
      <c r="C4896" t="inlineStr">
        <is>
          <t>22090010</t>
        </is>
      </c>
      <c r="D4896" t="inlineStr">
        <is>
          <t>BREWED VINEGAR</t>
        </is>
      </c>
      <c r="E4896" s="3" t="n">
        <v>0</v>
      </c>
      <c r="F4896" s="3" t="n">
        <v>0</v>
      </c>
      <c r="G4896" s="3">
        <f>F4896-E4896</f>
        <v/>
      </c>
      <c r="H4896" s="4">
        <f>IF(E4896=0,"",F4896/E4896-1)</f>
        <v/>
      </c>
      <c r="I4896" t="inlineStr"/>
    </row>
    <row r="4897">
      <c r="A4897" t="inlineStr">
        <is>
          <t>Processed food &amp; beverages</t>
        </is>
      </c>
      <c r="B4897" t="inlineStr">
        <is>
          <t>23</t>
        </is>
      </c>
      <c r="C4897" t="inlineStr">
        <is>
          <t>23025000</t>
        </is>
      </c>
      <c r="D4897" t="inlineStr">
        <is>
          <t>BRAN SHRPS AND OTHR RESDUS OF LEGMINUS PLNTS</t>
        </is>
      </c>
      <c r="E4897" s="3" t="n">
        <v>0.4</v>
      </c>
      <c r="F4897" s="3" t="n">
        <v>0</v>
      </c>
      <c r="G4897" s="3">
        <f>F4897-E4897</f>
        <v/>
      </c>
      <c r="H4897" s="4">
        <f>IF(E4897=0,"",F4897/E4897-1)</f>
        <v/>
      </c>
      <c r="I4897" t="inlineStr"/>
    </row>
    <row r="4898">
      <c r="A4898" t="inlineStr">
        <is>
          <t>Processed food &amp; beverages</t>
        </is>
      </c>
      <c r="B4898" t="inlineStr">
        <is>
          <t>23</t>
        </is>
      </c>
      <c r="C4898" t="inlineStr">
        <is>
          <t>23064900</t>
        </is>
      </c>
      <c r="D4898" t="inlineStr">
        <is>
          <t>OTHER RESIDUES OF RAPE OR COLZA SEEDS</t>
        </is>
      </c>
      <c r="E4898" s="3" t="n">
        <v>0.06</v>
      </c>
      <c r="F4898" s="3" t="n">
        <v>0</v>
      </c>
      <c r="G4898" s="3">
        <f>F4898-E4898</f>
        <v/>
      </c>
      <c r="H4898" s="4">
        <f>IF(E4898=0,"",F4898/E4898-1)</f>
        <v/>
      </c>
      <c r="I4898" t="inlineStr"/>
    </row>
    <row r="4899">
      <c r="A4899" t="inlineStr">
        <is>
          <t>Processed food &amp; beverages</t>
        </is>
      </c>
      <c r="B4899" t="inlineStr">
        <is>
          <t>24</t>
        </is>
      </c>
      <c r="C4899" t="inlineStr">
        <is>
          <t>24039910</t>
        </is>
      </c>
      <c r="D4899" t="inlineStr">
        <is>
          <t>CHEWING TOBACCO</t>
        </is>
      </c>
      <c r="E4899" s="3" t="n">
        <v>17.15</v>
      </c>
      <c r="F4899" s="3" t="n">
        <v>0</v>
      </c>
      <c r="G4899" s="3">
        <f>F4899-E4899</f>
        <v/>
      </c>
      <c r="H4899" s="4">
        <f>IF(E4899=0,"",F4899/E4899-1)</f>
        <v/>
      </c>
      <c r="I4899" t="inlineStr"/>
    </row>
    <row r="4900">
      <c r="A4900" t="inlineStr">
        <is>
          <t>Processed food &amp; beverages</t>
        </is>
      </c>
      <c r="B4900" t="inlineStr">
        <is>
          <t>24</t>
        </is>
      </c>
      <c r="C4900" t="inlineStr">
        <is>
          <t>24039990</t>
        </is>
      </c>
      <c r="D4900" t="inlineStr">
        <is>
          <t>OTHER MNFRD TOBACCO EXTRCTS AND ESSNCS NES</t>
        </is>
      </c>
      <c r="E4900" s="3" t="n">
        <v>3.79</v>
      </c>
      <c r="F4900" s="3" t="n">
        <v>0</v>
      </c>
      <c r="G4900" s="3">
        <f>F4900-E4900</f>
        <v/>
      </c>
      <c r="H4900" s="4">
        <f>IF(E4900=0,"",F4900/E4900-1)</f>
        <v/>
      </c>
      <c r="I4900" t="inlineStr"/>
    </row>
    <row r="4901">
      <c r="A4901" s="6" t="inlineStr">
        <is>
          <t>Pharmaceuticals  —  173 lines</t>
        </is>
      </c>
      <c r="B4901" s="6" t="inlineStr"/>
      <c r="C4901" s="6" t="inlineStr"/>
      <c r="D4901" s="6" t="inlineStr"/>
      <c r="E4901" s="7" t="n">
        <v>347.31</v>
      </c>
      <c r="F4901" s="7" t="n">
        <v>458.19</v>
      </c>
      <c r="G4901" s="7" t="n">
        <v>110.88</v>
      </c>
      <c r="H4901" s="8" t="n">
        <v>0.3192536926664933</v>
      </c>
      <c r="I4901" s="6" t="inlineStr"/>
    </row>
    <row r="4902">
      <c r="A4902" t="inlineStr">
        <is>
          <t>Pharmaceuticals</t>
        </is>
      </c>
      <c r="B4902" t="inlineStr">
        <is>
          <t>30</t>
        </is>
      </c>
      <c r="C4902" t="inlineStr">
        <is>
          <t>30049099</t>
        </is>
      </c>
      <c r="D4902" t="inlineStr">
        <is>
          <t>OTHER MEDCNE PUT UP FOR RETAIL SALE N.E.S</t>
        </is>
      </c>
      <c r="E4902" s="3" t="n">
        <v>150.1</v>
      </c>
      <c r="F4902" s="3" t="n">
        <v>231.47</v>
      </c>
      <c r="G4902" s="3">
        <f>F4902-E4902</f>
        <v/>
      </c>
      <c r="H4902" s="4">
        <f>IF(E4902=0,"",F4902/E4902-1)</f>
        <v/>
      </c>
      <c r="I4902" t="inlineStr">
        <is>
          <t>Other retail medicines (n.e.s.)</t>
        </is>
      </c>
    </row>
    <row r="4903">
      <c r="A4903" t="inlineStr">
        <is>
          <t>Pharmaceuticals</t>
        </is>
      </c>
      <c r="B4903" t="inlineStr">
        <is>
          <t>30</t>
        </is>
      </c>
      <c r="C4903" t="inlineStr">
        <is>
          <t>30041030</t>
        </is>
      </c>
      <c r="D4903" t="inlineStr">
        <is>
          <t>AMOXYCYLLIN IN CAPSULES, INJECTIONS ETC.</t>
        </is>
      </c>
      <c r="E4903" s="3" t="n">
        <v>8.5</v>
      </c>
      <c r="F4903" s="3" t="n">
        <v>22.9</v>
      </c>
      <c r="G4903" s="3">
        <f>F4903-E4903</f>
        <v/>
      </c>
      <c r="H4903" s="4">
        <f>IF(E4903=0,"",F4903/E4903-1)</f>
        <v/>
      </c>
      <c r="I4903" t="inlineStr">
        <is>
          <t>Anti-infectives</t>
        </is>
      </c>
    </row>
    <row r="4904">
      <c r="A4904" t="inlineStr">
        <is>
          <t>Pharmaceuticals</t>
        </is>
      </c>
      <c r="B4904" t="inlineStr">
        <is>
          <t>30</t>
        </is>
      </c>
      <c r="C4904" t="inlineStr">
        <is>
          <t>30049039</t>
        </is>
      </c>
      <c r="D4904" t="inlineStr">
        <is>
          <t>OTHER ANTINISTANINICS ,ANTACIDS,ANTIULCER,ANTIEMITICS AND OTHER GASTOINTESTINAL DRUGS</t>
        </is>
      </c>
      <c r="E4904" s="3" t="n">
        <v>21.39</v>
      </c>
      <c r="F4904" s="3" t="n">
        <v>22.66</v>
      </c>
      <c r="G4904" s="3">
        <f>F4904-E4904</f>
        <v/>
      </c>
      <c r="H4904" s="4">
        <f>IF(E4904=0,"",F4904/E4904-1)</f>
        <v/>
      </c>
      <c r="I4904" t="inlineStr">
        <is>
          <t>Gastro &amp; anti-allergy</t>
        </is>
      </c>
    </row>
    <row r="4905">
      <c r="A4905" t="inlineStr">
        <is>
          <t>Pharmaceuticals</t>
        </is>
      </c>
      <c r="B4905" t="inlineStr">
        <is>
          <t>30</t>
        </is>
      </c>
      <c r="C4905" t="inlineStr">
        <is>
          <t>30049034</t>
        </is>
      </c>
      <c r="D4905" t="inlineStr">
        <is>
          <t>OMEPRAZOLE AND LANSOPRAZOLE</t>
        </is>
      </c>
      <c r="E4905" s="3" t="n">
        <v>4.77</v>
      </c>
      <c r="F4905" s="3" t="n">
        <v>12.81</v>
      </c>
      <c r="G4905" s="3">
        <f>F4905-E4905</f>
        <v/>
      </c>
      <c r="H4905" s="4">
        <f>IF(E4905=0,"",F4905/E4905-1)</f>
        <v/>
      </c>
      <c r="I4905" t="inlineStr">
        <is>
          <t>Gastro &amp; anti-allergy</t>
        </is>
      </c>
    </row>
    <row r="4906">
      <c r="A4906" t="inlineStr">
        <is>
          <t>Pharmaceuticals</t>
        </is>
      </c>
      <c r="B4906" t="inlineStr">
        <is>
          <t>30</t>
        </is>
      </c>
      <c r="C4906" t="inlineStr">
        <is>
          <t>30049011</t>
        </is>
      </c>
      <c r="D4906" t="inlineStr">
        <is>
          <t>MEDICAMENTS OF AYURVEDIC SYSTEM</t>
        </is>
      </c>
      <c r="E4906" s="3" t="n">
        <v>28.09</v>
      </c>
      <c r="F4906" s="3" t="n">
        <v>12.22</v>
      </c>
      <c r="G4906" s="3">
        <f>F4906-E4906</f>
        <v/>
      </c>
      <c r="H4906" s="4">
        <f>IF(E4906=0,"",F4906/E4906-1)</f>
        <v/>
      </c>
      <c r="I4906" t="inlineStr">
        <is>
          <t>AYUSH (Ayurveda, Unani)</t>
        </is>
      </c>
    </row>
    <row r="4907">
      <c r="A4907" t="inlineStr">
        <is>
          <t>Pharmaceuticals</t>
        </is>
      </c>
      <c r="B4907" t="inlineStr">
        <is>
          <t>30</t>
        </is>
      </c>
      <c r="C4907" t="inlineStr">
        <is>
          <t>30049029</t>
        </is>
      </c>
      <c r="D4907" t="inlineStr">
        <is>
          <t>OTHER ANTHELMINTICS DRUGS;ANTIAMOEBIC AND OTHER ANTIPROTOZOAL/ANTIFUNGAL DRUGS</t>
        </is>
      </c>
      <c r="E4907" s="3" t="n">
        <v>10.73</v>
      </c>
      <c r="F4907" s="3" t="n">
        <v>11.33</v>
      </c>
      <c r="G4907" s="3">
        <f>F4907-E4907</f>
        <v/>
      </c>
      <c r="H4907" s="4">
        <f>IF(E4907=0,"",F4907/E4907-1)</f>
        <v/>
      </c>
      <c r="I4907" t="inlineStr">
        <is>
          <t>Anti-infectives</t>
        </is>
      </c>
    </row>
    <row r="4908">
      <c r="A4908" t="inlineStr">
        <is>
          <t>Pharmaceuticals</t>
        </is>
      </c>
      <c r="B4908" t="inlineStr">
        <is>
          <t>30</t>
        </is>
      </c>
      <c r="C4908" t="inlineStr">
        <is>
          <t>30049069</t>
        </is>
      </c>
      <c r="D4908" t="inlineStr">
        <is>
          <t>OTHER NONSTEROIDAL ANTIINFLAMATORY, ANALGESTICS AND ANTIPYRATIC DRUGS</t>
        </is>
      </c>
      <c r="E4908" s="3" t="n">
        <v>7.33</v>
      </c>
      <c r="F4908" s="3" t="n">
        <v>10.08</v>
      </c>
      <c r="G4908" s="3">
        <f>F4908-E4908</f>
        <v/>
      </c>
      <c r="H4908" s="4">
        <f>IF(E4908=0,"",F4908/E4908-1)</f>
        <v/>
      </c>
      <c r="I4908" t="inlineStr">
        <is>
          <t>Pain &amp; inflammation</t>
        </is>
      </c>
    </row>
    <row r="4909">
      <c r="A4909" t="inlineStr">
        <is>
          <t>Pharmaceuticals</t>
        </is>
      </c>
      <c r="B4909" t="inlineStr">
        <is>
          <t>30</t>
        </is>
      </c>
      <c r="C4909" t="inlineStr">
        <is>
          <t>30042019</t>
        </is>
      </c>
      <c r="D4909" t="inlineStr">
        <is>
          <t>OTHER CEPHALOSPORINS AND THEIR DERIVATIVES</t>
        </is>
      </c>
      <c r="E4909" s="3" t="n">
        <v>4.49</v>
      </c>
      <c r="F4909" s="3" t="n">
        <v>8.4</v>
      </c>
      <c r="G4909" s="3">
        <f>F4909-E4909</f>
        <v/>
      </c>
      <c r="H4909" s="4">
        <f>IF(E4909=0,"",F4909/E4909-1)</f>
        <v/>
      </c>
      <c r="I4909" t="inlineStr">
        <is>
          <t>Anti-infectives</t>
        </is>
      </c>
    </row>
    <row r="4910">
      <c r="A4910" t="inlineStr">
        <is>
          <t>Pharmaceuticals</t>
        </is>
      </c>
      <c r="B4910" t="inlineStr">
        <is>
          <t>30</t>
        </is>
      </c>
      <c r="C4910" t="inlineStr">
        <is>
          <t>30043200</t>
        </is>
      </c>
      <c r="D4910" t="inlineStr">
        <is>
          <t>MEDICAMENTS CONTAINING CORTICOSTEROID HORMONES, THEIR DERVATIVEANDSTRUCTURAL ANALG</t>
        </is>
      </c>
      <c r="E4910" s="3" t="n">
        <v>9.92</v>
      </c>
      <c r="F4910" s="3" t="n">
        <v>7.89</v>
      </c>
      <c r="G4910" s="3">
        <f>F4910-E4910</f>
        <v/>
      </c>
      <c r="H4910" s="4">
        <f>IF(E4910=0,"",F4910/E4910-1)</f>
        <v/>
      </c>
      <c r="I4910" t="inlineStr">
        <is>
          <t>Hormones &amp; insulin</t>
        </is>
      </c>
    </row>
    <row r="4911">
      <c r="A4911" t="inlineStr">
        <is>
          <t>Pharmaceuticals</t>
        </is>
      </c>
      <c r="B4911" t="inlineStr">
        <is>
          <t>30</t>
        </is>
      </c>
      <c r="C4911" t="inlineStr">
        <is>
          <t>30049079</t>
        </is>
      </c>
      <c r="D4911" t="inlineStr">
        <is>
          <t>OTHER ANTIHYPERTENSIVE DRUGS</t>
        </is>
      </c>
      <c r="E4911" s="3" t="n">
        <v>2.99</v>
      </c>
      <c r="F4911" s="3" t="n">
        <v>7.4</v>
      </c>
      <c r="G4911" s="3">
        <f>F4911-E4911</f>
        <v/>
      </c>
      <c r="H4911" s="4">
        <f>IF(E4911=0,"",F4911/E4911-1)</f>
        <v/>
      </c>
      <c r="I4911" t="inlineStr">
        <is>
          <t>Cardiovascular</t>
        </is>
      </c>
    </row>
    <row r="4912">
      <c r="A4912" t="inlineStr">
        <is>
          <t>Pharmaceuticals</t>
        </is>
      </c>
      <c r="B4912" t="inlineStr">
        <is>
          <t>30</t>
        </is>
      </c>
      <c r="C4912" t="inlineStr">
        <is>
          <t>30049072</t>
        </is>
      </c>
      <c r="D4912" t="inlineStr">
        <is>
          <t>VERAPAMIL, NIFEDIPINE, AMLODIPINE AND LACIDIPINE</t>
        </is>
      </c>
      <c r="E4912" s="3" t="n">
        <v>5.94</v>
      </c>
      <c r="F4912" s="3" t="n">
        <v>7.26</v>
      </c>
      <c r="G4912" s="3">
        <f>F4912-E4912</f>
        <v/>
      </c>
      <c r="H4912" s="4">
        <f>IF(E4912=0,"",F4912/E4912-1)</f>
        <v/>
      </c>
      <c r="I4912" t="inlineStr">
        <is>
          <t>Cardiovascular</t>
        </is>
      </c>
    </row>
    <row r="4913">
      <c r="A4913" t="inlineStr">
        <is>
          <t>Pharmaceuticals</t>
        </is>
      </c>
      <c r="B4913" t="inlineStr">
        <is>
          <t>30</t>
        </is>
      </c>
      <c r="C4913" t="inlineStr">
        <is>
          <t>30045090</t>
        </is>
      </c>
      <c r="D4913" t="inlineStr">
        <is>
          <t>OTHERS PUT UP FOR RETAIL SALE</t>
        </is>
      </c>
      <c r="E4913" s="3" t="n">
        <v>2.54</v>
      </c>
      <c r="F4913" s="3" t="n">
        <v>5.39</v>
      </c>
      <c r="G4913" s="3">
        <f>F4913-E4913</f>
        <v/>
      </c>
      <c r="H4913" s="4">
        <f>IF(E4913=0,"",F4913/E4913-1)</f>
        <v/>
      </c>
      <c r="I4913" t="inlineStr">
        <is>
          <t>Vitamins &amp; nutrition</t>
        </is>
      </c>
    </row>
    <row r="4914">
      <c r="A4914" t="inlineStr">
        <is>
          <t>Pharmaceuticals</t>
        </is>
      </c>
      <c r="B4914" t="inlineStr">
        <is>
          <t>30</t>
        </is>
      </c>
      <c r="C4914" t="inlineStr">
        <is>
          <t>30042064</t>
        </is>
      </c>
      <c r="D4914" t="inlineStr">
        <is>
          <t>AZITHROMYCIN</t>
        </is>
      </c>
      <c r="E4914" s="3" t="n">
        <v>7.16</v>
      </c>
      <c r="F4914" s="3" t="n">
        <v>4.89</v>
      </c>
      <c r="G4914" s="3">
        <f>F4914-E4914</f>
        <v/>
      </c>
      <c r="H4914" s="4">
        <f>IF(E4914=0,"",F4914/E4914-1)</f>
        <v/>
      </c>
      <c r="I4914" t="inlineStr">
        <is>
          <t>Anti-infectives</t>
        </is>
      </c>
    </row>
    <row r="4915">
      <c r="A4915" t="inlineStr">
        <is>
          <t>Pharmaceuticals</t>
        </is>
      </c>
      <c r="B4915" t="inlineStr">
        <is>
          <t>30</t>
        </is>
      </c>
      <c r="C4915" t="inlineStr">
        <is>
          <t>30045020</t>
        </is>
      </c>
      <c r="D4915" t="inlineStr">
        <is>
          <t>MINERAL AND PARENTERAL NUTRITIONAL SPPLMNTS/CONTNG CALSIUM SLTS WTH VTMN IN TABLTS ETC</t>
        </is>
      </c>
      <c r="E4915" s="3" t="n">
        <v>1.81</v>
      </c>
      <c r="F4915" s="3" t="n">
        <v>4.45</v>
      </c>
      <c r="G4915" s="3">
        <f>F4915-E4915</f>
        <v/>
      </c>
      <c r="H4915" s="4">
        <f>IF(E4915=0,"",F4915/E4915-1)</f>
        <v/>
      </c>
      <c r="I4915" t="inlineStr">
        <is>
          <t>Vitamins &amp; nutrition</t>
        </is>
      </c>
    </row>
    <row r="4916">
      <c r="A4916" t="inlineStr">
        <is>
          <t>Pharmaceuticals</t>
        </is>
      </c>
      <c r="B4916" t="inlineStr">
        <is>
          <t>30</t>
        </is>
      </c>
      <c r="C4916" t="inlineStr">
        <is>
          <t>30039090</t>
        </is>
      </c>
      <c r="D4916" t="inlineStr">
        <is>
          <t>OTHER MEDICAMENTS NOT PUT UP IN MEASURED DOSES OR IN PACKING</t>
        </is>
      </c>
      <c r="E4916" s="3" t="n">
        <v>3.73</v>
      </c>
      <c r="F4916" s="3" t="n">
        <v>4.34</v>
      </c>
      <c r="G4916" s="3">
        <f>F4916-E4916</f>
        <v/>
      </c>
      <c r="H4916" s="4">
        <f>IF(E4916=0,"",F4916/E4916-1)</f>
        <v/>
      </c>
      <c r="I4916" t="inlineStr">
        <is>
          <t>Bulk medicaments</t>
        </is>
      </c>
    </row>
    <row r="4917">
      <c r="A4917" t="inlineStr">
        <is>
          <t>Pharmaceuticals</t>
        </is>
      </c>
      <c r="B4917" t="inlineStr">
        <is>
          <t>30</t>
        </is>
      </c>
      <c r="C4917" t="inlineStr">
        <is>
          <t>30024129</t>
        </is>
      </c>
      <c r="D4917" t="inlineStr">
        <is>
          <t>OTHERS-OF-VACCINES FOR HUMAN MEDICINE</t>
        </is>
      </c>
      <c r="E4917" s="3" t="n">
        <v>2.64</v>
      </c>
      <c r="F4917" s="3" t="n">
        <v>4.01</v>
      </c>
      <c r="G4917" s="3">
        <f>F4917-E4917</f>
        <v/>
      </c>
      <c r="H4917" s="4">
        <f>IF(E4917=0,"",F4917/E4917-1)</f>
        <v/>
      </c>
      <c r="I4917" t="inlineStr">
        <is>
          <t>Vaccines &amp; biologicals</t>
        </is>
      </c>
    </row>
    <row r="4918">
      <c r="A4918" t="inlineStr">
        <is>
          <t>Pharmaceuticals</t>
        </is>
      </c>
      <c r="B4918" t="inlineStr">
        <is>
          <t>30</t>
        </is>
      </c>
      <c r="C4918" t="inlineStr">
        <is>
          <t>30041090</t>
        </is>
      </c>
      <c r="D4918" t="inlineStr">
        <is>
          <t>OTHER MDCMNTS CNTNG PENCLLNS/DRVTVS THROF WITH A PENCLLNC ACID STRCTR/STRPTMYCNS OR THEIR DERVATIVS PUT UP FOR RETALE SA</t>
        </is>
      </c>
      <c r="E4918" s="3" t="n">
        <v>3.43</v>
      </c>
      <c r="F4918" s="3" t="n">
        <v>3.93</v>
      </c>
      <c r="G4918" s="3">
        <f>F4918-E4918</f>
        <v/>
      </c>
      <c r="H4918" s="4">
        <f>IF(E4918=0,"",F4918/E4918-1)</f>
        <v/>
      </c>
      <c r="I4918" t="inlineStr">
        <is>
          <t>Anti-infectives</t>
        </is>
      </c>
    </row>
    <row r="4919">
      <c r="A4919" t="inlineStr">
        <is>
          <t>Pharmaceuticals</t>
        </is>
      </c>
      <c r="B4919" t="inlineStr">
        <is>
          <t>30</t>
        </is>
      </c>
      <c r="C4919" t="inlineStr">
        <is>
          <t>30049087</t>
        </is>
      </c>
      <c r="D4919" t="inlineStr">
        <is>
          <t>ANTIBACTERIAL FORMULATIONS, N.E.S.</t>
        </is>
      </c>
      <c r="E4919" s="3" t="n">
        <v>1.79</v>
      </c>
      <c r="F4919" s="3" t="n">
        <v>3.8</v>
      </c>
      <c r="G4919" s="3">
        <f>F4919-E4919</f>
        <v/>
      </c>
      <c r="H4919" s="4">
        <f>IF(E4919=0,"",F4919/E4919-1)</f>
        <v/>
      </c>
      <c r="I4919" t="inlineStr">
        <is>
          <t>Anti-infectives</t>
        </is>
      </c>
    </row>
    <row r="4920">
      <c r="A4920" t="inlineStr">
        <is>
          <t>Pharmaceuticals</t>
        </is>
      </c>
      <c r="B4920" t="inlineStr">
        <is>
          <t>30</t>
        </is>
      </c>
      <c r="C4920" t="inlineStr">
        <is>
          <t>30049073</t>
        </is>
      </c>
      <c r="D4920" t="inlineStr">
        <is>
          <t>LOSARTAN</t>
        </is>
      </c>
      <c r="E4920" s="3" t="n">
        <v>3.75</v>
      </c>
      <c r="F4920" s="3" t="n">
        <v>3.52</v>
      </c>
      <c r="G4920" s="3">
        <f>F4920-E4920</f>
        <v/>
      </c>
      <c r="H4920" s="4">
        <f>IF(E4920=0,"",F4920/E4920-1)</f>
        <v/>
      </c>
      <c r="I4920" t="inlineStr">
        <is>
          <t>Cardiovascular</t>
        </is>
      </c>
    </row>
    <row r="4921">
      <c r="A4921" t="inlineStr">
        <is>
          <t>Pharmaceuticals</t>
        </is>
      </c>
      <c r="B4921" t="inlineStr">
        <is>
          <t>30</t>
        </is>
      </c>
      <c r="C4921" t="inlineStr">
        <is>
          <t>30049085</t>
        </is>
      </c>
      <c r="D4921" t="inlineStr">
        <is>
          <t>VETERINARY MEDICINAL PREPARATIONS N.E.S.</t>
        </is>
      </c>
      <c r="E4921" s="3" t="n">
        <v>3.69</v>
      </c>
      <c r="F4921" s="3" t="n">
        <v>3.39</v>
      </c>
      <c r="G4921" s="3">
        <f>F4921-E4921</f>
        <v/>
      </c>
      <c r="H4921" s="4">
        <f>IF(E4921=0,"",F4921/E4921-1)</f>
        <v/>
      </c>
      <c r="I4921" t="inlineStr">
        <is>
          <t>Other formulations</t>
        </is>
      </c>
    </row>
    <row r="4922">
      <c r="A4922" t="inlineStr">
        <is>
          <t>Pharmaceuticals</t>
        </is>
      </c>
      <c r="B4922" t="inlineStr">
        <is>
          <t>30</t>
        </is>
      </c>
      <c r="C4922" t="inlineStr">
        <is>
          <t>30049091</t>
        </is>
      </c>
      <c r="D4922" t="inlineStr">
        <is>
          <t>SALBUTAMOL, TERBUTALINE, EPHEDRINE, SALMETEROL AND METHYL XANTHIMES</t>
        </is>
      </c>
      <c r="E4922" s="3" t="n">
        <v>3.37</v>
      </c>
      <c r="F4922" s="3" t="n">
        <v>3.35</v>
      </c>
      <c r="G4922" s="3">
        <f>F4922-E4922</f>
        <v/>
      </c>
      <c r="H4922" s="4">
        <f>IF(E4922=0,"",F4922/E4922-1)</f>
        <v/>
      </c>
      <c r="I4922" t="inlineStr">
        <is>
          <t>Respiratory</t>
        </is>
      </c>
    </row>
    <row r="4923">
      <c r="A4923" t="inlineStr">
        <is>
          <t>Pharmaceuticals</t>
        </is>
      </c>
      <c r="B4923" t="inlineStr">
        <is>
          <t>30</t>
        </is>
      </c>
      <c r="C4923" t="inlineStr">
        <is>
          <t>30049031</t>
        </is>
      </c>
      <c r="D4923" t="inlineStr">
        <is>
          <t>PROMETHAZINE, CHLORPHENIRAMINE, ASTEMIZOLE AND CETEIRIZINE</t>
        </is>
      </c>
      <c r="E4923" s="3" t="n">
        <v>1.72</v>
      </c>
      <c r="F4923" s="3" t="n">
        <v>3.3</v>
      </c>
      <c r="G4923" s="3">
        <f>F4923-E4923</f>
        <v/>
      </c>
      <c r="H4923" s="4">
        <f>IF(E4923=0,"",F4923/E4923-1)</f>
        <v/>
      </c>
      <c r="I4923" t="inlineStr">
        <is>
          <t>Gastro &amp; anti-allergy</t>
        </is>
      </c>
    </row>
    <row r="4924">
      <c r="A4924" t="inlineStr">
        <is>
          <t>Pharmaceuticals</t>
        </is>
      </c>
      <c r="B4924" t="inlineStr">
        <is>
          <t>30</t>
        </is>
      </c>
      <c r="C4924" t="inlineStr">
        <is>
          <t>30049082</t>
        </is>
      </c>
      <c r="D4924" t="inlineStr">
        <is>
          <t>OTHER ANTIEPILEPTIC DRUGS</t>
        </is>
      </c>
      <c r="E4924" s="3" t="n">
        <v>2.77</v>
      </c>
      <c r="F4924" s="3" t="n">
        <v>3.22</v>
      </c>
      <c r="G4924" s="3">
        <f>F4924-E4924</f>
        <v/>
      </c>
      <c r="H4924" s="4">
        <f>IF(E4924=0,"",F4924/E4924-1)</f>
        <v/>
      </c>
      <c r="I4924" t="inlineStr">
        <is>
          <t>Nervous system</t>
        </is>
      </c>
    </row>
    <row r="4925">
      <c r="A4925" t="inlineStr">
        <is>
          <t>Pharmaceuticals</t>
        </is>
      </c>
      <c r="B4925" t="inlineStr">
        <is>
          <t>30</t>
        </is>
      </c>
      <c r="C4925" t="inlineStr">
        <is>
          <t>30024116</t>
        </is>
      </c>
      <c r="D4925" t="inlineStr">
        <is>
          <t>RABIES (SINGLE VACCINES FOR)</t>
        </is>
      </c>
      <c r="E4925" s="3" t="n">
        <v>1.59</v>
      </c>
      <c r="F4925" s="3" t="n">
        <v>3.15</v>
      </c>
      <c r="G4925" s="3">
        <f>F4925-E4925</f>
        <v/>
      </c>
      <c r="H4925" s="4">
        <f>IF(E4925=0,"",F4925/E4925-1)</f>
        <v/>
      </c>
      <c r="I4925" t="inlineStr">
        <is>
          <t>Vaccines &amp; biologicals</t>
        </is>
      </c>
    </row>
    <row r="4926">
      <c r="A4926" t="inlineStr">
        <is>
          <t>Pharmaceuticals</t>
        </is>
      </c>
      <c r="B4926" t="inlineStr">
        <is>
          <t>30</t>
        </is>
      </c>
      <c r="C4926" t="inlineStr">
        <is>
          <t>30049061</t>
        </is>
      </c>
      <c r="D4926" t="inlineStr">
        <is>
          <t>ANALGIN WITH OR WITHOUT OTHER COMPOUNDS SUCH AS PARACETAMOL</t>
        </is>
      </c>
      <c r="E4926" s="3" t="n">
        <v>1.78</v>
      </c>
      <c r="F4926" s="3" t="n">
        <v>2.77</v>
      </c>
      <c r="G4926" s="3">
        <f>F4926-E4926</f>
        <v/>
      </c>
      <c r="H4926" s="4">
        <f>IF(E4926=0,"",F4926/E4926-1)</f>
        <v/>
      </c>
      <c r="I4926" t="inlineStr">
        <is>
          <t>Pain &amp; inflammation</t>
        </is>
      </c>
    </row>
    <row r="4927">
      <c r="A4927" t="inlineStr">
        <is>
          <t>Pharmaceuticals</t>
        </is>
      </c>
      <c r="B4927" t="inlineStr">
        <is>
          <t>30</t>
        </is>
      </c>
      <c r="C4927" t="inlineStr">
        <is>
          <t>30049066</t>
        </is>
      </c>
      <c r="D4927" t="inlineStr">
        <is>
          <t>MEPHENAMIC ACID, DACTOFENAC SODIUM, PIROXICAM, TENOXICAM AND MELOXICAM</t>
        </is>
      </c>
      <c r="E4927" s="3" t="n">
        <v>0.57</v>
      </c>
      <c r="F4927" s="3" t="n">
        <v>2.29</v>
      </c>
      <c r="G4927" s="3">
        <f>F4927-E4927</f>
        <v/>
      </c>
      <c r="H4927" s="4">
        <f>IF(E4927=0,"",F4927/E4927-1)</f>
        <v/>
      </c>
      <c r="I4927" t="inlineStr">
        <is>
          <t>Pain &amp; inflammation</t>
        </is>
      </c>
    </row>
    <row r="4928">
      <c r="A4928" t="inlineStr">
        <is>
          <t>Pharmaceuticals</t>
        </is>
      </c>
      <c r="B4928" t="inlineStr">
        <is>
          <t>30</t>
        </is>
      </c>
      <c r="C4928" t="inlineStr">
        <is>
          <t>30049022</t>
        </is>
      </c>
      <c r="D4928" t="inlineStr">
        <is>
          <t>METRONIDAZOLE-FORMULATIONS SINGLE AND IN COMBINATION WITH FURAZOLIDONE AND DILOXANIDE FUROATE.</t>
        </is>
      </c>
      <c r="E4928" s="3" t="n">
        <v>2.28</v>
      </c>
      <c r="F4928" s="3" t="n">
        <v>2.15</v>
      </c>
      <c r="G4928" s="3">
        <f>F4928-E4928</f>
        <v/>
      </c>
      <c r="H4928" s="4">
        <f>IF(E4928=0,"",F4928/E4928-1)</f>
        <v/>
      </c>
      <c r="I4928" t="inlineStr">
        <is>
          <t>Anti-infectives</t>
        </is>
      </c>
    </row>
    <row r="4929">
      <c r="A4929" t="inlineStr">
        <is>
          <t>Pharmaceuticals</t>
        </is>
      </c>
      <c r="B4929" t="inlineStr">
        <is>
          <t>30</t>
        </is>
      </c>
      <c r="C4929" t="inlineStr">
        <is>
          <t>30049036</t>
        </is>
      </c>
      <c r="D4929" t="inlineStr">
        <is>
          <t>CHENODIOL AND URSODIOL</t>
        </is>
      </c>
      <c r="E4929" s="3" t="n">
        <v>0.41</v>
      </c>
      <c r="F4929" s="3" t="n">
        <v>1.92</v>
      </c>
      <c r="G4929" s="3">
        <f>F4929-E4929</f>
        <v/>
      </c>
      <c r="H4929" s="4">
        <f>IF(E4929=0,"",F4929/E4929-1)</f>
        <v/>
      </c>
      <c r="I4929" t="inlineStr">
        <is>
          <t>Gastro &amp; anti-allergy</t>
        </is>
      </c>
    </row>
    <row r="4930">
      <c r="A4930" t="inlineStr">
        <is>
          <t>Pharmaceuticals</t>
        </is>
      </c>
      <c r="B4930" t="inlineStr">
        <is>
          <t>30</t>
        </is>
      </c>
      <c r="C4930" t="inlineStr">
        <is>
          <t>30049049</t>
        </is>
      </c>
      <c r="D4930" t="inlineStr">
        <is>
          <t>OTHER ANTICANCER DRUGS</t>
        </is>
      </c>
      <c r="E4930" s="3" t="n">
        <v>1.73</v>
      </c>
      <c r="F4930" s="3" t="n">
        <v>1.92</v>
      </c>
      <c r="G4930" s="3">
        <f>F4930-E4930</f>
        <v/>
      </c>
      <c r="H4930" s="4">
        <f>IF(E4930=0,"",F4930/E4930-1)</f>
        <v/>
      </c>
      <c r="I4930" t="inlineStr">
        <is>
          <t>Oncology</t>
        </is>
      </c>
    </row>
    <row r="4931">
      <c r="A4931" t="inlineStr">
        <is>
          <t>Pharmaceuticals</t>
        </is>
      </c>
      <c r="B4931" t="inlineStr">
        <is>
          <t>30</t>
        </is>
      </c>
      <c r="C4931" t="inlineStr">
        <is>
          <t>30042063</t>
        </is>
      </c>
      <c r="D4931" t="inlineStr">
        <is>
          <t>CLARITHROMYCIN</t>
        </is>
      </c>
      <c r="E4931" s="3" t="n">
        <v>2.15</v>
      </c>
      <c r="F4931" s="3" t="n">
        <v>1.86</v>
      </c>
      <c r="G4931" s="3">
        <f>F4931-E4931</f>
        <v/>
      </c>
      <c r="H4931" s="4">
        <f>IF(E4931=0,"",F4931/E4931-1)</f>
        <v/>
      </c>
      <c r="I4931" t="inlineStr">
        <is>
          <t>Anti-infectives</t>
        </is>
      </c>
    </row>
    <row r="4932">
      <c r="A4932" t="inlineStr">
        <is>
          <t>Pharmaceuticals</t>
        </is>
      </c>
      <c r="B4932" t="inlineStr">
        <is>
          <t>30</t>
        </is>
      </c>
      <c r="C4932" t="inlineStr">
        <is>
          <t>30063000</t>
        </is>
      </c>
      <c r="D4932" t="inlineStr">
        <is>
          <t>OPACIFYING PRPNS FR X-RAY EXAMS; DIAGNOSTICREAGNTS DSGND TO BE ADMNSTRD TO PATIENT BE ADMINISTERED TO THE PAT</t>
        </is>
      </c>
      <c r="E4932" s="3" t="n">
        <v>0.97</v>
      </c>
      <c r="F4932" s="3" t="n">
        <v>1.79</v>
      </c>
      <c r="G4932" s="3">
        <f>F4932-E4932</f>
        <v/>
      </c>
      <c r="H4932" s="4">
        <f>IF(E4932=0,"",F4932/E4932-1)</f>
        <v/>
      </c>
      <c r="I4932" t="inlineStr">
        <is>
          <t>Dressings, kits &amp; other</t>
        </is>
      </c>
    </row>
    <row r="4933">
      <c r="A4933" t="inlineStr">
        <is>
          <t>Pharmaceuticals</t>
        </is>
      </c>
      <c r="B4933" t="inlineStr">
        <is>
          <t>30</t>
        </is>
      </c>
      <c r="C4933" t="inlineStr">
        <is>
          <t>30045033</t>
        </is>
      </c>
      <c r="D4933" t="inlineStr">
        <is>
          <t>PREPARATION OF VITAMIN B9</t>
        </is>
      </c>
      <c r="E4933" s="3" t="n">
        <v>1.54</v>
      </c>
      <c r="F4933" s="3" t="n">
        <v>1.63</v>
      </c>
      <c r="G4933" s="3">
        <f>F4933-E4933</f>
        <v/>
      </c>
      <c r="H4933" s="4">
        <f>IF(E4933=0,"",F4933/E4933-1)</f>
        <v/>
      </c>
      <c r="I4933" t="inlineStr">
        <is>
          <t>Vitamins &amp; nutrition</t>
        </is>
      </c>
    </row>
    <row r="4934">
      <c r="A4934" t="inlineStr">
        <is>
          <t>Pharmaceuticals</t>
        </is>
      </c>
      <c r="B4934" t="inlineStr">
        <is>
          <t>30</t>
        </is>
      </c>
      <c r="C4934" t="inlineStr">
        <is>
          <t>30049086</t>
        </is>
      </c>
      <c r="D4934" t="inlineStr">
        <is>
          <t>ORAL REHYDRATION SALTS</t>
        </is>
      </c>
      <c r="E4934" s="3" t="n">
        <v>1.99</v>
      </c>
      <c r="F4934" s="3" t="n">
        <v>1.44</v>
      </c>
      <c r="G4934" s="3">
        <f>F4934-E4934</f>
        <v/>
      </c>
      <c r="H4934" s="4">
        <f>IF(E4934=0,"",F4934/E4934-1)</f>
        <v/>
      </c>
      <c r="I4934" t="inlineStr">
        <is>
          <t>Other formulations</t>
        </is>
      </c>
    </row>
    <row r="4935">
      <c r="A4935" t="inlineStr">
        <is>
          <t>Pharmaceuticals</t>
        </is>
      </c>
      <c r="B4935" t="inlineStr">
        <is>
          <t>30</t>
        </is>
      </c>
      <c r="C4935" t="inlineStr">
        <is>
          <t>30051090</t>
        </is>
      </c>
      <c r="D4935" t="inlineStr">
        <is>
          <t>OTHER ADHESIVE DRSSNGS AND OTHR ARTCLS HAVING AN ADHESIVE LAYER</t>
        </is>
      </c>
      <c r="E4935" s="3" t="n">
        <v>0.8</v>
      </c>
      <c r="F4935" s="3" t="n">
        <v>1.4</v>
      </c>
      <c r="G4935" s="3">
        <f>F4935-E4935</f>
        <v/>
      </c>
      <c r="H4935" s="4">
        <f>IF(E4935=0,"",F4935/E4935-1)</f>
        <v/>
      </c>
      <c r="I4935" t="inlineStr">
        <is>
          <t>Dressings, kits &amp; other</t>
        </is>
      </c>
    </row>
    <row r="4936">
      <c r="A4936" t="inlineStr">
        <is>
          <t>Pharmaceuticals</t>
        </is>
      </c>
      <c r="B4936" t="inlineStr">
        <is>
          <t>30</t>
        </is>
      </c>
      <c r="C4936" t="inlineStr">
        <is>
          <t>30045039</t>
        </is>
      </c>
      <c r="D4936" t="inlineStr">
        <is>
          <t>OTHER AMINO ACID/ PROTEIN PREPN. WITH / WITHOUT VITAMINS,SPIRULINA AND THE LIKE.</t>
        </is>
      </c>
      <c r="E4936" s="3" t="n">
        <v>1.18</v>
      </c>
      <c r="F4936" s="3" t="n">
        <v>1.38</v>
      </c>
      <c r="G4936" s="3">
        <f>F4936-E4936</f>
        <v/>
      </c>
      <c r="H4936" s="4">
        <f>IF(E4936=0,"",F4936/E4936-1)</f>
        <v/>
      </c>
      <c r="I4936" t="inlineStr">
        <is>
          <t>Vitamins &amp; nutrition</t>
        </is>
      </c>
    </row>
    <row r="4937">
      <c r="A4937" t="inlineStr">
        <is>
          <t>Pharmaceuticals</t>
        </is>
      </c>
      <c r="B4937" t="inlineStr">
        <is>
          <t>30</t>
        </is>
      </c>
      <c r="C4937" t="inlineStr">
        <is>
          <t>30042012</t>
        </is>
      </c>
      <c r="D4937" t="inlineStr">
        <is>
          <t>CEPHALEXIN - FORMULATIONS THEREOF, IN CAPSULES ETC.</t>
        </is>
      </c>
      <c r="E4937" s="3" t="n">
        <v>1.43</v>
      </c>
      <c r="F4937" s="3" t="n">
        <v>1.37</v>
      </c>
      <c r="G4937" s="3">
        <f>F4937-E4937</f>
        <v/>
      </c>
      <c r="H4937" s="4">
        <f>IF(E4937=0,"",F4937/E4937-1)</f>
        <v/>
      </c>
      <c r="I4937" t="inlineStr">
        <is>
          <t>Anti-infectives</t>
        </is>
      </c>
    </row>
    <row r="4938">
      <c r="A4938" t="inlineStr">
        <is>
          <t>Pharmaceuticals</t>
        </is>
      </c>
      <c r="B4938" t="inlineStr">
        <is>
          <t>30</t>
        </is>
      </c>
      <c r="C4938" t="inlineStr">
        <is>
          <t>30061010</t>
        </is>
      </c>
      <c r="D4938" t="inlineStr">
        <is>
          <t>STERILE SURGCL CATGUT,SMLR MTRLS AND STRLE TISSUE ADHSVS FOR SURGICAL WOUND CLOSURE</t>
        </is>
      </c>
      <c r="E4938" s="3" t="n">
        <v>2.06</v>
      </c>
      <c r="F4938" s="3" t="n">
        <v>1.36</v>
      </c>
      <c r="G4938" s="3">
        <f>F4938-E4938</f>
        <v/>
      </c>
      <c r="H4938" s="4">
        <f>IF(E4938=0,"",F4938/E4938-1)</f>
        <v/>
      </c>
      <c r="I4938" t="inlineStr">
        <is>
          <t>Dressings, kits &amp; other</t>
        </is>
      </c>
    </row>
    <row r="4939">
      <c r="A4939" t="inlineStr">
        <is>
          <t>Pharmaceuticals</t>
        </is>
      </c>
      <c r="B4939" t="inlineStr">
        <is>
          <t>30</t>
        </is>
      </c>
      <c r="C4939" t="inlineStr">
        <is>
          <t>30049084</t>
        </is>
      </c>
      <c r="D4939" t="inlineStr">
        <is>
          <t>PREPARATIONS OF ENZYMES</t>
        </is>
      </c>
      <c r="E4939" s="3" t="n">
        <v>0.89</v>
      </c>
      <c r="F4939" s="3" t="n">
        <v>1.3</v>
      </c>
      <c r="G4939" s="3">
        <f>F4939-E4939</f>
        <v/>
      </c>
      <c r="H4939" s="4">
        <f>IF(E4939=0,"",F4939/E4939-1)</f>
        <v/>
      </c>
      <c r="I4939" t="inlineStr">
        <is>
          <t>Other formulations</t>
        </is>
      </c>
    </row>
    <row r="4940">
      <c r="A4940" t="inlineStr">
        <is>
          <t>Pharmaceuticals</t>
        </is>
      </c>
      <c r="B4940" t="inlineStr">
        <is>
          <t>30</t>
        </is>
      </c>
      <c r="C4940" t="inlineStr">
        <is>
          <t>30042099</t>
        </is>
      </c>
      <c r="D4940" t="inlineStr">
        <is>
          <t>OTHR MEDICAMENT CONTAINING OTHR ANTIBIOTICAND PUT UP FOR RETAIL SALE</t>
        </is>
      </c>
      <c r="E4940" s="3" t="n">
        <v>2.32</v>
      </c>
      <c r="F4940" s="3" t="n">
        <v>1.2</v>
      </c>
      <c r="G4940" s="3">
        <f>F4940-E4940</f>
        <v/>
      </c>
      <c r="H4940" s="4">
        <f>IF(E4940=0,"",F4940/E4940-1)</f>
        <v/>
      </c>
      <c r="I4940" t="inlineStr">
        <is>
          <t>Anti-infectives</t>
        </is>
      </c>
    </row>
    <row r="4941">
      <c r="A4941" t="inlineStr">
        <is>
          <t>Pharmaceuticals</t>
        </is>
      </c>
      <c r="B4941" t="inlineStr">
        <is>
          <t>30</t>
        </is>
      </c>
      <c r="C4941" t="inlineStr">
        <is>
          <t>30059090</t>
        </is>
      </c>
      <c r="D4941" t="inlineStr">
        <is>
          <t>OTHER DRESSING ARTICLES N.E.S.</t>
        </is>
      </c>
      <c r="E4941" s="3" t="n">
        <v>0.9399999999999999</v>
      </c>
      <c r="F4941" s="3" t="n">
        <v>1.2</v>
      </c>
      <c r="G4941" s="3">
        <f>F4941-E4941</f>
        <v/>
      </c>
      <c r="H4941" s="4">
        <f>IF(E4941=0,"",F4941/E4941-1)</f>
        <v/>
      </c>
      <c r="I4941" t="inlineStr">
        <is>
          <t>Dressings, kits &amp; other</t>
        </is>
      </c>
    </row>
    <row r="4942">
      <c r="A4942" t="inlineStr">
        <is>
          <t>Pharmaceuticals</t>
        </is>
      </c>
      <c r="B4942" t="inlineStr">
        <is>
          <t>30</t>
        </is>
      </c>
      <c r="C4942" t="inlineStr">
        <is>
          <t>30049063</t>
        </is>
      </c>
      <c r="D4942" t="inlineStr">
        <is>
          <t>IBUPROFEN WITH OR WITHOUT PARACETAMOL OR OTHER COMPOUNDS</t>
        </is>
      </c>
      <c r="E4942" s="3" t="n">
        <v>3.12</v>
      </c>
      <c r="F4942" s="3" t="n">
        <v>0.97</v>
      </c>
      <c r="G4942" s="3">
        <f>F4942-E4942</f>
        <v/>
      </c>
      <c r="H4942" s="4">
        <f>IF(E4942=0,"",F4942/E4942-1)</f>
        <v/>
      </c>
      <c r="I4942" t="inlineStr">
        <is>
          <t>Pain &amp; inflammation</t>
        </is>
      </c>
    </row>
    <row r="4943">
      <c r="A4943" t="inlineStr">
        <is>
          <t>Pharmaceuticals</t>
        </is>
      </c>
      <c r="B4943" t="inlineStr">
        <is>
          <t>30</t>
        </is>
      </c>
      <c r="C4943" t="inlineStr">
        <is>
          <t>30042096</t>
        </is>
      </c>
      <c r="D4943" t="inlineStr">
        <is>
          <t>VANCOMYCIN</t>
        </is>
      </c>
      <c r="E4943" s="3" t="n">
        <v>0.72</v>
      </c>
      <c r="F4943" s="3" t="n">
        <v>0.92</v>
      </c>
      <c r="G4943" s="3">
        <f>F4943-E4943</f>
        <v/>
      </c>
      <c r="H4943" s="4">
        <f>IF(E4943=0,"",F4943/E4943-1)</f>
        <v/>
      </c>
      <c r="I4943" t="inlineStr">
        <is>
          <t>Anti-infectives</t>
        </is>
      </c>
    </row>
    <row r="4944">
      <c r="A4944" t="inlineStr">
        <is>
          <t>Pharmaceuticals</t>
        </is>
      </c>
      <c r="B4944" t="inlineStr">
        <is>
          <t>30</t>
        </is>
      </c>
      <c r="C4944" t="inlineStr">
        <is>
          <t>30064000</t>
        </is>
      </c>
      <c r="D4944" t="inlineStr">
        <is>
          <t>DENTAL CEMENTS AND OTHR DENTAL FILLINGS BONE RECONSTRUCTION CEMENTS</t>
        </is>
      </c>
      <c r="E4944" s="3" t="n">
        <v>0.78</v>
      </c>
      <c r="F4944" s="3" t="n">
        <v>0.89</v>
      </c>
      <c r="G4944" s="3">
        <f>F4944-E4944</f>
        <v/>
      </c>
      <c r="H4944" s="4">
        <f>IF(E4944=0,"",F4944/E4944-1)</f>
        <v/>
      </c>
      <c r="I4944" t="inlineStr">
        <is>
          <t>Dressings, kits &amp; other</t>
        </is>
      </c>
    </row>
    <row r="4945">
      <c r="A4945" t="inlineStr">
        <is>
          <t>Pharmaceuticals</t>
        </is>
      </c>
      <c r="B4945" t="inlineStr">
        <is>
          <t>30</t>
        </is>
      </c>
      <c r="C4945" t="inlineStr">
        <is>
          <t>30043990</t>
        </is>
      </c>
      <c r="D4945" t="inlineStr">
        <is>
          <t>OTHER GONADOTROPHINS AND LUTEINISING HORMONE</t>
        </is>
      </c>
      <c r="E4945" s="3" t="n">
        <v>0.27</v>
      </c>
      <c r="F4945" s="3" t="n">
        <v>0.85</v>
      </c>
      <c r="G4945" s="3">
        <f>F4945-E4945</f>
        <v/>
      </c>
      <c r="H4945" s="4">
        <f>IF(E4945=0,"",F4945/E4945-1)</f>
        <v/>
      </c>
      <c r="I4945" t="inlineStr">
        <is>
          <t>Hormones &amp; insulin</t>
        </is>
      </c>
    </row>
    <row r="4946">
      <c r="A4946" t="inlineStr">
        <is>
          <t>Pharmaceuticals</t>
        </is>
      </c>
      <c r="B4946" t="inlineStr">
        <is>
          <t>30</t>
        </is>
      </c>
      <c r="C4946" t="inlineStr">
        <is>
          <t>30059040</t>
        </is>
      </c>
      <c r="D4946" t="inlineStr">
        <is>
          <t>BANDAGES WITHOUT ADHESIVE LAYER</t>
        </is>
      </c>
      <c r="E4946" s="3" t="n">
        <v>1.55</v>
      </c>
      <c r="F4946" s="3" t="n">
        <v>0.85</v>
      </c>
      <c r="G4946" s="3">
        <f>F4946-E4946</f>
        <v/>
      </c>
      <c r="H4946" s="4">
        <f>IF(E4946=0,"",F4946/E4946-1)</f>
        <v/>
      </c>
      <c r="I4946" t="inlineStr">
        <is>
          <t>Dressings, kits &amp; other</t>
        </is>
      </c>
    </row>
    <row r="4947">
      <c r="A4947" t="inlineStr">
        <is>
          <t>Pharmaceuticals</t>
        </is>
      </c>
      <c r="B4947" t="inlineStr">
        <is>
          <t>30</t>
        </is>
      </c>
      <c r="C4947" t="inlineStr">
        <is>
          <t>30024112</t>
        </is>
      </c>
      <c r="D4947" t="inlineStr">
        <is>
          <t>HEPATITIS (SINGLE VACCINES FOR)</t>
        </is>
      </c>
      <c r="E4947" s="3" t="n">
        <v>1.12</v>
      </c>
      <c r="F4947" s="3" t="n">
        <v>0.82</v>
      </c>
      <c r="G4947" s="3">
        <f>F4947-E4947</f>
        <v/>
      </c>
      <c r="H4947" s="4">
        <f>IF(E4947=0,"",F4947/E4947-1)</f>
        <v/>
      </c>
      <c r="I4947" t="inlineStr">
        <is>
          <t>Vaccines &amp; biologicals</t>
        </is>
      </c>
    </row>
    <row r="4948">
      <c r="A4948" t="inlineStr">
        <is>
          <t>Pharmaceuticals</t>
        </is>
      </c>
      <c r="B4948" t="inlineStr">
        <is>
          <t>30</t>
        </is>
      </c>
      <c r="C4948" t="inlineStr">
        <is>
          <t>30021290</t>
        </is>
      </c>
      <c r="D4948" t="inlineStr">
        <is>
          <t>OTHERS-OF-ANTISERA AND OTHER BLOOD FRACTIONS:</t>
        </is>
      </c>
      <c r="E4948" s="3" t="n">
        <v>0.47</v>
      </c>
      <c r="F4948" s="3" t="n">
        <v>0.77</v>
      </c>
      <c r="G4948" s="3">
        <f>F4948-E4948</f>
        <v/>
      </c>
      <c r="H4948" s="4">
        <f>IF(E4948=0,"",F4948/E4948-1)</f>
        <v/>
      </c>
      <c r="I4948" t="inlineStr">
        <is>
          <t>Vaccines &amp; biologicals</t>
        </is>
      </c>
    </row>
    <row r="4949">
      <c r="A4949" t="inlineStr">
        <is>
          <t>Pharmaceuticals</t>
        </is>
      </c>
      <c r="B4949" t="inlineStr">
        <is>
          <t>30</t>
        </is>
      </c>
      <c r="C4949" t="inlineStr">
        <is>
          <t>30041050</t>
        </is>
      </c>
      <c r="D4949" t="inlineStr">
        <is>
          <t>CLOXACILLIN IN CAPSULES, INJECTIONS ETC.</t>
        </is>
      </c>
      <c r="E4949" s="3" t="n">
        <v>0.08</v>
      </c>
      <c r="F4949" s="3" t="n">
        <v>0.77</v>
      </c>
      <c r="G4949" s="3">
        <f>F4949-E4949</f>
        <v/>
      </c>
      <c r="H4949" s="4">
        <f>IF(E4949=0,"",F4949/E4949-1)</f>
        <v/>
      </c>
      <c r="I4949" t="inlineStr">
        <is>
          <t>Anti-infectives</t>
        </is>
      </c>
    </row>
    <row r="4950">
      <c r="A4950" t="inlineStr">
        <is>
          <t>Pharmaceuticals</t>
        </is>
      </c>
      <c r="B4950" t="inlineStr">
        <is>
          <t>30</t>
        </is>
      </c>
      <c r="C4950" t="inlineStr">
        <is>
          <t>30049047</t>
        </is>
      </c>
      <c r="D4950" t="inlineStr">
        <is>
          <t>L-ASPARAGINASE, CISPLATIN AND CARBOPLATIN</t>
        </is>
      </c>
      <c r="E4950" s="3" t="n">
        <v>0.49</v>
      </c>
      <c r="F4950" s="3" t="n">
        <v>0.75</v>
      </c>
      <c r="G4950" s="3">
        <f>F4950-E4950</f>
        <v/>
      </c>
      <c r="H4950" s="4">
        <f>IF(E4950=0,"",F4950/E4950-1)</f>
        <v/>
      </c>
      <c r="I4950" t="inlineStr">
        <is>
          <t>Oncology</t>
        </is>
      </c>
    </row>
    <row r="4951">
      <c r="A4951" t="inlineStr">
        <is>
          <t>Pharmaceuticals</t>
        </is>
      </c>
      <c r="B4951" t="inlineStr">
        <is>
          <t>30</t>
        </is>
      </c>
      <c r="C4951" t="inlineStr">
        <is>
          <t>30066010</t>
        </is>
      </c>
      <c r="D4951" t="inlineStr">
        <is>
          <t>CONTRACEPTIVE BASED ON HORMONES</t>
        </is>
      </c>
      <c r="E4951" s="3" t="n">
        <v>0.98</v>
      </c>
      <c r="F4951" s="3" t="n">
        <v>0.68</v>
      </c>
      <c r="G4951" s="3">
        <f>F4951-E4951</f>
        <v/>
      </c>
      <c r="H4951" s="4">
        <f>IF(E4951=0,"",F4951/E4951-1)</f>
        <v/>
      </c>
      <c r="I4951" t="inlineStr">
        <is>
          <t>Dressings, kits &amp; other</t>
        </is>
      </c>
    </row>
    <row r="4952">
      <c r="A4952" t="inlineStr">
        <is>
          <t>Pharmaceuticals</t>
        </is>
      </c>
      <c r="B4952" t="inlineStr">
        <is>
          <t>30</t>
        </is>
      </c>
      <c r="C4952" t="inlineStr">
        <is>
          <t>30021500</t>
        </is>
      </c>
      <c r="D4952" t="inlineStr">
        <is>
          <t>IMMUNOLOGICAL PRODUCTS, PUT UP IN MEASURED DOSES OR IN FORMS OR PACKINGS FOR RETAIL SALE</t>
        </is>
      </c>
      <c r="E4952" s="3" t="n">
        <v>0.22</v>
      </c>
      <c r="F4952" s="3" t="n">
        <v>0.67</v>
      </c>
      <c r="G4952" s="3">
        <f>F4952-E4952</f>
        <v/>
      </c>
      <c r="H4952" s="4">
        <f>IF(E4952=0,"",F4952/E4952-1)</f>
        <v/>
      </c>
      <c r="I4952" t="inlineStr">
        <is>
          <t>Vaccines &amp; biologicals</t>
        </is>
      </c>
    </row>
    <row r="4953">
      <c r="A4953" t="inlineStr">
        <is>
          <t>Pharmaceuticals</t>
        </is>
      </c>
      <c r="B4953" t="inlineStr">
        <is>
          <t>30</t>
        </is>
      </c>
      <c r="C4953" t="inlineStr">
        <is>
          <t>30049044</t>
        </is>
      </c>
      <c r="D4953" t="inlineStr">
        <is>
          <t>PACLITAXEL AND DOCETAXEL</t>
        </is>
      </c>
      <c r="E4953" s="3" t="n">
        <v>1.6</v>
      </c>
      <c r="F4953" s="3" t="n">
        <v>0.62</v>
      </c>
      <c r="G4953" s="3">
        <f>F4953-E4953</f>
        <v/>
      </c>
      <c r="H4953" s="4">
        <f>IF(E4953=0,"",F4953/E4953-1)</f>
        <v/>
      </c>
      <c r="I4953" t="inlineStr">
        <is>
          <t>Oncology</t>
        </is>
      </c>
    </row>
    <row r="4954">
      <c r="A4954" t="inlineStr">
        <is>
          <t>Pharmaceuticals</t>
        </is>
      </c>
      <c r="B4954" t="inlineStr">
        <is>
          <t>30</t>
        </is>
      </c>
      <c r="C4954" t="inlineStr">
        <is>
          <t>30039034</t>
        </is>
      </c>
      <c r="D4954" t="inlineStr">
        <is>
          <t>ANAESTHETIC AGENTS USED IN HUMAN OR VETERINARY MEDICINE OR SURGERY</t>
        </is>
      </c>
      <c r="E4954" s="3" t="n">
        <v>0.31</v>
      </c>
      <c r="F4954" s="3" t="n">
        <v>0.57</v>
      </c>
      <c r="G4954" s="3">
        <f>F4954-E4954</f>
        <v/>
      </c>
      <c r="H4954" s="4">
        <f>IF(E4954=0,"",F4954/E4954-1)</f>
        <v/>
      </c>
      <c r="I4954" t="inlineStr">
        <is>
          <t>Bulk medicaments</t>
        </is>
      </c>
    </row>
    <row r="4955">
      <c r="A4955" t="inlineStr">
        <is>
          <t>Pharmaceuticals</t>
        </is>
      </c>
      <c r="B4955" t="inlineStr">
        <is>
          <t>30</t>
        </is>
      </c>
      <c r="C4955" t="inlineStr">
        <is>
          <t>30049095</t>
        </is>
      </c>
      <c r="D4955" t="inlineStr">
        <is>
          <t>CARCINO-CHEMOTHERAPEUTIC DRUGS N.E.S.</t>
        </is>
      </c>
      <c r="E4955" s="3" t="n">
        <v>1.8</v>
      </c>
      <c r="F4955" s="3" t="n">
        <v>0.57</v>
      </c>
      <c r="G4955" s="3">
        <f>F4955-E4955</f>
        <v/>
      </c>
      <c r="H4955" s="4">
        <f>IF(E4955=0,"",F4955/E4955-1)</f>
        <v/>
      </c>
      <c r="I4955" t="inlineStr">
        <is>
          <t>Oncology</t>
        </is>
      </c>
    </row>
    <row r="4956">
      <c r="A4956" t="inlineStr">
        <is>
          <t>Pharmaceuticals</t>
        </is>
      </c>
      <c r="B4956" t="inlineStr">
        <is>
          <t>30</t>
        </is>
      </c>
      <c r="C4956" t="inlineStr">
        <is>
          <t>30049012</t>
        </is>
      </c>
      <c r="D4956" t="inlineStr">
        <is>
          <t>MEDICAMENTS OF UNANI SYSTEM</t>
        </is>
      </c>
      <c r="E4956" s="3" t="n">
        <v>0.13</v>
      </c>
      <c r="F4956" s="3" t="n">
        <v>0.5600000000000001</v>
      </c>
      <c r="G4956" s="3">
        <f>F4956-E4956</f>
        <v/>
      </c>
      <c r="H4956" s="4">
        <f>IF(E4956=0,"",F4956/E4956-1)</f>
        <v/>
      </c>
      <c r="I4956" t="inlineStr">
        <is>
          <t>AYUSH (Ayurveda, Unani)</t>
        </is>
      </c>
    </row>
    <row r="4957">
      <c r="A4957" t="inlineStr">
        <is>
          <t>Pharmaceuticals</t>
        </is>
      </c>
      <c r="B4957" t="inlineStr">
        <is>
          <t>30</t>
        </is>
      </c>
      <c r="C4957" t="inlineStr">
        <is>
          <t>30024200</t>
        </is>
      </c>
      <c r="D4957" t="inlineStr">
        <is>
          <t>VACCINE FOR VETERINARY MEDICINE</t>
        </is>
      </c>
      <c r="E4957" s="3" t="n">
        <v>0.65</v>
      </c>
      <c r="F4957" s="3" t="n">
        <v>0.54</v>
      </c>
      <c r="G4957" s="3">
        <f>F4957-E4957</f>
        <v/>
      </c>
      <c r="H4957" s="4">
        <f>IF(E4957=0,"",F4957/E4957-1)</f>
        <v/>
      </c>
      <c r="I4957" t="inlineStr">
        <is>
          <t>Vaccines &amp; biologicals</t>
        </is>
      </c>
    </row>
    <row r="4958">
      <c r="A4958" t="inlineStr">
        <is>
          <t>Pharmaceuticals</t>
        </is>
      </c>
      <c r="B4958" t="inlineStr">
        <is>
          <t>30</t>
        </is>
      </c>
      <c r="C4958" t="inlineStr">
        <is>
          <t>30043921</t>
        </is>
      </c>
      <c r="D4958" t="inlineStr">
        <is>
          <t>GONADOTROPHINS</t>
        </is>
      </c>
      <c r="E4958" s="3" t="n">
        <v>0.3</v>
      </c>
      <c r="F4958" s="3" t="n">
        <v>0.5</v>
      </c>
      <c r="G4958" s="3">
        <f>F4958-E4958</f>
        <v/>
      </c>
      <c r="H4958" s="4">
        <f>IF(E4958=0,"",F4958/E4958-1)</f>
        <v/>
      </c>
      <c r="I4958" t="inlineStr">
        <is>
          <t>Hormones &amp; insulin</t>
        </is>
      </c>
    </row>
    <row r="4959">
      <c r="A4959" t="inlineStr">
        <is>
          <t>Pharmaceuticals</t>
        </is>
      </c>
      <c r="B4959" t="inlineStr">
        <is>
          <t>30</t>
        </is>
      </c>
      <c r="C4959" t="inlineStr">
        <is>
          <t>30024119</t>
        </is>
      </c>
      <c r="D4959" t="inlineStr">
        <is>
          <t>OTHERS-OF-VACCINES FOR HUMAN MEDICINE</t>
        </is>
      </c>
      <c r="E4959" s="3" t="n">
        <v>0.74</v>
      </c>
      <c r="F4959" s="3" t="n">
        <v>0.49</v>
      </c>
      <c r="G4959" s="3">
        <f>F4959-E4959</f>
        <v/>
      </c>
      <c r="H4959" s="4">
        <f>IF(E4959=0,"",F4959/E4959-1)</f>
        <v/>
      </c>
      <c r="I4959" t="inlineStr">
        <is>
          <t>Vaccines &amp; biologicals</t>
        </is>
      </c>
    </row>
    <row r="4960">
      <c r="A4960" t="inlineStr">
        <is>
          <t>Pharmaceuticals</t>
        </is>
      </c>
      <c r="B4960" t="inlineStr">
        <is>
          <t>30</t>
        </is>
      </c>
      <c r="C4960" t="inlineStr">
        <is>
          <t>30033900</t>
        </is>
      </c>
      <c r="D4960" t="inlineStr">
        <is>
          <t>OTHERS-OF-OTHERS-OF-MEDICAMENTS (EXCL GOODS HDG NO 3002 3005OR 3006) CNSISTNC OF TWO/MORE CONSTUNTS MXD TOGETHER FOR HMN MEDCN</t>
        </is>
      </c>
      <c r="E4960" s="3" t="n">
        <v>0.16</v>
      </c>
      <c r="F4960" s="3" t="n">
        <v>0.49</v>
      </c>
      <c r="G4960" s="3">
        <f>F4960-E4960</f>
        <v/>
      </c>
      <c r="H4960" s="4">
        <f>IF(E4960=0,"",F4960/E4960-1)</f>
        <v/>
      </c>
      <c r="I4960" t="inlineStr">
        <is>
          <t>Bulk medicaments</t>
        </is>
      </c>
    </row>
    <row r="4961">
      <c r="A4961" t="inlineStr">
        <is>
          <t>Pharmaceuticals</t>
        </is>
      </c>
      <c r="B4961" t="inlineStr">
        <is>
          <t>30</t>
        </is>
      </c>
      <c r="C4961" t="inlineStr">
        <is>
          <t>30019091</t>
        </is>
      </c>
      <c r="D4961" t="inlineStr">
        <is>
          <t>HEPARIN AND ITS SALTS</t>
        </is>
      </c>
      <c r="E4961" s="3" t="n">
        <v>1.96</v>
      </c>
      <c r="F4961" s="3" t="n">
        <v>0.47</v>
      </c>
      <c r="G4961" s="3">
        <f>F4961-E4961</f>
        <v/>
      </c>
      <c r="H4961" s="4">
        <f>IF(E4961=0,"",F4961/E4961-1)</f>
        <v/>
      </c>
      <c r="I4961" t="inlineStr">
        <is>
          <t>Dressings, kits &amp; other</t>
        </is>
      </c>
    </row>
    <row r="4962">
      <c r="A4962" t="inlineStr">
        <is>
          <t>Pharmaceuticals</t>
        </is>
      </c>
      <c r="B4962" t="inlineStr">
        <is>
          <t>30</t>
        </is>
      </c>
      <c r="C4962" t="inlineStr">
        <is>
          <t>30045035</t>
        </is>
      </c>
      <c r="D4962" t="inlineStr">
        <is>
          <t>VITAMIN C IN TABLETS, SYRUP ETC SALVES OINTMENTS AND VA</t>
        </is>
      </c>
      <c r="E4962" s="3" t="n">
        <v>0.54</v>
      </c>
      <c r="F4962" s="3" t="n">
        <v>0.46</v>
      </c>
      <c r="G4962" s="3">
        <f>F4962-E4962</f>
        <v/>
      </c>
      <c r="H4962" s="4">
        <f>IF(E4962=0,"",F4962/E4962-1)</f>
        <v/>
      </c>
      <c r="I4962" t="inlineStr">
        <is>
          <t>Vitamins &amp; nutrition</t>
        </is>
      </c>
    </row>
    <row r="4963">
      <c r="A4963" t="inlineStr">
        <is>
          <t>Pharmaceuticals</t>
        </is>
      </c>
      <c r="B4963" t="inlineStr">
        <is>
          <t>30</t>
        </is>
      </c>
      <c r="C4963" t="inlineStr">
        <is>
          <t>30049088</t>
        </is>
      </c>
      <c r="D4963" t="inlineStr">
        <is>
          <t>SEDATIVES</t>
        </is>
      </c>
      <c r="E4963" s="3" t="n">
        <v>0.11</v>
      </c>
      <c r="F4963" s="3" t="n">
        <v>0.46</v>
      </c>
      <c r="G4963" s="3">
        <f>F4963-E4963</f>
        <v/>
      </c>
      <c r="H4963" s="4">
        <f>IF(E4963=0,"",F4963/E4963-1)</f>
        <v/>
      </c>
      <c r="I4963" t="inlineStr">
        <is>
          <t>Nervous system</t>
        </is>
      </c>
    </row>
    <row r="4964">
      <c r="A4964" t="inlineStr">
        <is>
          <t>Pharmaceuticals</t>
        </is>
      </c>
      <c r="B4964" t="inlineStr">
        <is>
          <t>30</t>
        </is>
      </c>
      <c r="C4964" t="inlineStr">
        <is>
          <t>30043110</t>
        </is>
      </c>
      <c r="D4964" t="inlineStr">
        <is>
          <t>INSULIN INJECTION</t>
        </is>
      </c>
      <c r="E4964" s="3" t="n">
        <v>0.03</v>
      </c>
      <c r="F4964" s="3" t="n">
        <v>0.45</v>
      </c>
      <c r="G4964" s="3">
        <f>F4964-E4964</f>
        <v/>
      </c>
      <c r="H4964" s="4">
        <f>IF(E4964=0,"",F4964/E4964-1)</f>
        <v/>
      </c>
      <c r="I4964" t="inlineStr">
        <is>
          <t>Hormones &amp; insulin</t>
        </is>
      </c>
    </row>
    <row r="4965">
      <c r="A4965" t="inlineStr">
        <is>
          <t>Pharmaceuticals</t>
        </is>
      </c>
      <c r="B4965" t="inlineStr">
        <is>
          <t>30</t>
        </is>
      </c>
      <c r="C4965" t="inlineStr">
        <is>
          <t>30043919</t>
        </is>
      </c>
      <c r="D4965" t="inlineStr">
        <is>
          <t>OTHER PROGESTOGEN AND OESTOGEN GROUP</t>
        </is>
      </c>
      <c r="E4965" s="3" t="n">
        <v>0.72</v>
      </c>
      <c r="F4965" s="3" t="n">
        <v>0.45</v>
      </c>
      <c r="G4965" s="3">
        <f>F4965-E4965</f>
        <v/>
      </c>
      <c r="H4965" s="4">
        <f>IF(E4965=0,"",F4965/E4965-1)</f>
        <v/>
      </c>
      <c r="I4965" t="inlineStr">
        <is>
          <t>Hormones &amp; insulin</t>
        </is>
      </c>
    </row>
    <row r="4966">
      <c r="A4966" t="inlineStr">
        <is>
          <t>Pharmaceuticals</t>
        </is>
      </c>
      <c r="B4966" t="inlineStr">
        <is>
          <t>30</t>
        </is>
      </c>
      <c r="C4966" t="inlineStr">
        <is>
          <t>30044990</t>
        </is>
      </c>
      <c r="D4966" t="inlineStr">
        <is>
          <t>OTHERS-OF-OTHERS-OF-MDCMNTS (EXCL ITMS OF 3002,3005 / 3006) FR THRPUTC/PRPHYLCTC USES IN MEASURDDOSESOR IN PCKNGS FR RTL SALE</t>
        </is>
      </c>
      <c r="E4966" s="3" t="n">
        <v>0.37</v>
      </c>
      <c r="F4966" s="3" t="n">
        <v>0.45</v>
      </c>
      <c r="G4966" s="3">
        <f>F4966-E4966</f>
        <v/>
      </c>
      <c r="H4966" s="4">
        <f>IF(E4966=0,"",F4966/E4966-1)</f>
        <v/>
      </c>
      <c r="I4966" t="inlineStr">
        <is>
          <t>Other formulations</t>
        </is>
      </c>
    </row>
    <row r="4967">
      <c r="A4967" t="inlineStr">
        <is>
          <t>Pharmaceuticals</t>
        </is>
      </c>
      <c r="B4967" t="inlineStr">
        <is>
          <t>30</t>
        </is>
      </c>
      <c r="C4967" t="inlineStr">
        <is>
          <t>30067000</t>
        </is>
      </c>
      <c r="D4967" t="inlineStr">
        <is>
          <t>GEL PREP TO BE USED IN HUMAN OR VETERINARYMEDICINE AS A LUBRICANT FOR PARTS OF BODYFOR SURGI OPER/PHYS EX</t>
        </is>
      </c>
      <c r="E4967" s="3" t="n">
        <v>0.25</v>
      </c>
      <c r="F4967" s="3" t="n">
        <v>0.45</v>
      </c>
      <c r="G4967" s="3">
        <f>F4967-E4967</f>
        <v/>
      </c>
      <c r="H4967" s="4">
        <f>IF(E4967=0,"",F4967/E4967-1)</f>
        <v/>
      </c>
      <c r="I4967" t="inlineStr">
        <is>
          <t>Dressings, kits &amp; other</t>
        </is>
      </c>
    </row>
    <row r="4968">
      <c r="A4968" t="inlineStr">
        <is>
          <t>Pharmaceuticals</t>
        </is>
      </c>
      <c r="B4968" t="inlineStr">
        <is>
          <t>30</t>
        </is>
      </c>
      <c r="C4968" t="inlineStr">
        <is>
          <t>30042095</t>
        </is>
      </c>
      <c r="D4968" t="inlineStr">
        <is>
          <t>CLINDAMYCIN</t>
        </is>
      </c>
      <c r="E4968" s="3" t="n">
        <v>0.12</v>
      </c>
      <c r="F4968" s="3" t="n">
        <v>0.42</v>
      </c>
      <c r="G4968" s="3">
        <f>F4968-E4968</f>
        <v/>
      </c>
      <c r="H4968" s="4">
        <f>IF(E4968=0,"",F4968/E4968-1)</f>
        <v/>
      </c>
      <c r="I4968" t="inlineStr">
        <is>
          <t>Anti-infectives</t>
        </is>
      </c>
    </row>
    <row r="4969">
      <c r="A4969" t="inlineStr">
        <is>
          <t>Pharmaceuticals</t>
        </is>
      </c>
      <c r="B4969" t="inlineStr">
        <is>
          <t>30</t>
        </is>
      </c>
      <c r="C4969" t="inlineStr">
        <is>
          <t>30042097</t>
        </is>
      </c>
      <c r="D4969" t="inlineStr">
        <is>
          <t>POLYMYXIN B AND COLISTIN</t>
        </is>
      </c>
      <c r="E4969" s="3" t="n">
        <v>0.44</v>
      </c>
      <c r="F4969" s="3" t="n">
        <v>0.42</v>
      </c>
      <c r="G4969" s="3">
        <f>F4969-E4969</f>
        <v/>
      </c>
      <c r="H4969" s="4">
        <f>IF(E4969=0,"",F4969/E4969-1)</f>
        <v/>
      </c>
      <c r="I4969" t="inlineStr">
        <is>
          <t>Anti-infectives</t>
        </is>
      </c>
    </row>
    <row r="4970">
      <c r="A4970" t="inlineStr">
        <is>
          <t>Pharmaceuticals</t>
        </is>
      </c>
      <c r="B4970" t="inlineStr">
        <is>
          <t>30</t>
        </is>
      </c>
      <c r="C4970" t="inlineStr">
        <is>
          <t>30042020</t>
        </is>
      </c>
      <c r="D4970" t="inlineStr">
        <is>
          <t>SULFONAMIDES AND COTRIMOXAZOLE</t>
        </is>
      </c>
      <c r="E4970" s="3" t="n">
        <v>0.02</v>
      </c>
      <c r="F4970" s="3" t="n">
        <v>0.41</v>
      </c>
      <c r="G4970" s="3">
        <f>F4970-E4970</f>
        <v/>
      </c>
      <c r="H4970" s="4">
        <f>IF(E4970=0,"",F4970/E4970-1)</f>
        <v/>
      </c>
      <c r="I4970" t="inlineStr">
        <is>
          <t>Anti-infectives</t>
        </is>
      </c>
    </row>
    <row r="4971">
      <c r="A4971" t="inlineStr">
        <is>
          <t>Pharmaceuticals</t>
        </is>
      </c>
      <c r="B4971" t="inlineStr">
        <is>
          <t>30</t>
        </is>
      </c>
      <c r="C4971" t="inlineStr">
        <is>
          <t>30045010</t>
        </is>
      </c>
      <c r="D4971" t="inlineStr">
        <is>
          <t>HEAMATINICS AND ERYTHROPOIETIN</t>
        </is>
      </c>
      <c r="E4971" s="3" t="n">
        <v>0.23</v>
      </c>
      <c r="F4971" s="3" t="n">
        <v>0.41</v>
      </c>
      <c r="G4971" s="3">
        <f>F4971-E4971</f>
        <v/>
      </c>
      <c r="H4971" s="4">
        <f>IF(E4971=0,"",F4971/E4971-1)</f>
        <v/>
      </c>
      <c r="I4971" t="inlineStr">
        <is>
          <t>Vitamins &amp; nutrition</t>
        </is>
      </c>
    </row>
    <row r="4972">
      <c r="A4972" t="inlineStr">
        <is>
          <t>Pharmaceuticals</t>
        </is>
      </c>
      <c r="B4972" t="inlineStr">
        <is>
          <t>30</t>
        </is>
      </c>
      <c r="C4972" t="inlineStr">
        <is>
          <t>30043190</t>
        </is>
      </c>
      <c r="D4972" t="inlineStr">
        <is>
          <t>OTHER MEDICAMENTS CONTAINING INSULIN</t>
        </is>
      </c>
      <c r="E4972" s="3" t="n">
        <v>0.51</v>
      </c>
      <c r="F4972" s="3" t="n">
        <v>0.37</v>
      </c>
      <c r="G4972" s="3">
        <f>F4972-E4972</f>
        <v/>
      </c>
      <c r="H4972" s="4">
        <f>IF(E4972=0,"",F4972/E4972-1)</f>
        <v/>
      </c>
      <c r="I4972" t="inlineStr">
        <is>
          <t>Hormones &amp; insulin</t>
        </is>
      </c>
    </row>
    <row r="4973">
      <c r="A4973" t="inlineStr">
        <is>
          <t>Pharmaceuticals</t>
        </is>
      </c>
      <c r="B4973" t="inlineStr">
        <is>
          <t>30</t>
        </is>
      </c>
      <c r="C4973" t="inlineStr">
        <is>
          <t>30043913</t>
        </is>
      </c>
      <c r="D4973" t="inlineStr">
        <is>
          <t>DEXAMETHASONE</t>
        </is>
      </c>
      <c r="E4973" s="3" t="n">
        <v>0.17</v>
      </c>
      <c r="F4973" s="3" t="n">
        <v>0.35</v>
      </c>
      <c r="G4973" s="3">
        <f>F4973-E4973</f>
        <v/>
      </c>
      <c r="H4973" s="4">
        <f>IF(E4973=0,"",F4973/E4973-1)</f>
        <v/>
      </c>
      <c r="I4973" t="inlineStr">
        <is>
          <t>Hormones &amp; insulin</t>
        </is>
      </c>
    </row>
    <row r="4974">
      <c r="A4974" t="inlineStr">
        <is>
          <t>Pharmaceuticals</t>
        </is>
      </c>
      <c r="B4974" t="inlineStr">
        <is>
          <t>30</t>
        </is>
      </c>
      <c r="C4974" t="inlineStr">
        <is>
          <t>30049065</t>
        </is>
      </c>
      <c r="D4974" t="inlineStr">
        <is>
          <t>INDOMETHACIN</t>
        </is>
      </c>
      <c r="E4974" s="3" t="n">
        <v>1.4</v>
      </c>
      <c r="F4974" s="3" t="n">
        <v>0.35</v>
      </c>
      <c r="G4974" s="3">
        <f>F4974-E4974</f>
        <v/>
      </c>
      <c r="H4974" s="4">
        <f>IF(E4974=0,"",F4974/E4974-1)</f>
        <v/>
      </c>
      <c r="I4974" t="inlineStr">
        <is>
          <t>Pain &amp; inflammation</t>
        </is>
      </c>
    </row>
    <row r="4975">
      <c r="A4975" t="inlineStr">
        <is>
          <t>Pharmaceuticals</t>
        </is>
      </c>
      <c r="B4975" t="inlineStr">
        <is>
          <t>30</t>
        </is>
      </c>
      <c r="C4975" t="inlineStr">
        <is>
          <t>30042049</t>
        </is>
      </c>
      <c r="D4975" t="inlineStr">
        <is>
          <t>OTHER TETRACYCLINE</t>
        </is>
      </c>
      <c r="E4975" s="3" t="n">
        <v>0.43</v>
      </c>
      <c r="F4975" s="3" t="n">
        <v>0.33</v>
      </c>
      <c r="G4975" s="3">
        <f>F4975-E4975</f>
        <v/>
      </c>
      <c r="H4975" s="4">
        <f>IF(E4975=0,"",F4975/E4975-1)</f>
        <v/>
      </c>
      <c r="I4975" t="inlineStr">
        <is>
          <t>Anti-infectives</t>
        </is>
      </c>
    </row>
    <row r="4976">
      <c r="A4976" t="inlineStr">
        <is>
          <t>Pharmaceuticals</t>
        </is>
      </c>
      <c r="B4976" t="inlineStr">
        <is>
          <t>30</t>
        </is>
      </c>
      <c r="C4976" t="inlineStr">
        <is>
          <t>30042039</t>
        </is>
      </c>
      <c r="D4976" t="inlineStr">
        <is>
          <t>OTHER FLUOROQUINOLONES</t>
        </is>
      </c>
      <c r="E4976" s="3" t="n">
        <v>0.39</v>
      </c>
      <c r="F4976" s="3" t="n">
        <v>0.31</v>
      </c>
      <c r="G4976" s="3">
        <f>F4976-E4976</f>
        <v/>
      </c>
      <c r="H4976" s="4">
        <f>IF(E4976=0,"",F4976/E4976-1)</f>
        <v/>
      </c>
      <c r="I4976" t="inlineStr">
        <is>
          <t>Anti-infectives</t>
        </is>
      </c>
    </row>
    <row r="4977">
      <c r="A4977" t="inlineStr">
        <is>
          <t>Pharmaceuticals</t>
        </is>
      </c>
      <c r="B4977" t="inlineStr">
        <is>
          <t>30</t>
        </is>
      </c>
      <c r="C4977" t="inlineStr">
        <is>
          <t>30049035</t>
        </is>
      </c>
      <c r="D4977" t="inlineStr">
        <is>
          <t>DICYCLOMINE, METOCLOPRAMIDE AND DEXAME THASONE AND ONDANSETRON</t>
        </is>
      </c>
      <c r="E4977" s="3" t="n">
        <v>0.29</v>
      </c>
      <c r="F4977" s="3" t="n">
        <v>0.29</v>
      </c>
      <c r="G4977" s="3">
        <f>F4977-E4977</f>
        <v/>
      </c>
      <c r="H4977" s="4">
        <f>IF(E4977=0,"",F4977/E4977-1)</f>
        <v/>
      </c>
      <c r="I4977" t="inlineStr">
        <is>
          <t>Gastro &amp; anti-allergy</t>
        </is>
      </c>
    </row>
    <row r="4978">
      <c r="A4978" t="inlineStr">
        <is>
          <t>Pharmaceuticals</t>
        </is>
      </c>
      <c r="B4978" t="inlineStr">
        <is>
          <t>30</t>
        </is>
      </c>
      <c r="C4978" t="inlineStr">
        <is>
          <t>30049059</t>
        </is>
      </c>
      <c r="D4978" t="inlineStr">
        <is>
          <t>OTHER ANTIMALARIAL DRUGS</t>
        </is>
      </c>
      <c r="E4978" s="3" t="n">
        <v>0.45</v>
      </c>
      <c r="F4978" s="3" t="n">
        <v>0.28</v>
      </c>
      <c r="G4978" s="3">
        <f>F4978-E4978</f>
        <v/>
      </c>
      <c r="H4978" s="4">
        <f>IF(E4978=0,"",F4978/E4978-1)</f>
        <v/>
      </c>
      <c r="I4978" t="inlineStr">
        <is>
          <t>Anti-infectives</t>
        </is>
      </c>
    </row>
    <row r="4979">
      <c r="A4979" t="inlineStr">
        <is>
          <t>Pharmaceuticals</t>
        </is>
      </c>
      <c r="B4979" t="inlineStr">
        <is>
          <t>30</t>
        </is>
      </c>
      <c r="C4979" t="inlineStr">
        <is>
          <t>30049032</t>
        </is>
      </c>
      <c r="D4979" t="inlineStr">
        <is>
          <t>SODIUM BICARBONAT, MAGNSM HYDROXID, MAGNSMCARBONAT,MAGNSIUM TRISILICAT, ALUMINIUM HYDROXIDE GEL,MAGALDARAT</t>
        </is>
      </c>
      <c r="E4979" s="3" t="n">
        <v>0.03</v>
      </c>
      <c r="F4979" s="3" t="n">
        <v>0.27</v>
      </c>
      <c r="G4979" s="3">
        <f>F4979-E4979</f>
        <v/>
      </c>
      <c r="H4979" s="4">
        <f>IF(E4979=0,"",F4979/E4979-1)</f>
        <v/>
      </c>
      <c r="I4979" t="inlineStr">
        <is>
          <t>Gastro &amp; anti-allergy</t>
        </is>
      </c>
    </row>
    <row r="4980">
      <c r="A4980" t="inlineStr">
        <is>
          <t>Pharmaceuticals</t>
        </is>
      </c>
      <c r="B4980" t="inlineStr">
        <is>
          <t>30</t>
        </is>
      </c>
      <c r="C4980" t="inlineStr">
        <is>
          <t>30029090</t>
        </is>
      </c>
      <c r="D4980" t="inlineStr">
        <is>
          <t>OTHERS-OF-OTHERS-OF-HUMN,ANML,BLD FR MDCNL USE; MDFD IMUNLGCL PRDT W/N_BITECH PRCS;VCCNS,TXNS,CLTR_MCRGNSM,ETHER SMLR P; CELL</t>
        </is>
      </c>
      <c r="E4980" s="3" t="n">
        <v>0.08</v>
      </c>
      <c r="F4980" s="3" t="n">
        <v>0.26</v>
      </c>
      <c r="G4980" s="3">
        <f>F4980-E4980</f>
        <v/>
      </c>
      <c r="H4980" s="4">
        <f>IF(E4980=0,"",F4980/E4980-1)</f>
        <v/>
      </c>
      <c r="I4980" t="inlineStr">
        <is>
          <t>Vaccines &amp; biologicals</t>
        </is>
      </c>
    </row>
    <row r="4981">
      <c r="A4981" t="inlineStr">
        <is>
          <t>Pharmaceuticals</t>
        </is>
      </c>
      <c r="B4981" t="inlineStr">
        <is>
          <t>30</t>
        </is>
      </c>
      <c r="C4981" t="inlineStr">
        <is>
          <t>30045036</t>
        </is>
      </c>
      <c r="D4981" t="inlineStr">
        <is>
          <t>VITAMIN D IN TABLETS, CAPSULES, SYRUP ET</t>
        </is>
      </c>
      <c r="E4981" s="3" t="n">
        <v>0.05</v>
      </c>
      <c r="F4981" s="3" t="n">
        <v>0.25</v>
      </c>
      <c r="G4981" s="3">
        <f>F4981-E4981</f>
        <v/>
      </c>
      <c r="H4981" s="4">
        <f>IF(E4981=0,"",F4981/E4981-1)</f>
        <v/>
      </c>
      <c r="I4981" t="inlineStr">
        <is>
          <t>Vitamins &amp; nutrition</t>
        </is>
      </c>
    </row>
    <row r="4982">
      <c r="A4982" t="inlineStr">
        <is>
          <t>Pharmaceuticals</t>
        </is>
      </c>
      <c r="B4982" t="inlineStr">
        <is>
          <t>30</t>
        </is>
      </c>
      <c r="C4982" t="inlineStr">
        <is>
          <t>30049046</t>
        </is>
      </c>
      <c r="D4982" t="inlineStr">
        <is>
          <t>ACTINOMYCIN D DACTINOMYCIN AND DOXORUBICIN</t>
        </is>
      </c>
      <c r="E4982" s="3" t="n">
        <v>0.13</v>
      </c>
      <c r="F4982" s="3" t="n">
        <v>0.22</v>
      </c>
      <c r="G4982" s="3">
        <f>F4982-E4982</f>
        <v/>
      </c>
      <c r="H4982" s="4">
        <f>IF(E4982=0,"",F4982/E4982-1)</f>
        <v/>
      </c>
      <c r="I4982" t="inlineStr">
        <is>
          <t>Oncology</t>
        </is>
      </c>
    </row>
    <row r="4983">
      <c r="A4983" t="inlineStr">
        <is>
          <t>Pharmaceuticals</t>
        </is>
      </c>
      <c r="B4983" t="inlineStr">
        <is>
          <t>30</t>
        </is>
      </c>
      <c r="C4983" t="inlineStr">
        <is>
          <t>30019099</t>
        </is>
      </c>
      <c r="D4983" t="inlineStr">
        <is>
          <t>OTHER HEPARIN SALTS; OTHER HUMAN/ANML SUBSTNS FOR THRUPTC/PROPHYLCTC USES, NES</t>
        </is>
      </c>
      <c r="E4983" s="3" t="n">
        <v>0.17</v>
      </c>
      <c r="F4983" s="3" t="n">
        <v>0.21</v>
      </c>
      <c r="G4983" s="3">
        <f>F4983-E4983</f>
        <v/>
      </c>
      <c r="H4983" s="4">
        <f>IF(E4983=0,"",F4983/E4983-1)</f>
        <v/>
      </c>
      <c r="I4983" t="inlineStr">
        <is>
          <t>Dressings, kits &amp; other</t>
        </is>
      </c>
    </row>
    <row r="4984">
      <c r="A4984" t="inlineStr">
        <is>
          <t>Pharmaceuticals</t>
        </is>
      </c>
      <c r="B4984" t="inlineStr">
        <is>
          <t>30</t>
        </is>
      </c>
      <c r="C4984" t="inlineStr">
        <is>
          <t>30042033</t>
        </is>
      </c>
      <c r="D4984" t="inlineStr">
        <is>
          <t>CIPROFLOXACIN (FLUOROQUINOLONES)</t>
        </is>
      </c>
      <c r="E4984" s="3" t="n">
        <v>0.1</v>
      </c>
      <c r="F4984" s="3" t="n">
        <v>0.21</v>
      </c>
      <c r="G4984" s="3">
        <f>F4984-E4984</f>
        <v/>
      </c>
      <c r="H4984" s="4">
        <f>IF(E4984=0,"",F4984/E4984-1)</f>
        <v/>
      </c>
      <c r="I4984" t="inlineStr">
        <is>
          <t>Anti-infectives</t>
        </is>
      </c>
    </row>
    <row r="4985">
      <c r="A4985" t="inlineStr">
        <is>
          <t>Pharmaceuticals</t>
        </is>
      </c>
      <c r="B4985" t="inlineStr">
        <is>
          <t>30</t>
        </is>
      </c>
      <c r="C4985" t="inlineStr">
        <is>
          <t>30024122</t>
        </is>
      </c>
      <c r="D4985" t="inlineStr">
        <is>
          <t>DIPHTHERIA AND TETATUS (DT)</t>
        </is>
      </c>
      <c r="E4985" s="3" t="n">
        <v>0</v>
      </c>
      <c r="F4985" s="3" t="n">
        <v>0.2</v>
      </c>
      <c r="G4985" s="3">
        <f>F4985-E4985</f>
        <v/>
      </c>
      <c r="H4985" s="4">
        <f>IF(E4985=0,"",F4985/E4985-1)</f>
        <v/>
      </c>
      <c r="I4985" t="inlineStr">
        <is>
          <t>Vaccines &amp; biologicals</t>
        </is>
      </c>
    </row>
    <row r="4986">
      <c r="A4986" t="inlineStr">
        <is>
          <t>Pharmaceuticals</t>
        </is>
      </c>
      <c r="B4986" t="inlineStr">
        <is>
          <t>30</t>
        </is>
      </c>
      <c r="C4986" t="inlineStr">
        <is>
          <t>30042062</t>
        </is>
      </c>
      <c r="D4986" t="inlineStr">
        <is>
          <t>ROXITHROMYCIN</t>
        </is>
      </c>
      <c r="E4986" s="3" t="n">
        <v>0</v>
      </c>
      <c r="F4986" s="3" t="n">
        <v>0.19</v>
      </c>
      <c r="G4986" s="3">
        <f>F4986-E4986</f>
        <v/>
      </c>
      <c r="H4986" s="4">
        <f>IF(E4986=0,"",F4986/E4986-1)</f>
        <v/>
      </c>
      <c r="I4986" t="inlineStr">
        <is>
          <t>Anti-infectives</t>
        </is>
      </c>
    </row>
    <row r="4987">
      <c r="A4987" t="inlineStr">
        <is>
          <t>Pharmaceuticals</t>
        </is>
      </c>
      <c r="B4987" t="inlineStr">
        <is>
          <t>30</t>
        </is>
      </c>
      <c r="C4987" t="inlineStr">
        <is>
          <t>30051020</t>
        </is>
      </c>
      <c r="D4987" t="inlineStr">
        <is>
          <t>ADHESIVE TAPE (MEDICINAL)</t>
        </is>
      </c>
      <c r="E4987" s="3" t="n">
        <v>0.18</v>
      </c>
      <c r="F4987" s="3" t="n">
        <v>0.19</v>
      </c>
      <c r="G4987" s="3">
        <f>F4987-E4987</f>
        <v/>
      </c>
      <c r="H4987" s="4">
        <f>IF(E4987=0,"",F4987/E4987-1)</f>
        <v/>
      </c>
      <c r="I4987" t="inlineStr">
        <is>
          <t>Dressings, kits &amp; other</t>
        </is>
      </c>
    </row>
    <row r="4988">
      <c r="A4988" t="inlineStr">
        <is>
          <t>Pharmaceuticals</t>
        </is>
      </c>
      <c r="B4988" t="inlineStr">
        <is>
          <t>30</t>
        </is>
      </c>
      <c r="C4988" t="inlineStr">
        <is>
          <t>30061020</t>
        </is>
      </c>
      <c r="D4988" t="inlineStr">
        <is>
          <t>STERILE LAMINARIA AND LAMINARIA TENTS.AND STRILE ABSRBBLE SURGCL/DENTAL HAEMOSTATICS</t>
        </is>
      </c>
      <c r="E4988" s="3" t="n">
        <v>0.09</v>
      </c>
      <c r="F4988" s="3" t="n">
        <v>0.17</v>
      </c>
      <c r="G4988" s="3">
        <f>F4988-E4988</f>
        <v/>
      </c>
      <c r="H4988" s="4">
        <f>IF(E4988=0,"",F4988/E4988-1)</f>
        <v/>
      </c>
      <c r="I4988" t="inlineStr">
        <is>
          <t>Dressings, kits &amp; other</t>
        </is>
      </c>
    </row>
    <row r="4989">
      <c r="A4989" t="inlineStr">
        <is>
          <t>Pharmaceuticals</t>
        </is>
      </c>
      <c r="B4989" t="inlineStr">
        <is>
          <t>30</t>
        </is>
      </c>
      <c r="C4989" t="inlineStr">
        <is>
          <t>30024910</t>
        </is>
      </c>
      <c r="D4989" t="inlineStr">
        <is>
          <t>CULTURES OF MICRO-ORGANISMS (EXCLUDING YEAST)</t>
        </is>
      </c>
      <c r="E4989" s="3" t="n">
        <v>0.03</v>
      </c>
      <c r="F4989" s="3" t="n">
        <v>0.16</v>
      </c>
      <c r="G4989" s="3">
        <f>F4989-E4989</f>
        <v/>
      </c>
      <c r="H4989" s="4">
        <f>IF(E4989=0,"",F4989/E4989-1)</f>
        <v/>
      </c>
      <c r="I4989" t="inlineStr">
        <is>
          <t>Vaccines &amp; biologicals</t>
        </is>
      </c>
    </row>
    <row r="4990">
      <c r="A4990" t="inlineStr">
        <is>
          <t>Pharmaceuticals</t>
        </is>
      </c>
      <c r="B4990" t="inlineStr">
        <is>
          <t>30</t>
        </is>
      </c>
      <c r="C4990" t="inlineStr">
        <is>
          <t>30049045</t>
        </is>
      </c>
      <c r="D4990" t="inlineStr">
        <is>
          <t>ETOPOSIDE</t>
        </is>
      </c>
      <c r="E4990" s="3" t="n">
        <v>0.13</v>
      </c>
      <c r="F4990" s="3" t="n">
        <v>0.16</v>
      </c>
      <c r="G4990" s="3">
        <f>F4990-E4990</f>
        <v/>
      </c>
      <c r="H4990" s="4">
        <f>IF(E4990=0,"",F4990/E4990-1)</f>
        <v/>
      </c>
      <c r="I4990" t="inlineStr">
        <is>
          <t>Oncology</t>
        </is>
      </c>
    </row>
    <row r="4991">
      <c r="A4991" t="inlineStr">
        <is>
          <t>Pharmaceuticals</t>
        </is>
      </c>
      <c r="B4991" t="inlineStr">
        <is>
          <t>30</t>
        </is>
      </c>
      <c r="C4991" t="inlineStr">
        <is>
          <t>30025900</t>
        </is>
      </c>
      <c r="D4991" t="inlineStr">
        <is>
          <t>OTHERS-OF-OTHERS-OF-HUMN,ANML,BLD FR MDCNL USE; MDFD IMUNLGCL PRDT W/N_BITECH PRCS;VCCNS,TXNS,CLTR_MCRGNSM,ETHER SMLR P; CELL</t>
        </is>
      </c>
      <c r="E4991" s="3" t="n">
        <v>0</v>
      </c>
      <c r="F4991" s="3" t="n">
        <v>0.14</v>
      </c>
      <c r="G4991" s="3">
        <f>F4991-E4991</f>
        <v/>
      </c>
      <c r="H4991" s="4">
        <f>IF(E4991=0,"",F4991/E4991-1)</f>
        <v/>
      </c>
      <c r="I4991" t="inlineStr">
        <is>
          <t>Vaccines &amp; biologicals</t>
        </is>
      </c>
    </row>
    <row r="4992">
      <c r="A4992" t="inlineStr">
        <is>
          <t>Pharmaceuticals</t>
        </is>
      </c>
      <c r="B4992" t="inlineStr">
        <is>
          <t>30</t>
        </is>
      </c>
      <c r="C4992" t="inlineStr">
        <is>
          <t>30039011</t>
        </is>
      </c>
      <c r="D4992" t="inlineStr">
        <is>
          <t>MEDICANTS OF AYURVEDIC SYSTEM</t>
        </is>
      </c>
      <c r="E4992" s="3" t="n">
        <v>0.33</v>
      </c>
      <c r="F4992" s="3" t="n">
        <v>0.14</v>
      </c>
      <c r="G4992" s="3">
        <f>F4992-E4992</f>
        <v/>
      </c>
      <c r="H4992" s="4">
        <f>IF(E4992=0,"",F4992/E4992-1)</f>
        <v/>
      </c>
      <c r="I4992" t="inlineStr">
        <is>
          <t>Bulk medicaments</t>
        </is>
      </c>
    </row>
    <row r="4993">
      <c r="A4993" t="inlineStr">
        <is>
          <t>Pharmaceuticals</t>
        </is>
      </c>
      <c r="B4993" t="inlineStr">
        <is>
          <t>30</t>
        </is>
      </c>
      <c r="C4993" t="inlineStr">
        <is>
          <t>30049024</t>
        </is>
      </c>
      <c r="D4993" t="inlineStr">
        <is>
          <t>SECNIDAZOLE</t>
        </is>
      </c>
      <c r="E4993" s="3" t="n">
        <v>0.18</v>
      </c>
      <c r="F4993" s="3" t="n">
        <v>0.13</v>
      </c>
      <c r="G4993" s="3">
        <f>F4993-E4993</f>
        <v/>
      </c>
      <c r="H4993" s="4">
        <f>IF(E4993=0,"",F4993/E4993-1)</f>
        <v/>
      </c>
      <c r="I4993" t="inlineStr">
        <is>
          <t>Anti-infectives</t>
        </is>
      </c>
    </row>
    <row r="4994">
      <c r="A4994" t="inlineStr">
        <is>
          <t>Pharmaceuticals</t>
        </is>
      </c>
      <c r="B4994" t="inlineStr">
        <is>
          <t>30</t>
        </is>
      </c>
      <c r="C4994" t="inlineStr">
        <is>
          <t>30049081</t>
        </is>
      </c>
      <c r="D4994" t="inlineStr">
        <is>
          <t>PHENOBARBITONE,MEPHOBARBITONE,PRIMIDONE, PHENYTOIN,CARBAMAZPIN,ETHOSUCIMID, VALPORICACID ,DIAZEPA,LAMOTRIGIN,GAB</t>
        </is>
      </c>
      <c r="E4994" s="3" t="n">
        <v>0.02</v>
      </c>
      <c r="F4994" s="3" t="n">
        <v>0.13</v>
      </c>
      <c r="G4994" s="3">
        <f>F4994-E4994</f>
        <v/>
      </c>
      <c r="H4994" s="4">
        <f>IF(E4994=0,"",F4994/E4994-1)</f>
        <v/>
      </c>
      <c r="I4994" t="inlineStr">
        <is>
          <t>Nervous system</t>
        </is>
      </c>
    </row>
    <row r="4995">
      <c r="A4995" t="inlineStr">
        <is>
          <t>Pharmaceuticals</t>
        </is>
      </c>
      <c r="B4995" t="inlineStr">
        <is>
          <t>30</t>
        </is>
      </c>
      <c r="C4995" t="inlineStr">
        <is>
          <t>30042061</t>
        </is>
      </c>
      <c r="D4995" t="inlineStr">
        <is>
          <t>ERYTHROMYCIN IN CAPSULES,INJECTIONS, OINTMENTS ETC.</t>
        </is>
      </c>
      <c r="E4995" s="3" t="n">
        <v>0.11</v>
      </c>
      <c r="F4995" s="3" t="n">
        <v>0.12</v>
      </c>
      <c r="G4995" s="3">
        <f>F4995-E4995</f>
        <v/>
      </c>
      <c r="H4995" s="4">
        <f>IF(E4995=0,"",F4995/E4995-1)</f>
        <v/>
      </c>
      <c r="I4995" t="inlineStr">
        <is>
          <t>Anti-infectives</t>
        </is>
      </c>
    </row>
    <row r="4996">
      <c r="A4996" t="inlineStr">
        <is>
          <t>Pharmaceuticals</t>
        </is>
      </c>
      <c r="B4996" t="inlineStr">
        <is>
          <t>30</t>
        </is>
      </c>
      <c r="C4996" t="inlineStr">
        <is>
          <t>30049021</t>
        </is>
      </c>
      <c r="D4996" t="inlineStr">
        <is>
          <t>ANTHELMINTICS AND PREPARATIONS THEREOF</t>
        </is>
      </c>
      <c r="E4996" s="3" t="n">
        <v>0.12</v>
      </c>
      <c r="F4996" s="3" t="n">
        <v>0.12</v>
      </c>
      <c r="G4996" s="3">
        <f>F4996-E4996</f>
        <v/>
      </c>
      <c r="H4996" s="4">
        <f>IF(E4996=0,"",F4996/E4996-1)</f>
        <v/>
      </c>
      <c r="I4996" t="inlineStr">
        <is>
          <t>Anti-infectives</t>
        </is>
      </c>
    </row>
    <row r="4997">
      <c r="A4997" t="inlineStr">
        <is>
          <t>Pharmaceuticals</t>
        </is>
      </c>
      <c r="B4997" t="inlineStr">
        <is>
          <t>30</t>
        </is>
      </c>
      <c r="C4997" t="inlineStr">
        <is>
          <t>30049042</t>
        </is>
      </c>
      <c r="D4997" t="inlineStr">
        <is>
          <t>METHOTREXATE, 5-FLUOROURACIL(5-FU) AND FTORAFUR</t>
        </is>
      </c>
      <c r="E4997" s="3" t="n">
        <v>0.23</v>
      </c>
      <c r="F4997" s="3" t="n">
        <v>0.12</v>
      </c>
      <c r="G4997" s="3">
        <f>F4997-E4997</f>
        <v/>
      </c>
      <c r="H4997" s="4">
        <f>IF(E4997=0,"",F4997/E4997-1)</f>
        <v/>
      </c>
      <c r="I4997" t="inlineStr">
        <is>
          <t>Oncology</t>
        </is>
      </c>
    </row>
    <row r="4998">
      <c r="A4998" t="inlineStr">
        <is>
          <t>Pharmaceuticals</t>
        </is>
      </c>
      <c r="B4998" t="inlineStr">
        <is>
          <t>30</t>
        </is>
      </c>
      <c r="C4998" t="inlineStr">
        <is>
          <t>30046000</t>
        </is>
      </c>
      <c r="D4998" t="inlineStr">
        <is>
          <t>OTHER, CONTAINING ANTIMALARIAL ACTIVE PRINCIPLES DESCRIBED IN SUBHEADING NOTE 2 OF CHAPTER 30</t>
        </is>
      </c>
      <c r="E4998" s="3" t="n">
        <v>0</v>
      </c>
      <c r="F4998" s="3" t="n">
        <v>0.1</v>
      </c>
      <c r="G4998" s="3">
        <f>F4998-E4998</f>
        <v/>
      </c>
      <c r="H4998" s="4">
        <f>IF(E4998=0,"",F4998/E4998-1)</f>
        <v/>
      </c>
      <c r="I4998" t="inlineStr">
        <is>
          <t>Anti-infectives</t>
        </is>
      </c>
    </row>
    <row r="4999">
      <c r="A4999" t="inlineStr">
        <is>
          <t>Pharmaceuticals</t>
        </is>
      </c>
      <c r="B4999" t="inlineStr">
        <is>
          <t>30</t>
        </is>
      </c>
      <c r="C4999" t="inlineStr">
        <is>
          <t>30049057</t>
        </is>
      </c>
      <c r="D4999" t="inlineStr">
        <is>
          <t>OTHER ANTITUBERCULAR DRUGS</t>
        </is>
      </c>
      <c r="E4999" s="3" t="n">
        <v>0.18</v>
      </c>
      <c r="F4999" s="3" t="n">
        <v>0.1</v>
      </c>
      <c r="G4999" s="3">
        <f>F4999-E4999</f>
        <v/>
      </c>
      <c r="H4999" s="4">
        <f>IF(E4999=0,"",F4999/E4999-1)</f>
        <v/>
      </c>
      <c r="I4999" t="inlineStr">
        <is>
          <t>Anti-infectives</t>
        </is>
      </c>
    </row>
    <row r="5000">
      <c r="A5000" t="inlineStr">
        <is>
          <t>Pharmaceuticals</t>
        </is>
      </c>
      <c r="B5000" t="inlineStr">
        <is>
          <t>30</t>
        </is>
      </c>
      <c r="C5000" t="inlineStr">
        <is>
          <t>30049094</t>
        </is>
      </c>
      <c r="D5000" t="inlineStr">
        <is>
          <t>THEOPHYLLINE, AMINOPHYLLINE AND OTHER BRONCHO DILATORS</t>
        </is>
      </c>
      <c r="E5000" s="3" t="n">
        <v>0.14</v>
      </c>
      <c r="F5000" s="3" t="n">
        <v>0.1</v>
      </c>
      <c r="G5000" s="3">
        <f>F5000-E5000</f>
        <v/>
      </c>
      <c r="H5000" s="4">
        <f>IF(E5000=0,"",F5000/E5000-1)</f>
        <v/>
      </c>
      <c r="I5000" t="inlineStr">
        <is>
          <t>Respiratory</t>
        </is>
      </c>
    </row>
    <row r="5001">
      <c r="A5001" t="inlineStr">
        <is>
          <t>Pharmaceuticals</t>
        </is>
      </c>
      <c r="B5001" t="inlineStr">
        <is>
          <t>30</t>
        </is>
      </c>
      <c r="C5001" t="inlineStr">
        <is>
          <t>30024115</t>
        </is>
      </c>
      <c r="D5001" t="inlineStr">
        <is>
          <t>TUBERCULOSIS (SINGLE VACCINES FOR)</t>
        </is>
      </c>
      <c r="E5001" s="3" t="n">
        <v>0.58</v>
      </c>
      <c r="F5001" s="3" t="n">
        <v>0.09</v>
      </c>
      <c r="G5001" s="3">
        <f>F5001-E5001</f>
        <v/>
      </c>
      <c r="H5001" s="4">
        <f>IF(E5001=0,"",F5001/E5001-1)</f>
        <v/>
      </c>
      <c r="I5001" t="inlineStr">
        <is>
          <t>Vaccines &amp; biologicals</t>
        </is>
      </c>
    </row>
    <row r="5002">
      <c r="A5002" t="inlineStr">
        <is>
          <t>Pharmaceuticals</t>
        </is>
      </c>
      <c r="B5002" t="inlineStr">
        <is>
          <t>30</t>
        </is>
      </c>
      <c r="C5002" t="inlineStr">
        <is>
          <t>30042013</t>
        </is>
      </c>
      <c r="D5002" t="inlineStr">
        <is>
          <t>CIPROFLOXACINE- IN CAPSUL,TBLTS FORM ETC</t>
        </is>
      </c>
      <c r="E5002" s="3" t="n">
        <v>0.1</v>
      </c>
      <c r="F5002" s="3" t="n">
        <v>0.09</v>
      </c>
      <c r="G5002" s="3">
        <f>F5002-E5002</f>
        <v/>
      </c>
      <c r="H5002" s="4">
        <f>IF(E5002=0,"",F5002/E5002-1)</f>
        <v/>
      </c>
      <c r="I5002" t="inlineStr">
        <is>
          <t>Anti-infectives</t>
        </is>
      </c>
    </row>
    <row r="5003">
      <c r="A5003" t="inlineStr">
        <is>
          <t>Pharmaceuticals</t>
        </is>
      </c>
      <c r="B5003" t="inlineStr">
        <is>
          <t>30</t>
        </is>
      </c>
      <c r="C5003" t="inlineStr">
        <is>
          <t>30059060</t>
        </is>
      </c>
      <c r="D5003" t="inlineStr">
        <is>
          <t>MICRO PORES SURGICAL TAPES</t>
        </is>
      </c>
      <c r="E5003" s="3" t="n">
        <v>0.11</v>
      </c>
      <c r="F5003" s="3" t="n">
        <v>0.09</v>
      </c>
      <c r="G5003" s="3">
        <f>F5003-E5003</f>
        <v/>
      </c>
      <c r="H5003" s="4">
        <f>IF(E5003=0,"",F5003/E5003-1)</f>
        <v/>
      </c>
      <c r="I5003" t="inlineStr">
        <is>
          <t>Dressings, kits &amp; other</t>
        </is>
      </c>
    </row>
    <row r="5004">
      <c r="A5004" t="inlineStr">
        <is>
          <t>Pharmaceuticals</t>
        </is>
      </c>
      <c r="B5004" t="inlineStr">
        <is>
          <t>30</t>
        </is>
      </c>
      <c r="C5004" t="inlineStr">
        <is>
          <t>30043911</t>
        </is>
      </c>
      <c r="D5004" t="inlineStr">
        <is>
          <t>PITUITARY HORMONES</t>
        </is>
      </c>
      <c r="E5004" s="3" t="n">
        <v>0.19</v>
      </c>
      <c r="F5004" s="3" t="n">
        <v>0.08</v>
      </c>
      <c r="G5004" s="3">
        <f>F5004-E5004</f>
        <v/>
      </c>
      <c r="H5004" s="4">
        <f>IF(E5004=0,"",F5004/E5004-1)</f>
        <v/>
      </c>
      <c r="I5004" t="inlineStr">
        <is>
          <t>Hormones &amp; insulin</t>
        </is>
      </c>
    </row>
    <row r="5005">
      <c r="A5005" t="inlineStr">
        <is>
          <t>Pharmaceuticals</t>
        </is>
      </c>
      <c r="B5005" t="inlineStr">
        <is>
          <t>30</t>
        </is>
      </c>
      <c r="C5005" t="inlineStr">
        <is>
          <t>30043912</t>
        </is>
      </c>
      <c r="D5005" t="inlineStr">
        <is>
          <t>PREDNISOLONE</t>
        </is>
      </c>
      <c r="E5005" s="3" t="n">
        <v>0.1</v>
      </c>
      <c r="F5005" s="3" t="n">
        <v>0.08</v>
      </c>
      <c r="G5005" s="3">
        <f>F5005-E5005</f>
        <v/>
      </c>
      <c r="H5005" s="4">
        <f>IF(E5005=0,"",F5005/E5005-1)</f>
        <v/>
      </c>
      <c r="I5005" t="inlineStr">
        <is>
          <t>Hormones &amp; insulin</t>
        </is>
      </c>
    </row>
    <row r="5006">
      <c r="A5006" t="inlineStr">
        <is>
          <t>Pharmaceuticals</t>
        </is>
      </c>
      <c r="B5006" t="inlineStr">
        <is>
          <t>30</t>
        </is>
      </c>
      <c r="C5006" t="inlineStr">
        <is>
          <t>30049074</t>
        </is>
      </c>
      <c r="D5006" t="inlineStr">
        <is>
          <t>PROPRANOLOL, METOPROLOL, ATENOLOL AND LABETALOL</t>
        </is>
      </c>
      <c r="E5006" s="3" t="n">
        <v>0.04</v>
      </c>
      <c r="F5006" s="3" t="n">
        <v>0.08</v>
      </c>
      <c r="G5006" s="3">
        <f>F5006-E5006</f>
        <v/>
      </c>
      <c r="H5006" s="4">
        <f>IF(E5006=0,"",F5006/E5006-1)</f>
        <v/>
      </c>
      <c r="I5006" t="inlineStr">
        <is>
          <t>Cardiovascular</t>
        </is>
      </c>
    </row>
    <row r="5007">
      <c r="A5007" t="inlineStr">
        <is>
          <t>Pharmaceuticals</t>
        </is>
      </c>
      <c r="B5007" t="inlineStr">
        <is>
          <t>30</t>
        </is>
      </c>
      <c r="C5007" t="inlineStr">
        <is>
          <t>30049093</t>
        </is>
      </c>
      <c r="D5007" t="inlineStr">
        <is>
          <t>CHLOROPHENIRAMINE MALEATE, WITH OR WITHOUTOTHER COMPOUNDS (EXCL. STERIODSAND ALKALOIDS)</t>
        </is>
      </c>
      <c r="E5007" s="3" t="n">
        <v>0.03</v>
      </c>
      <c r="F5007" s="3" t="n">
        <v>0.08</v>
      </c>
      <c r="G5007" s="3">
        <f>F5007-E5007</f>
        <v/>
      </c>
      <c r="H5007" s="4">
        <f>IF(E5007=0,"",F5007/E5007-1)</f>
        <v/>
      </c>
      <c r="I5007" t="inlineStr">
        <is>
          <t>Respiratory</t>
        </is>
      </c>
    </row>
    <row r="5008">
      <c r="A5008" t="inlineStr">
        <is>
          <t>Pharmaceuticals</t>
        </is>
      </c>
      <c r="B5008" t="inlineStr">
        <is>
          <t>30</t>
        </is>
      </c>
      <c r="C5008" t="inlineStr">
        <is>
          <t>30059010</t>
        </is>
      </c>
      <c r="D5008" t="inlineStr">
        <is>
          <t>COTTON WOOL MEDICATED</t>
        </is>
      </c>
      <c r="E5008" s="3" t="n">
        <v>0.01</v>
      </c>
      <c r="F5008" s="3" t="n">
        <v>0.08</v>
      </c>
      <c r="G5008" s="3">
        <f>F5008-E5008</f>
        <v/>
      </c>
      <c r="H5008" s="4">
        <f>IF(E5008=0,"",F5008/E5008-1)</f>
        <v/>
      </c>
      <c r="I5008" t="inlineStr">
        <is>
          <t>Dressings, kits &amp; other</t>
        </is>
      </c>
    </row>
    <row r="5009">
      <c r="A5009" t="inlineStr">
        <is>
          <t>Pharmaceuticals</t>
        </is>
      </c>
      <c r="B5009" t="inlineStr">
        <is>
          <t>30</t>
        </is>
      </c>
      <c r="C5009" t="inlineStr">
        <is>
          <t>30066020</t>
        </is>
      </c>
      <c r="D5009" t="inlineStr">
        <is>
          <t>CONTRCEPTIV BASE ON OTHR PROD.OF HDNG 2937</t>
        </is>
      </c>
      <c r="E5009" s="3" t="n">
        <v>0.07000000000000001</v>
      </c>
      <c r="F5009" s="3" t="n">
        <v>0.08</v>
      </c>
      <c r="G5009" s="3">
        <f>F5009-E5009</f>
        <v/>
      </c>
      <c r="H5009" s="4">
        <f>IF(E5009=0,"",F5009/E5009-1)</f>
        <v/>
      </c>
      <c r="I5009" t="inlineStr">
        <is>
          <t>Dressings, kits &amp; other</t>
        </is>
      </c>
    </row>
    <row r="5010">
      <c r="A5010" t="inlineStr">
        <is>
          <t>Pharmaceuticals</t>
        </is>
      </c>
      <c r="B5010" t="inlineStr">
        <is>
          <t>30</t>
        </is>
      </c>
      <c r="C5010" t="inlineStr">
        <is>
          <t>30021210</t>
        </is>
      </c>
      <c r="D5010" t="inlineStr">
        <is>
          <t>FOR DIPHTHERIA</t>
        </is>
      </c>
      <c r="E5010" s="3" t="n">
        <v>0</v>
      </c>
      <c r="F5010" s="3" t="n">
        <v>0.07000000000000001</v>
      </c>
      <c r="G5010" s="3">
        <f>F5010-E5010</f>
        <v/>
      </c>
      <c r="H5010" s="4">
        <f>IF(E5010=0,"",F5010/E5010-1)</f>
        <v/>
      </c>
      <c r="I5010" t="inlineStr">
        <is>
          <t>Vaccines &amp; biologicals</t>
        </is>
      </c>
    </row>
    <row r="5011">
      <c r="A5011" t="inlineStr">
        <is>
          <t>Pharmaceuticals</t>
        </is>
      </c>
      <c r="B5011" t="inlineStr">
        <is>
          <t>30</t>
        </is>
      </c>
      <c r="C5011" t="inlineStr">
        <is>
          <t>30039021</t>
        </is>
      </c>
      <c r="D5011" t="inlineStr">
        <is>
          <t>MENTHOL CRYSTAL</t>
        </is>
      </c>
      <c r="E5011" s="3" t="n">
        <v>0</v>
      </c>
      <c r="F5011" s="3" t="n">
        <v>0.07000000000000001</v>
      </c>
      <c r="G5011" s="3">
        <f>F5011-E5011</f>
        <v/>
      </c>
      <c r="H5011" s="4">
        <f>IF(E5011=0,"",F5011/E5011-1)</f>
        <v/>
      </c>
      <c r="I5011" t="inlineStr">
        <is>
          <t>Bulk medicaments</t>
        </is>
      </c>
    </row>
    <row r="5012">
      <c r="A5012" t="inlineStr">
        <is>
          <t>Pharmaceuticals</t>
        </is>
      </c>
      <c r="B5012" t="inlineStr">
        <is>
          <t>30</t>
        </is>
      </c>
      <c r="C5012" t="inlineStr">
        <is>
          <t>30041060</t>
        </is>
      </c>
      <c r="D5012" t="inlineStr">
        <is>
          <t>AMCLOS IN CAPSULES INJECTIONS ETC.</t>
        </is>
      </c>
      <c r="E5012" s="3" t="n">
        <v>0.03</v>
      </c>
      <c r="F5012" s="3" t="n">
        <v>0.07000000000000001</v>
      </c>
      <c r="G5012" s="3">
        <f>F5012-E5012</f>
        <v/>
      </c>
      <c r="H5012" s="4">
        <f>IF(E5012=0,"",F5012/E5012-1)</f>
        <v/>
      </c>
      <c r="I5012" t="inlineStr">
        <is>
          <t>Anti-infectives</t>
        </is>
      </c>
    </row>
    <row r="5013">
      <c r="A5013" t="inlineStr">
        <is>
          <t>Pharmaceuticals</t>
        </is>
      </c>
      <c r="B5013" t="inlineStr">
        <is>
          <t>30</t>
        </is>
      </c>
      <c r="C5013" t="inlineStr">
        <is>
          <t>30042069</t>
        </is>
      </c>
      <c r="D5013" t="inlineStr">
        <is>
          <t>OTHER MACROLIDE</t>
        </is>
      </c>
      <c r="E5013" s="3" t="n">
        <v>0.15</v>
      </c>
      <c r="F5013" s="3" t="n">
        <v>0.07000000000000001</v>
      </c>
      <c r="G5013" s="3">
        <f>F5013-E5013</f>
        <v/>
      </c>
      <c r="H5013" s="4">
        <f>IF(E5013=0,"",F5013/E5013-1)</f>
        <v/>
      </c>
      <c r="I5013" t="inlineStr">
        <is>
          <t>Anti-infectives</t>
        </is>
      </c>
    </row>
    <row r="5014">
      <c r="A5014" t="inlineStr">
        <is>
          <t>Pharmaceuticals</t>
        </is>
      </c>
      <c r="B5014" t="inlineStr">
        <is>
          <t>30</t>
        </is>
      </c>
      <c r="C5014" t="inlineStr">
        <is>
          <t>30045031</t>
        </is>
      </c>
      <c r="D5014" t="inlineStr">
        <is>
          <t>TABLETS,CAPSULES,SYRUP ETC OF VITAMIN A INCLD) EXCEPT SALVES OINIMNTS AND VACCINES</t>
        </is>
      </c>
      <c r="E5014" s="3" t="n">
        <v>0.3</v>
      </c>
      <c r="F5014" s="3" t="n">
        <v>0.07000000000000001</v>
      </c>
      <c r="G5014" s="3">
        <f>F5014-E5014</f>
        <v/>
      </c>
      <c r="H5014" s="4">
        <f>IF(E5014=0,"",F5014/E5014-1)</f>
        <v/>
      </c>
      <c r="I5014" t="inlineStr">
        <is>
          <t>Vitamins &amp; nutrition</t>
        </is>
      </c>
    </row>
    <row r="5015">
      <c r="A5015" t="inlineStr">
        <is>
          <t>Pharmaceuticals</t>
        </is>
      </c>
      <c r="B5015" t="inlineStr">
        <is>
          <t>30</t>
        </is>
      </c>
      <c r="C5015" t="inlineStr">
        <is>
          <t>30049062</t>
        </is>
      </c>
      <c r="D5015" t="inlineStr">
        <is>
          <t>ACETYL SALICYLIC ACID (ASPIRIN) AND FORMULATIONS THEREOF</t>
        </is>
      </c>
      <c r="E5015" s="3" t="n">
        <v>0</v>
      </c>
      <c r="F5015" s="3" t="n">
        <v>0.07000000000000001</v>
      </c>
      <c r="G5015" s="3">
        <f>F5015-E5015</f>
        <v/>
      </c>
      <c r="H5015" s="4">
        <f>IF(E5015=0,"",F5015/E5015-1)</f>
        <v/>
      </c>
      <c r="I5015" t="inlineStr">
        <is>
          <t>Pain &amp; inflammation</t>
        </is>
      </c>
    </row>
    <row r="5016">
      <c r="A5016" t="inlineStr">
        <is>
          <t>Pharmaceuticals</t>
        </is>
      </c>
      <c r="B5016" t="inlineStr">
        <is>
          <t>30</t>
        </is>
      </c>
      <c r="C5016" t="inlineStr">
        <is>
          <t>30049043</t>
        </is>
      </c>
      <c r="D5016" t="inlineStr">
        <is>
          <t>BINCRISTINE AND VINBLASTINE</t>
        </is>
      </c>
      <c r="E5016" s="3" t="n">
        <v>0</v>
      </c>
      <c r="F5016" s="3" t="n">
        <v>0.06</v>
      </c>
      <c r="G5016" s="3">
        <f>F5016-E5016</f>
        <v/>
      </c>
      <c r="H5016" s="4">
        <f>IF(E5016=0,"",F5016/E5016-1)</f>
        <v/>
      </c>
      <c r="I5016" t="inlineStr">
        <is>
          <t>Oncology</t>
        </is>
      </c>
    </row>
    <row r="5017">
      <c r="A5017" t="inlineStr">
        <is>
          <t>Pharmaceuticals</t>
        </is>
      </c>
      <c r="B5017" t="inlineStr">
        <is>
          <t>30</t>
        </is>
      </c>
      <c r="C5017" t="inlineStr">
        <is>
          <t>30049052</t>
        </is>
      </c>
      <c r="D5017" t="inlineStr">
        <is>
          <t>RIFAMPICIN</t>
        </is>
      </c>
      <c r="E5017" s="3" t="n">
        <v>0.04</v>
      </c>
      <c r="F5017" s="3" t="n">
        <v>0.06</v>
      </c>
      <c r="G5017" s="3">
        <f>F5017-E5017</f>
        <v/>
      </c>
      <c r="H5017" s="4">
        <f>IF(E5017=0,"",F5017/E5017-1)</f>
        <v/>
      </c>
      <c r="I5017" t="inlineStr">
        <is>
          <t>Anti-infectives</t>
        </is>
      </c>
    </row>
    <row r="5018">
      <c r="A5018" t="inlineStr">
        <is>
          <t>Pharmaceuticals</t>
        </is>
      </c>
      <c r="B5018" t="inlineStr">
        <is>
          <t>30</t>
        </is>
      </c>
      <c r="C5018" t="inlineStr">
        <is>
          <t>30021240</t>
        </is>
      </c>
      <c r="D5018" t="inlineStr">
        <is>
          <t>FOR SNAKE VENOM</t>
        </is>
      </c>
      <c r="E5018" s="3" t="n">
        <v>0</v>
      </c>
      <c r="F5018" s="3" t="n">
        <v>0.04</v>
      </c>
      <c r="G5018" s="3">
        <f>F5018-E5018</f>
        <v/>
      </c>
      <c r="H5018" s="4">
        <f>IF(E5018=0,"",F5018/E5018-1)</f>
        <v/>
      </c>
      <c r="I5018" t="inlineStr">
        <is>
          <t>Vaccines &amp; biologicals</t>
        </is>
      </c>
    </row>
    <row r="5019">
      <c r="A5019" t="inlineStr">
        <is>
          <t>Pharmaceuticals</t>
        </is>
      </c>
      <c r="B5019" t="inlineStr">
        <is>
          <t>30</t>
        </is>
      </c>
      <c r="C5019" t="inlineStr">
        <is>
          <t>30024113</t>
        </is>
      </c>
      <c r="D5019" t="inlineStr">
        <is>
          <t>TETATUS (SINGLE VACCINES FOR)</t>
        </is>
      </c>
      <c r="E5019" s="3" t="n">
        <v>0.19</v>
      </c>
      <c r="F5019" s="3" t="n">
        <v>0.04</v>
      </c>
      <c r="G5019" s="3">
        <f>F5019-E5019</f>
        <v/>
      </c>
      <c r="H5019" s="4">
        <f>IF(E5019=0,"",F5019/E5019-1)</f>
        <v/>
      </c>
      <c r="I5019" t="inlineStr">
        <is>
          <t>Vaccines &amp; biologicals</t>
        </is>
      </c>
    </row>
    <row r="5020">
      <c r="A5020" t="inlineStr">
        <is>
          <t>Pharmaceuticals</t>
        </is>
      </c>
      <c r="B5020" t="inlineStr">
        <is>
          <t>30</t>
        </is>
      </c>
      <c r="C5020" t="inlineStr">
        <is>
          <t>30024123</t>
        </is>
      </c>
      <c r="D5020" t="inlineStr">
        <is>
          <t>MEASLES, MUMPS AND RUBELLA (MMR)</t>
        </is>
      </c>
      <c r="E5020" s="3" t="n">
        <v>0.06</v>
      </c>
      <c r="F5020" s="3" t="n">
        <v>0.04</v>
      </c>
      <c r="G5020" s="3">
        <f>F5020-E5020</f>
        <v/>
      </c>
      <c r="H5020" s="4">
        <f>IF(E5020=0,"",F5020/E5020-1)</f>
        <v/>
      </c>
      <c r="I5020" t="inlineStr">
        <is>
          <t>Vaccines &amp; biologicals</t>
        </is>
      </c>
    </row>
    <row r="5021">
      <c r="A5021" t="inlineStr">
        <is>
          <t>Pharmaceuticals</t>
        </is>
      </c>
      <c r="B5021" t="inlineStr">
        <is>
          <t>30</t>
        </is>
      </c>
      <c r="C5021" t="inlineStr">
        <is>
          <t>30042034</t>
        </is>
      </c>
      <c r="D5021" t="inlineStr">
        <is>
          <t>OFLOXACIN</t>
        </is>
      </c>
      <c r="E5021" s="3" t="n">
        <v>0.17</v>
      </c>
      <c r="F5021" s="3" t="n">
        <v>0.04</v>
      </c>
      <c r="G5021" s="3">
        <f>F5021-E5021</f>
        <v/>
      </c>
      <c r="H5021" s="4">
        <f>IF(E5021=0,"",F5021/E5021-1)</f>
        <v/>
      </c>
      <c r="I5021" t="inlineStr">
        <is>
          <t>Anti-infectives</t>
        </is>
      </c>
    </row>
    <row r="5022">
      <c r="A5022" t="inlineStr">
        <is>
          <t>Pharmaceuticals</t>
        </is>
      </c>
      <c r="B5022" t="inlineStr">
        <is>
          <t>30</t>
        </is>
      </c>
      <c r="C5022" t="inlineStr">
        <is>
          <t>30049064</t>
        </is>
      </c>
      <c r="D5022" t="inlineStr">
        <is>
          <t>OXYPHEN BUTAZONE, PHENYL BUTAZONE AND FORMULATIONS THEREOF</t>
        </is>
      </c>
      <c r="E5022" s="3" t="n">
        <v>0</v>
      </c>
      <c r="F5022" s="3" t="n">
        <v>0.04</v>
      </c>
      <c r="G5022" s="3">
        <f>F5022-E5022</f>
        <v/>
      </c>
      <c r="H5022" s="4">
        <f>IF(E5022=0,"",F5022/E5022-1)</f>
        <v/>
      </c>
      <c r="I5022" t="inlineStr">
        <is>
          <t>Pain &amp; inflammation</t>
        </is>
      </c>
    </row>
    <row r="5023">
      <c r="A5023" t="inlineStr">
        <is>
          <t>Pharmaceuticals</t>
        </is>
      </c>
      <c r="B5023" t="inlineStr">
        <is>
          <t>30</t>
        </is>
      </c>
      <c r="C5023" t="inlineStr">
        <is>
          <t>30049089</t>
        </is>
      </c>
      <c r="D5023" t="inlineStr">
        <is>
          <t>TRANQUILIZERS</t>
        </is>
      </c>
      <c r="E5023" s="3" t="n">
        <v>0.06</v>
      </c>
      <c r="F5023" s="3" t="n">
        <v>0.04</v>
      </c>
      <c r="G5023" s="3">
        <f>F5023-E5023</f>
        <v/>
      </c>
      <c r="H5023" s="4">
        <f>IF(E5023=0,"",F5023/E5023-1)</f>
        <v/>
      </c>
      <c r="I5023" t="inlineStr">
        <is>
          <t>Nervous system</t>
        </is>
      </c>
    </row>
    <row r="5024">
      <c r="A5024" t="inlineStr">
        <is>
          <t>Pharmaceuticals</t>
        </is>
      </c>
      <c r="B5024" t="inlineStr">
        <is>
          <t>30</t>
        </is>
      </c>
      <c r="C5024" t="inlineStr">
        <is>
          <t>30069100</t>
        </is>
      </c>
      <c r="D5024" t="inlineStr">
        <is>
          <t>APPLIANCES IDENTIFIABLE FOR OSTOMY USE</t>
        </is>
      </c>
      <c r="E5024" s="3" t="n">
        <v>0</v>
      </c>
      <c r="F5024" s="3" t="n">
        <v>0.04</v>
      </c>
      <c r="G5024" s="3">
        <f>F5024-E5024</f>
        <v/>
      </c>
      <c r="H5024" s="4">
        <f>IF(E5024=0,"",F5024/E5024-1)</f>
        <v/>
      </c>
      <c r="I5024" t="inlineStr">
        <is>
          <t>Dressings, kits &amp; other</t>
        </is>
      </c>
    </row>
    <row r="5025">
      <c r="A5025" t="inlineStr">
        <is>
          <t>Pharmaceuticals</t>
        </is>
      </c>
      <c r="B5025" t="inlineStr">
        <is>
          <t>30</t>
        </is>
      </c>
      <c r="C5025" t="inlineStr">
        <is>
          <t>30012090</t>
        </is>
      </c>
      <c r="D5025" t="inlineStr">
        <is>
          <t>OTHR EXTRACTS OF GLANDS OR OTHR ORGANS OR OF THEIR SECRETIONS</t>
        </is>
      </c>
      <c r="E5025" s="3" t="n">
        <v>0.03</v>
      </c>
      <c r="F5025" s="3" t="n">
        <v>0.03</v>
      </c>
      <c r="G5025" s="3">
        <f>F5025-E5025</f>
        <v/>
      </c>
      <c r="H5025" s="4">
        <f>IF(E5025=0,"",F5025/E5025-1)</f>
        <v/>
      </c>
      <c r="I5025" t="inlineStr">
        <is>
          <t>Dressings, kits &amp; other</t>
        </is>
      </c>
    </row>
    <row r="5026">
      <c r="A5026" t="inlineStr">
        <is>
          <t>Pharmaceuticals</t>
        </is>
      </c>
      <c r="B5026" t="inlineStr">
        <is>
          <t>30</t>
        </is>
      </c>
      <c r="C5026" t="inlineStr">
        <is>
          <t>30021300</t>
        </is>
      </c>
      <c r="D5026" t="inlineStr">
        <is>
          <t>IMMUNOLOGICAL PRODUCTS, UNMIXED, NOT PUT UP IN MEASURED DOSES OR IN FORMS OR PACKINGS FOR RETAIL SALE</t>
        </is>
      </c>
      <c r="E5026" s="3" t="n">
        <v>0</v>
      </c>
      <c r="F5026" s="3" t="n">
        <v>0.03</v>
      </c>
      <c r="G5026" s="3">
        <f>F5026-E5026</f>
        <v/>
      </c>
      <c r="H5026" s="4">
        <f>IF(E5026=0,"",F5026/E5026-1)</f>
        <v/>
      </c>
      <c r="I5026" t="inlineStr">
        <is>
          <t>Vaccines &amp; biologicals</t>
        </is>
      </c>
    </row>
    <row r="5027">
      <c r="A5027" t="inlineStr">
        <is>
          <t>Pharmaceuticals</t>
        </is>
      </c>
      <c r="B5027" t="inlineStr">
        <is>
          <t>30</t>
        </is>
      </c>
      <c r="C5027" t="inlineStr">
        <is>
          <t>30024121</t>
        </is>
      </c>
      <c r="D5027" t="inlineStr">
        <is>
          <t>DIPHTHERIA, PERTUSSIS AND TETATUS (DPT)</t>
        </is>
      </c>
      <c r="E5027" s="3" t="n">
        <v>0.12</v>
      </c>
      <c r="F5027" s="3" t="n">
        <v>0.03</v>
      </c>
      <c r="G5027" s="3">
        <f>F5027-E5027</f>
        <v/>
      </c>
      <c r="H5027" s="4">
        <f>IF(E5027=0,"",F5027/E5027-1)</f>
        <v/>
      </c>
      <c r="I5027" t="inlineStr">
        <is>
          <t>Vaccines &amp; biologicals</t>
        </is>
      </c>
    </row>
    <row r="5028">
      <c r="A5028" t="inlineStr">
        <is>
          <t>Pharmaceuticals</t>
        </is>
      </c>
      <c r="B5028" t="inlineStr">
        <is>
          <t>30</t>
        </is>
      </c>
      <c r="C5028" t="inlineStr">
        <is>
          <t>30041020</t>
        </is>
      </c>
      <c r="D5028" t="inlineStr">
        <is>
          <t>AMPICILLINE IN CAPSULES, INJECTIONS ETC.</t>
        </is>
      </c>
      <c r="E5028" s="3" t="n">
        <v>0</v>
      </c>
      <c r="F5028" s="3" t="n">
        <v>0.03</v>
      </c>
      <c r="G5028" s="3">
        <f>F5028-E5028</f>
        <v/>
      </c>
      <c r="H5028" s="4">
        <f>IF(E5028=0,"",F5028/E5028-1)</f>
        <v/>
      </c>
      <c r="I5028" t="inlineStr">
        <is>
          <t>Anti-infectives</t>
        </is>
      </c>
    </row>
    <row r="5029">
      <c r="A5029" t="inlineStr">
        <is>
          <t>Pharmaceuticals</t>
        </is>
      </c>
      <c r="B5029" t="inlineStr">
        <is>
          <t>30</t>
        </is>
      </c>
      <c r="C5029" t="inlineStr">
        <is>
          <t>30049041</t>
        </is>
      </c>
      <c r="D5029" t="inlineStr">
        <is>
          <t>CYCLOPHOSPHAMIDE</t>
        </is>
      </c>
      <c r="E5029" s="3" t="n">
        <v>0</v>
      </c>
      <c r="F5029" s="3" t="n">
        <v>0.03</v>
      </c>
      <c r="G5029" s="3">
        <f>F5029-E5029</f>
        <v/>
      </c>
      <c r="H5029" s="4">
        <f>IF(E5029=0,"",F5029/E5029-1)</f>
        <v/>
      </c>
      <c r="I5029" t="inlineStr">
        <is>
          <t>Oncology</t>
        </is>
      </c>
    </row>
    <row r="5030">
      <c r="A5030" t="inlineStr">
        <is>
          <t>Pharmaceuticals</t>
        </is>
      </c>
      <c r="B5030" t="inlineStr">
        <is>
          <t>30</t>
        </is>
      </c>
      <c r="C5030" t="inlineStr">
        <is>
          <t>30049051</t>
        </is>
      </c>
      <c r="D5030" t="inlineStr">
        <is>
          <t>ISONIAZID</t>
        </is>
      </c>
      <c r="E5030" s="3" t="n">
        <v>0</v>
      </c>
      <c r="F5030" s="3" t="n">
        <v>0.03</v>
      </c>
      <c r="G5030" s="3">
        <f>F5030-E5030</f>
        <v/>
      </c>
      <c r="H5030" s="4">
        <f>IF(E5030=0,"",F5030/E5030-1)</f>
        <v/>
      </c>
      <c r="I5030" t="inlineStr">
        <is>
          <t>Anti-infectives</t>
        </is>
      </c>
    </row>
    <row r="5031">
      <c r="A5031" t="inlineStr">
        <is>
          <t>Pharmaceuticals</t>
        </is>
      </c>
      <c r="B5031" t="inlineStr">
        <is>
          <t>30</t>
        </is>
      </c>
      <c r="C5031" t="inlineStr">
        <is>
          <t>30021230</t>
        </is>
      </c>
      <c r="D5031" t="inlineStr">
        <is>
          <t>FOR RABIES</t>
        </is>
      </c>
      <c r="E5031" s="3" t="n">
        <v>0.03</v>
      </c>
      <c r="F5031" s="3" t="n">
        <v>0.02</v>
      </c>
      <c r="G5031" s="3">
        <f>F5031-E5031</f>
        <v/>
      </c>
      <c r="H5031" s="4">
        <f>IF(E5031=0,"",F5031/E5031-1)</f>
        <v/>
      </c>
      <c r="I5031" t="inlineStr">
        <is>
          <t>Vaccines &amp; biologicals</t>
        </is>
      </c>
    </row>
    <row r="5032">
      <c r="A5032" t="inlineStr">
        <is>
          <t>Pharmaceuticals</t>
        </is>
      </c>
      <c r="B5032" t="inlineStr">
        <is>
          <t>30</t>
        </is>
      </c>
      <c r="C5032" t="inlineStr">
        <is>
          <t>30024990</t>
        </is>
      </c>
      <c r="D5032" t="inlineStr">
        <is>
          <t>OTHERS-OF-OTHERS-OF-HUMN,ANML,BLD FR MDCNL USE; MDFD IMUNLGCL PRDT W/N_BITECH PRCS;VCCNS,TXNS,CLTR_MCRGNSM,ETHER SMLR P; CELL</t>
        </is>
      </c>
      <c r="E5032" s="3" t="n">
        <v>0.01</v>
      </c>
      <c r="F5032" s="3" t="n">
        <v>0.02</v>
      </c>
      <c r="G5032" s="3">
        <f>F5032-E5032</f>
        <v/>
      </c>
      <c r="H5032" s="4">
        <f>IF(E5032=0,"",F5032/E5032-1)</f>
        <v/>
      </c>
      <c r="I5032" t="inlineStr">
        <is>
          <t>Vaccines &amp; biologicals</t>
        </is>
      </c>
    </row>
    <row r="5033">
      <c r="A5033" t="inlineStr">
        <is>
          <t>Pharmaceuticals</t>
        </is>
      </c>
      <c r="B5033" t="inlineStr">
        <is>
          <t>30</t>
        </is>
      </c>
      <c r="C5033" t="inlineStr">
        <is>
          <t>30044910</t>
        </is>
      </c>
      <c r="D5033" t="inlineStr">
        <is>
          <t>ATROPIN AND SALTS THEREOF</t>
        </is>
      </c>
      <c r="E5033" s="3" t="n">
        <v>0.02</v>
      </c>
      <c r="F5033" s="3" t="n">
        <v>0.02</v>
      </c>
      <c r="G5033" s="3">
        <f>F5033-E5033</f>
        <v/>
      </c>
      <c r="H5033" s="4">
        <f>IF(E5033=0,"",F5033/E5033-1)</f>
        <v/>
      </c>
      <c r="I5033" t="inlineStr">
        <is>
          <t>Other formulations</t>
        </is>
      </c>
    </row>
    <row r="5034">
      <c r="A5034" t="inlineStr">
        <is>
          <t>Pharmaceuticals</t>
        </is>
      </c>
      <c r="B5034" t="inlineStr">
        <is>
          <t>30</t>
        </is>
      </c>
      <c r="C5034" t="inlineStr">
        <is>
          <t>30049053</t>
        </is>
      </c>
      <c r="D5034" t="inlineStr">
        <is>
          <t>PYRAZINAMIDE AND ETHAMBUTOL</t>
        </is>
      </c>
      <c r="E5034" s="3" t="n">
        <v>0.02</v>
      </c>
      <c r="F5034" s="3" t="n">
        <v>0.02</v>
      </c>
      <c r="G5034" s="3">
        <f>F5034-E5034</f>
        <v/>
      </c>
      <c r="H5034" s="4">
        <f>IF(E5034=0,"",F5034/E5034-1)</f>
        <v/>
      </c>
      <c r="I5034" t="inlineStr">
        <is>
          <t>Anti-infectives</t>
        </is>
      </c>
    </row>
    <row r="5035">
      <c r="A5035" t="inlineStr">
        <is>
          <t>Pharmaceuticals</t>
        </is>
      </c>
      <c r="B5035" t="inlineStr">
        <is>
          <t>30</t>
        </is>
      </c>
      <c r="C5035" t="inlineStr">
        <is>
          <t>30049092</t>
        </is>
      </c>
      <c r="D5035" t="inlineStr">
        <is>
          <t>PLASMA EXPANDERS</t>
        </is>
      </c>
      <c r="E5035" s="3" t="n">
        <v>0</v>
      </c>
      <c r="F5035" s="3" t="n">
        <v>0.02</v>
      </c>
      <c r="G5035" s="3">
        <f>F5035-E5035</f>
        <v/>
      </c>
      <c r="H5035" s="4">
        <f>IF(E5035=0,"",F5035/E5035-1)</f>
        <v/>
      </c>
      <c r="I5035" t="inlineStr">
        <is>
          <t>Other formulations</t>
        </is>
      </c>
    </row>
    <row r="5036">
      <c r="A5036" t="inlineStr">
        <is>
          <t>Pharmaceuticals</t>
        </is>
      </c>
      <c r="B5036" t="inlineStr">
        <is>
          <t>30</t>
        </is>
      </c>
      <c r="C5036" t="inlineStr">
        <is>
          <t>30019010</t>
        </is>
      </c>
      <c r="D5036" t="inlineStr">
        <is>
          <t>OTHR SUBSTNCE PREPRD FOR THRUPTIC /PROPHYLACTIC USE OF OF HUMAN ORIGIN</t>
        </is>
      </c>
      <c r="E5036" s="3" t="n">
        <v>0</v>
      </c>
      <c r="F5036" s="3" t="n">
        <v>0.01</v>
      </c>
      <c r="G5036" s="3">
        <f>F5036-E5036</f>
        <v/>
      </c>
      <c r="H5036" s="4">
        <f>IF(E5036=0,"",F5036/E5036-1)</f>
        <v/>
      </c>
      <c r="I5036" t="inlineStr">
        <is>
          <t>Dressings, kits &amp; other</t>
        </is>
      </c>
    </row>
    <row r="5037">
      <c r="A5037" t="inlineStr">
        <is>
          <t>Pharmaceuticals</t>
        </is>
      </c>
      <c r="B5037" t="inlineStr">
        <is>
          <t>30</t>
        </is>
      </c>
      <c r="C5037" t="inlineStr">
        <is>
          <t>30041010</t>
        </is>
      </c>
      <c r="D5037" t="inlineStr">
        <is>
          <t>PENICILLIN IN CAPSULES, INJECTIONS ETC.</t>
        </is>
      </c>
      <c r="E5037" s="3" t="n">
        <v>0.01</v>
      </c>
      <c r="F5037" s="3" t="n">
        <v>0.01</v>
      </c>
      <c r="G5037" s="3">
        <f>F5037-E5037</f>
        <v/>
      </c>
      <c r="H5037" s="4">
        <f>IF(E5037=0,"",F5037/E5037-1)</f>
        <v/>
      </c>
      <c r="I5037" t="inlineStr">
        <is>
          <t>Anti-infectives</t>
        </is>
      </c>
    </row>
    <row r="5038">
      <c r="A5038" t="inlineStr">
        <is>
          <t>Pharmaceuticals</t>
        </is>
      </c>
      <c r="B5038" t="inlineStr">
        <is>
          <t>30</t>
        </is>
      </c>
      <c r="C5038" t="inlineStr">
        <is>
          <t>30042031</t>
        </is>
      </c>
      <c r="D5038" t="inlineStr">
        <is>
          <t>NORFLOXACIN</t>
        </is>
      </c>
      <c r="E5038" s="3" t="n">
        <v>0.01</v>
      </c>
      <c r="F5038" s="3" t="n">
        <v>0.01</v>
      </c>
      <c r="G5038" s="3">
        <f>F5038-E5038</f>
        <v/>
      </c>
      <c r="H5038" s="4">
        <f>IF(E5038=0,"",F5038/E5038-1)</f>
        <v/>
      </c>
      <c r="I5038" t="inlineStr">
        <is>
          <t>Anti-infectives</t>
        </is>
      </c>
    </row>
    <row r="5039">
      <c r="A5039" t="inlineStr">
        <is>
          <t>Pharmaceuticals</t>
        </is>
      </c>
      <c r="B5039" t="inlineStr">
        <is>
          <t>30</t>
        </is>
      </c>
      <c r="C5039" t="inlineStr">
        <is>
          <t>30042092</t>
        </is>
      </c>
      <c r="D5039" t="inlineStr">
        <is>
          <t>RIFAMPICIN</t>
        </is>
      </c>
      <c r="E5039" s="3" t="n">
        <v>0</v>
      </c>
      <c r="F5039" s="3" t="n">
        <v>0.01</v>
      </c>
      <c r="G5039" s="3">
        <f>F5039-E5039</f>
        <v/>
      </c>
      <c r="H5039" s="4">
        <f>IF(E5039=0,"",F5039/E5039-1)</f>
        <v/>
      </c>
      <c r="I5039" t="inlineStr">
        <is>
          <t>Anti-infectives</t>
        </is>
      </c>
    </row>
    <row r="5040">
      <c r="A5040" t="inlineStr">
        <is>
          <t>Pharmaceuticals</t>
        </is>
      </c>
      <c r="B5040" t="inlineStr">
        <is>
          <t>30</t>
        </is>
      </c>
      <c r="C5040" t="inlineStr">
        <is>
          <t>30043914</t>
        </is>
      </c>
      <c r="D5040" t="inlineStr">
        <is>
          <t>DANAZOL</t>
        </is>
      </c>
      <c r="E5040" s="3" t="n">
        <v>0</v>
      </c>
      <c r="F5040" s="3" t="n">
        <v>0.01</v>
      </c>
      <c r="G5040" s="3">
        <f>F5040-E5040</f>
        <v/>
      </c>
      <c r="H5040" s="4">
        <f>IF(E5040=0,"",F5040/E5040-1)</f>
        <v/>
      </c>
      <c r="I5040" t="inlineStr">
        <is>
          <t>Hormones &amp; insulin</t>
        </is>
      </c>
    </row>
    <row r="5041">
      <c r="A5041" t="inlineStr">
        <is>
          <t>Pharmaceuticals</t>
        </is>
      </c>
      <c r="B5041" t="inlineStr">
        <is>
          <t>30</t>
        </is>
      </c>
      <c r="C5041" t="inlineStr">
        <is>
          <t>30049048</t>
        </is>
      </c>
      <c r="D5041" t="inlineStr">
        <is>
          <t>TAMOXIFEN</t>
        </is>
      </c>
      <c r="E5041" s="3" t="n">
        <v>0</v>
      </c>
      <c r="F5041" s="3" t="n">
        <v>0.01</v>
      </c>
      <c r="G5041" s="3">
        <f>F5041-E5041</f>
        <v/>
      </c>
      <c r="H5041" s="4">
        <f>IF(E5041=0,"",F5041/E5041-1)</f>
        <v/>
      </c>
      <c r="I5041" t="inlineStr">
        <is>
          <t>Oncology</t>
        </is>
      </c>
    </row>
    <row r="5042">
      <c r="A5042" t="inlineStr">
        <is>
          <t>Pharmaceuticals</t>
        </is>
      </c>
      <c r="B5042" t="inlineStr">
        <is>
          <t>30</t>
        </is>
      </c>
      <c r="C5042" t="inlineStr">
        <is>
          <t>30049071</t>
        </is>
      </c>
      <c r="D5042" t="inlineStr">
        <is>
          <t>CAPTOPRIL, ENALAPRIL, LISINOPRIL, PERINDOPRIL AND RAMIPRIL</t>
        </is>
      </c>
      <c r="E5042" s="3" t="n">
        <v>0</v>
      </c>
      <c r="F5042" s="3" t="n">
        <v>0.01</v>
      </c>
      <c r="G5042" s="3">
        <f>F5042-E5042</f>
        <v/>
      </c>
      <c r="H5042" s="4">
        <f>IF(E5042=0,"",F5042/E5042-1)</f>
        <v/>
      </c>
      <c r="I5042" t="inlineStr">
        <is>
          <t>Cardiovascular</t>
        </is>
      </c>
    </row>
    <row r="5043">
      <c r="A5043" t="inlineStr">
        <is>
          <t>Pharmaceuticals</t>
        </is>
      </c>
      <c r="B5043" t="inlineStr">
        <is>
          <t>30</t>
        </is>
      </c>
      <c r="C5043" t="inlineStr">
        <is>
          <t>30049075</t>
        </is>
      </c>
      <c r="D5043" t="inlineStr">
        <is>
          <t>PRAZOSIN, TERAZOSIN, PHENTOLAMINE AND PHENOXYBENZAMINE</t>
        </is>
      </c>
      <c r="E5043" s="3" t="n">
        <v>0.01</v>
      </c>
      <c r="F5043" s="3" t="n">
        <v>0.01</v>
      </c>
      <c r="G5043" s="3">
        <f>F5043-E5043</f>
        <v/>
      </c>
      <c r="H5043" s="4">
        <f>IF(E5043=0,"",F5043/E5043-1)</f>
        <v/>
      </c>
      <c r="I5043" t="inlineStr">
        <is>
          <t>Cardiovascular</t>
        </is>
      </c>
    </row>
    <row r="5044">
      <c r="A5044" t="inlineStr">
        <is>
          <t>Pharmaceuticals</t>
        </is>
      </c>
      <c r="B5044" t="inlineStr">
        <is>
          <t>30</t>
        </is>
      </c>
      <c r="C5044" t="inlineStr">
        <is>
          <t>30049077</t>
        </is>
      </c>
      <c r="D5044" t="inlineStr">
        <is>
          <t>HYDRALAZINE, MINOXIDIL AND DIAZOXIDE</t>
        </is>
      </c>
      <c r="E5044" s="3" t="n">
        <v>0.01</v>
      </c>
      <c r="F5044" s="3" t="n">
        <v>0.01</v>
      </c>
      <c r="G5044" s="3">
        <f>F5044-E5044</f>
        <v/>
      </c>
      <c r="H5044" s="4">
        <f>IF(E5044=0,"",F5044/E5044-1)</f>
        <v/>
      </c>
      <c r="I5044" t="inlineStr">
        <is>
          <t>Cardiovascular</t>
        </is>
      </c>
    </row>
    <row r="5045">
      <c r="A5045" t="inlineStr">
        <is>
          <t>Pharmaceuticals</t>
        </is>
      </c>
      <c r="B5045" t="inlineStr">
        <is>
          <t>30</t>
        </is>
      </c>
      <c r="C5045" t="inlineStr">
        <is>
          <t>30059050</t>
        </is>
      </c>
      <c r="D5045" t="inlineStr">
        <is>
          <t>BURN THERAPY DRESSING SOAKED IN PROTECTIVEGEL</t>
        </is>
      </c>
      <c r="E5045" s="3" t="n">
        <v>0.16</v>
      </c>
      <c r="F5045" s="3" t="n">
        <v>0.01</v>
      </c>
      <c r="G5045" s="3">
        <f>F5045-E5045</f>
        <v/>
      </c>
      <c r="H5045" s="4">
        <f>IF(E5045=0,"",F5045/E5045-1)</f>
        <v/>
      </c>
      <c r="I5045" t="inlineStr">
        <is>
          <t>Dressings, kits &amp; other</t>
        </is>
      </c>
    </row>
    <row r="5046">
      <c r="A5046" t="inlineStr">
        <is>
          <t>Pharmaceuticals</t>
        </is>
      </c>
      <c r="B5046" t="inlineStr">
        <is>
          <t>30</t>
        </is>
      </c>
      <c r="C5046" t="inlineStr">
        <is>
          <t>30012010</t>
        </is>
      </c>
      <c r="D5046" t="inlineStr">
        <is>
          <t>LIQUID EXTRACTS OF LIVER</t>
        </is>
      </c>
      <c r="E5046" s="3" t="n">
        <v>0</v>
      </c>
      <c r="F5046" s="3" t="n">
        <v>0</v>
      </c>
      <c r="G5046" s="3">
        <f>F5046-E5046</f>
        <v/>
      </c>
      <c r="H5046" s="4">
        <f>IF(E5046=0,"",F5046/E5046-1)</f>
        <v/>
      </c>
      <c r="I5046" t="inlineStr">
        <is>
          <t>Dressings, kits &amp; other</t>
        </is>
      </c>
    </row>
    <row r="5047">
      <c r="A5047" t="inlineStr">
        <is>
          <t>Pharmaceuticals</t>
        </is>
      </c>
      <c r="B5047" t="inlineStr">
        <is>
          <t>30</t>
        </is>
      </c>
      <c r="C5047" t="inlineStr">
        <is>
          <t>30024114</t>
        </is>
      </c>
      <c r="D5047" t="inlineStr">
        <is>
          <t>POLIO (SINGLE VACCINES FOR)</t>
        </is>
      </c>
      <c r="E5047" s="3" t="n">
        <v>0.01</v>
      </c>
      <c r="F5047" s="3" t="n">
        <v>0</v>
      </c>
      <c r="G5047" s="3">
        <f>F5047-E5047</f>
        <v/>
      </c>
      <c r="H5047" s="4">
        <f>IF(E5047=0,"",F5047/E5047-1)</f>
        <v/>
      </c>
      <c r="I5047" t="inlineStr">
        <is>
          <t>Vaccines &amp; biologicals</t>
        </is>
      </c>
    </row>
    <row r="5048">
      <c r="A5048" t="inlineStr">
        <is>
          <t>Pharmaceuticals</t>
        </is>
      </c>
      <c r="B5048" t="inlineStr">
        <is>
          <t>30</t>
        </is>
      </c>
      <c r="C5048" t="inlineStr">
        <is>
          <t>30029010</t>
        </is>
      </c>
      <c r="D5048" t="inlineStr">
        <is>
          <t>HUMAN BLOOD</t>
        </is>
      </c>
      <c r="E5048" s="3" t="n">
        <v>0.03</v>
      </c>
      <c r="F5048" s="3" t="n">
        <v>0</v>
      </c>
      <c r="G5048" s="3">
        <f>F5048-E5048</f>
        <v/>
      </c>
      <c r="H5048" s="4">
        <f>IF(E5048=0,"",F5048/E5048-1)</f>
        <v/>
      </c>
      <c r="I5048" t="inlineStr">
        <is>
          <t>Vaccines &amp; biologicals</t>
        </is>
      </c>
    </row>
    <row r="5049">
      <c r="A5049" t="inlineStr">
        <is>
          <t>Pharmaceuticals</t>
        </is>
      </c>
      <c r="B5049" t="inlineStr">
        <is>
          <t>30</t>
        </is>
      </c>
      <c r="C5049" t="inlineStr">
        <is>
          <t>30029020</t>
        </is>
      </c>
      <c r="D5049" t="inlineStr">
        <is>
          <t>ANIMAL BLOOD PREPARED FOR THERAPEUTIC, PROPHYLACTIC OR DIAGNOSTIC USES</t>
        </is>
      </c>
      <c r="E5049" s="3" t="n">
        <v>0.06</v>
      </c>
      <c r="F5049" s="3" t="n">
        <v>0</v>
      </c>
      <c r="G5049" s="3">
        <f>F5049-E5049</f>
        <v/>
      </c>
      <c r="H5049" s="4">
        <f>IF(E5049=0,"",F5049/E5049-1)</f>
        <v/>
      </c>
      <c r="I5049" t="inlineStr">
        <is>
          <t>Vaccines &amp; biologicals</t>
        </is>
      </c>
    </row>
    <row r="5050">
      <c r="A5050" t="inlineStr">
        <is>
          <t>Pharmaceuticals</t>
        </is>
      </c>
      <c r="B5050" t="inlineStr">
        <is>
          <t>30</t>
        </is>
      </c>
      <c r="C5050" t="inlineStr">
        <is>
          <t>30032000</t>
        </is>
      </c>
      <c r="D5050" t="inlineStr">
        <is>
          <t>OTHER, CONTAINING ANTIBIOTICS</t>
        </is>
      </c>
      <c r="E5050" s="3" t="n">
        <v>0.01</v>
      </c>
      <c r="F5050" s="3" t="n">
        <v>0</v>
      </c>
      <c r="G5050" s="3">
        <f>F5050-E5050</f>
        <v/>
      </c>
      <c r="H5050" s="4">
        <f>IF(E5050=0,"",F5050/E5050-1)</f>
        <v/>
      </c>
      <c r="I5050" t="inlineStr">
        <is>
          <t>Bulk medicaments</t>
        </is>
      </c>
    </row>
    <row r="5051">
      <c r="A5051" t="inlineStr">
        <is>
          <t>Pharmaceuticals</t>
        </is>
      </c>
      <c r="B5051" t="inlineStr">
        <is>
          <t>30</t>
        </is>
      </c>
      <c r="C5051" t="inlineStr">
        <is>
          <t>30041070</t>
        </is>
      </c>
      <c r="D5051" t="inlineStr">
        <is>
          <t>STRPTMYCN AND ITS SLTS IN CPSLS INJCTNS ETC</t>
        </is>
      </c>
      <c r="E5051" s="3" t="n">
        <v>0</v>
      </c>
      <c r="F5051" s="3" t="n">
        <v>0</v>
      </c>
      <c r="G5051" s="3">
        <f>F5051-E5051</f>
        <v/>
      </c>
      <c r="H5051" s="4">
        <f>IF(E5051=0,"",F5051/E5051-1)</f>
        <v/>
      </c>
      <c r="I5051" t="inlineStr">
        <is>
          <t>Anti-infectives</t>
        </is>
      </c>
    </row>
    <row r="5052">
      <c r="A5052" t="inlineStr">
        <is>
          <t>Pharmaceuticals</t>
        </is>
      </c>
      <c r="B5052" t="inlineStr">
        <is>
          <t>30</t>
        </is>
      </c>
      <c r="C5052" t="inlineStr">
        <is>
          <t>30042042</t>
        </is>
      </c>
      <c r="D5052" t="inlineStr">
        <is>
          <t>OXYTETRACYCLINE</t>
        </is>
      </c>
      <c r="E5052" s="3" t="n">
        <v>0</v>
      </c>
      <c r="F5052" s="3" t="n">
        <v>0</v>
      </c>
      <c r="G5052" s="3">
        <f>F5052-E5052</f>
        <v/>
      </c>
      <c r="H5052" s="4">
        <f>IF(E5052=0,"",F5052/E5052-1)</f>
        <v/>
      </c>
      <c r="I5052" t="inlineStr">
        <is>
          <t>Anti-infectives</t>
        </is>
      </c>
    </row>
    <row r="5053">
      <c r="A5053" t="inlineStr">
        <is>
          <t>Pharmaceuticals</t>
        </is>
      </c>
      <c r="B5053" t="inlineStr">
        <is>
          <t>30</t>
        </is>
      </c>
      <c r="C5053" t="inlineStr">
        <is>
          <t>30042050</t>
        </is>
      </c>
      <c r="D5053" t="inlineStr">
        <is>
          <t>CHLORMPHENICOL CAPSULES, INJECTIONS ETC.</t>
        </is>
      </c>
      <c r="E5053" s="3" t="n">
        <v>0.02</v>
      </c>
      <c r="F5053" s="3" t="n">
        <v>0</v>
      </c>
      <c r="G5053" s="3">
        <f>F5053-E5053</f>
        <v/>
      </c>
      <c r="H5053" s="4">
        <f>IF(E5053=0,"",F5053/E5053-1)</f>
        <v/>
      </c>
      <c r="I5053" t="inlineStr">
        <is>
          <t>Anti-infectives</t>
        </is>
      </c>
    </row>
    <row r="5054">
      <c r="A5054" t="inlineStr">
        <is>
          <t>Pharmaceuticals</t>
        </is>
      </c>
      <c r="B5054" t="inlineStr">
        <is>
          <t>30</t>
        </is>
      </c>
      <c r="C5054" t="inlineStr">
        <is>
          <t>30042093</t>
        </is>
      </c>
      <c r="D5054" t="inlineStr">
        <is>
          <t>PYRAZINAMIDE</t>
        </is>
      </c>
      <c r="E5054" s="3" t="n">
        <v>0</v>
      </c>
      <c r="F5054" s="3" t="n">
        <v>0</v>
      </c>
      <c r="G5054" s="3">
        <f>F5054-E5054</f>
        <v/>
      </c>
      <c r="H5054" s="4">
        <f>IF(E5054=0,"",F5054/E5054-1)</f>
        <v/>
      </c>
      <c r="I5054" t="inlineStr">
        <is>
          <t>Anti-infectives</t>
        </is>
      </c>
    </row>
    <row r="5055">
      <c r="A5055" t="inlineStr">
        <is>
          <t>Pharmaceuticals</t>
        </is>
      </c>
      <c r="B5055" t="inlineStr">
        <is>
          <t>30</t>
        </is>
      </c>
      <c r="C5055" t="inlineStr">
        <is>
          <t>30043922</t>
        </is>
      </c>
      <c r="D5055" t="inlineStr">
        <is>
          <t>LUTEINISING HORMONE</t>
        </is>
      </c>
      <c r="E5055" s="3" t="n">
        <v>0.63</v>
      </c>
      <c r="F5055" s="3" t="n">
        <v>0</v>
      </c>
      <c r="G5055" s="3">
        <f>F5055-E5055</f>
        <v/>
      </c>
      <c r="H5055" s="4">
        <f>IF(E5055=0,"",F5055/E5055-1)</f>
        <v/>
      </c>
      <c r="I5055" t="inlineStr">
        <is>
          <t>Hormones &amp; insulin</t>
        </is>
      </c>
    </row>
    <row r="5056">
      <c r="A5056" t="inlineStr">
        <is>
          <t>Pharmaceuticals</t>
        </is>
      </c>
      <c r="B5056" t="inlineStr">
        <is>
          <t>30</t>
        </is>
      </c>
      <c r="C5056" t="inlineStr">
        <is>
          <t>30044300</t>
        </is>
      </c>
      <c r="D5056" t="inlineStr">
        <is>
          <t>CONTAINING NOREPHEDRINE OR ITS SALTS</t>
        </is>
      </c>
      <c r="E5056" s="3" t="n">
        <v>0</v>
      </c>
      <c r="F5056" s="3" t="n">
        <v>0</v>
      </c>
      <c r="G5056" s="3">
        <f>F5056-E5056</f>
        <v/>
      </c>
      <c r="H5056" s="4">
        <f>IF(E5056=0,"",F5056/E5056-1)</f>
        <v/>
      </c>
      <c r="I5056" t="inlineStr">
        <is>
          <t>Other formulations</t>
        </is>
      </c>
    </row>
    <row r="5057">
      <c r="A5057" t="inlineStr">
        <is>
          <t>Pharmaceuticals</t>
        </is>
      </c>
      <c r="B5057" t="inlineStr">
        <is>
          <t>30</t>
        </is>
      </c>
      <c r="C5057" t="inlineStr">
        <is>
          <t>30044920</t>
        </is>
      </c>
      <c r="D5057" t="inlineStr">
        <is>
          <t>CAFFEIN AND SALTS THEREOF</t>
        </is>
      </c>
      <c r="E5057" s="3" t="n">
        <v>0.24</v>
      </c>
      <c r="F5057" s="3" t="n">
        <v>0</v>
      </c>
      <c r="G5057" s="3">
        <f>F5057-E5057</f>
        <v/>
      </c>
      <c r="H5057" s="4">
        <f>IF(E5057=0,"",F5057/E5057-1)</f>
        <v/>
      </c>
      <c r="I5057" t="inlineStr">
        <is>
          <t>Other formulations</t>
        </is>
      </c>
    </row>
    <row r="5058">
      <c r="A5058" t="inlineStr">
        <is>
          <t>Pharmaceuticals</t>
        </is>
      </c>
      <c r="B5058" t="inlineStr">
        <is>
          <t>30</t>
        </is>
      </c>
      <c r="C5058" t="inlineStr">
        <is>
          <t>30044930</t>
        </is>
      </c>
      <c r="D5058" t="inlineStr">
        <is>
          <t>CODEINE AND DERIVATIVES, WITH OR WITHOUT EPHIDRINE HYDROCHLORIDE</t>
        </is>
      </c>
      <c r="E5058" s="3" t="n">
        <v>0</v>
      </c>
      <c r="F5058" s="3" t="n">
        <v>0</v>
      </c>
      <c r="G5058" s="3">
        <f>F5058-E5058</f>
        <v/>
      </c>
      <c r="H5058" s="4">
        <f>IF(E5058=0,"",F5058/E5058-1)</f>
        <v/>
      </c>
      <c r="I5058" t="inlineStr">
        <is>
          <t>Other formulations</t>
        </is>
      </c>
    </row>
    <row r="5059">
      <c r="A5059" t="inlineStr">
        <is>
          <t>Pharmaceuticals</t>
        </is>
      </c>
      <c r="B5059" t="inlineStr">
        <is>
          <t>30</t>
        </is>
      </c>
      <c r="C5059" t="inlineStr">
        <is>
          <t>30044950</t>
        </is>
      </c>
      <c r="D5059" t="inlineStr">
        <is>
          <t>PAPAVARINE HYDROCHLORIDE</t>
        </is>
      </c>
      <c r="E5059" s="3" t="n">
        <v>0</v>
      </c>
      <c r="F5059" s="3" t="n">
        <v>0</v>
      </c>
      <c r="G5059" s="3">
        <f>F5059-E5059</f>
        <v/>
      </c>
      <c r="H5059" s="4">
        <f>IF(E5059=0,"",F5059/E5059-1)</f>
        <v/>
      </c>
      <c r="I5059" t="inlineStr">
        <is>
          <t>Other formulations</t>
        </is>
      </c>
    </row>
    <row r="5060">
      <c r="A5060" t="inlineStr">
        <is>
          <t>Pharmaceuticals</t>
        </is>
      </c>
      <c r="B5060" t="inlineStr">
        <is>
          <t>30</t>
        </is>
      </c>
      <c r="C5060" t="inlineStr">
        <is>
          <t>30045032</t>
        </is>
      </c>
      <c r="D5060" t="inlineStr">
        <is>
          <t>PREPARATION OF VITAMIN B1AND B2ANDSALT THAEROF</t>
        </is>
      </c>
      <c r="E5060" s="3" t="n">
        <v>0</v>
      </c>
      <c r="F5060" s="3" t="n">
        <v>0</v>
      </c>
      <c r="G5060" s="3">
        <f>F5060-E5060</f>
        <v/>
      </c>
      <c r="H5060" s="4">
        <f>IF(E5060=0,"",F5060/E5060-1)</f>
        <v/>
      </c>
      <c r="I5060" t="inlineStr">
        <is>
          <t>Vitamins &amp; nutrition</t>
        </is>
      </c>
    </row>
    <row r="5061">
      <c r="A5061" t="inlineStr">
        <is>
          <t>Pharmaceuticals</t>
        </is>
      </c>
      <c r="B5061" t="inlineStr">
        <is>
          <t>30</t>
        </is>
      </c>
      <c r="C5061" t="inlineStr">
        <is>
          <t>30045037</t>
        </is>
      </c>
      <c r="D5061" t="inlineStr">
        <is>
          <t>VITAMIN E IN CAPS.TABS,SYRUP ETC</t>
        </is>
      </c>
      <c r="E5061" s="3" t="n">
        <v>0</v>
      </c>
      <c r="F5061" s="3" t="n">
        <v>0</v>
      </c>
      <c r="G5061" s="3">
        <f>F5061-E5061</f>
        <v/>
      </c>
      <c r="H5061" s="4">
        <f>IF(E5061=0,"",F5061/E5061-1)</f>
        <v/>
      </c>
      <c r="I5061" t="inlineStr">
        <is>
          <t>Vitamins &amp; nutrition</t>
        </is>
      </c>
    </row>
    <row r="5062">
      <c r="A5062" t="inlineStr">
        <is>
          <t>Pharmaceuticals</t>
        </is>
      </c>
      <c r="B5062" t="inlineStr">
        <is>
          <t>30</t>
        </is>
      </c>
      <c r="C5062" t="inlineStr">
        <is>
          <t>30049015</t>
        </is>
      </c>
      <c r="D5062" t="inlineStr">
        <is>
          <t>MEDICAMENTS OF BIO-CHEMIC SYSTEM</t>
        </is>
      </c>
      <c r="E5062" s="3" t="n">
        <v>0</v>
      </c>
      <c r="F5062" s="3" t="n">
        <v>0</v>
      </c>
      <c r="G5062" s="3">
        <f>F5062-E5062</f>
        <v/>
      </c>
      <c r="H5062" s="4">
        <f>IF(E5062=0,"",F5062/E5062-1)</f>
        <v/>
      </c>
      <c r="I5062" t="inlineStr">
        <is>
          <t>AYUSH (Ayurveda, Unani)</t>
        </is>
      </c>
    </row>
    <row r="5063">
      <c r="A5063" t="inlineStr">
        <is>
          <t>Pharmaceuticals</t>
        </is>
      </c>
      <c r="B5063" t="inlineStr">
        <is>
          <t>30</t>
        </is>
      </c>
      <c r="C5063" t="inlineStr">
        <is>
          <t>30049025</t>
        </is>
      </c>
      <c r="D5063" t="inlineStr">
        <is>
          <t>DILUXAMIDE FUROATE</t>
        </is>
      </c>
      <c r="E5063" s="3" t="n">
        <v>0</v>
      </c>
      <c r="F5063" s="3" t="n">
        <v>0</v>
      </c>
      <c r="G5063" s="3">
        <f>F5063-E5063</f>
        <v/>
      </c>
      <c r="H5063" s="4">
        <f>IF(E5063=0,"",F5063/E5063-1)</f>
        <v/>
      </c>
      <c r="I5063" t="inlineStr">
        <is>
          <t>Anti-infectives</t>
        </is>
      </c>
    </row>
    <row r="5064">
      <c r="A5064" t="inlineStr">
        <is>
          <t>Pharmaceuticals</t>
        </is>
      </c>
      <c r="B5064" t="inlineStr">
        <is>
          <t>30</t>
        </is>
      </c>
      <c r="C5064" t="inlineStr">
        <is>
          <t>30049033</t>
        </is>
      </c>
      <c r="D5064" t="inlineStr">
        <is>
          <t>CIMETIDINE, RANTIDINE, NIZATIDINE AND R ROXATIDINE</t>
        </is>
      </c>
      <c r="E5064" s="3" t="n">
        <v>0</v>
      </c>
      <c r="F5064" s="3" t="n">
        <v>0</v>
      </c>
      <c r="G5064" s="3">
        <f>F5064-E5064</f>
        <v/>
      </c>
      <c r="H5064" s="4">
        <f>IF(E5064=0,"",F5064/E5064-1)</f>
        <v/>
      </c>
      <c r="I5064" t="inlineStr">
        <is>
          <t>Gastro &amp; anti-allergy</t>
        </is>
      </c>
    </row>
    <row r="5065">
      <c r="A5065" t="inlineStr">
        <is>
          <t>Pharmaceuticals</t>
        </is>
      </c>
      <c r="B5065" t="inlineStr">
        <is>
          <t>30</t>
        </is>
      </c>
      <c r="C5065" t="inlineStr">
        <is>
          <t>30049055</t>
        </is>
      </c>
      <c r="D5065" t="inlineStr">
        <is>
          <t>DAPSONE (DDS), ACEDAPSONE (DADDS), SOLOPSONE AND CLOFAZIMINE</t>
        </is>
      </c>
      <c r="E5065" s="3" t="n">
        <v>0</v>
      </c>
      <c r="F5065" s="3" t="n">
        <v>0</v>
      </c>
      <c r="G5065" s="3">
        <f>F5065-E5065</f>
        <v/>
      </c>
      <c r="H5065" s="4">
        <f>IF(E5065=0,"",F5065/E5065-1)</f>
        <v/>
      </c>
      <c r="I5065" t="inlineStr">
        <is>
          <t>Anti-infectives</t>
        </is>
      </c>
    </row>
    <row r="5066">
      <c r="A5066" t="inlineStr">
        <is>
          <t>Pharmaceuticals</t>
        </is>
      </c>
      <c r="B5066" t="inlineStr">
        <is>
          <t>30</t>
        </is>
      </c>
      <c r="C5066" t="inlineStr">
        <is>
          <t>30049056</t>
        </is>
      </c>
      <c r="D5066" t="inlineStr">
        <is>
          <t>CHLOROQUINE, AMODIAQUINE, MEFLOQUINE, QUININE, CHLOROGUAMIDE, PYRIMETHAMINE</t>
        </is>
      </c>
      <c r="E5066" s="3" t="n">
        <v>0</v>
      </c>
      <c r="F5066" s="3" t="n">
        <v>0</v>
      </c>
      <c r="G5066" s="3">
        <f>F5066-E5066</f>
        <v/>
      </c>
      <c r="H5066" s="4">
        <f>IF(E5066=0,"",F5066/E5066-1)</f>
        <v/>
      </c>
      <c r="I5066" t="inlineStr">
        <is>
          <t>Anti-infectives</t>
        </is>
      </c>
    </row>
    <row r="5067">
      <c r="A5067" t="inlineStr">
        <is>
          <t>Pharmaceuticals</t>
        </is>
      </c>
      <c r="B5067" t="inlineStr">
        <is>
          <t>30</t>
        </is>
      </c>
      <c r="C5067" t="inlineStr">
        <is>
          <t>30049067</t>
        </is>
      </c>
      <c r="D5067" t="inlineStr">
        <is>
          <t>KETOROLAC, NIMESULIDE, NABUMETONE AND NEFOPAM</t>
        </is>
      </c>
      <c r="E5067" s="3" t="n">
        <v>0</v>
      </c>
      <c r="F5067" s="3" t="n">
        <v>0</v>
      </c>
      <c r="G5067" s="3">
        <f>F5067-E5067</f>
        <v/>
      </c>
      <c r="H5067" s="4">
        <f>IF(E5067=0,"",F5067/E5067-1)</f>
        <v/>
      </c>
      <c r="I5067" t="inlineStr">
        <is>
          <t>Pain &amp; inflammation</t>
        </is>
      </c>
    </row>
    <row r="5068">
      <c r="A5068" t="inlineStr">
        <is>
          <t>Pharmaceuticals</t>
        </is>
      </c>
      <c r="B5068" t="inlineStr">
        <is>
          <t>30</t>
        </is>
      </c>
      <c r="C5068" t="inlineStr">
        <is>
          <t>30049076</t>
        </is>
      </c>
      <c r="D5068" t="inlineStr">
        <is>
          <t>CLONIDINE, METHYLDOPA</t>
        </is>
      </c>
      <c r="E5068" s="3" t="n">
        <v>0</v>
      </c>
      <c r="F5068" s="3" t="n">
        <v>0</v>
      </c>
      <c r="G5068" s="3">
        <f>F5068-E5068</f>
        <v/>
      </c>
      <c r="H5068" s="4">
        <f>IF(E5068=0,"",F5068/E5068-1)</f>
        <v/>
      </c>
      <c r="I5068" t="inlineStr">
        <is>
          <t>Cardiovascular</t>
        </is>
      </c>
    </row>
    <row r="5069">
      <c r="A5069" t="inlineStr">
        <is>
          <t>Pharmaceuticals</t>
        </is>
      </c>
      <c r="B5069" t="inlineStr">
        <is>
          <t>30</t>
        </is>
      </c>
      <c r="C5069" t="inlineStr">
        <is>
          <t>30049083</t>
        </is>
      </c>
      <c r="D5069" t="inlineStr">
        <is>
          <t>SULPHA DRUGS NOT ELSEWHERE SPECIFIED</t>
        </is>
      </c>
      <c r="E5069" s="3" t="n">
        <v>0.12</v>
      </c>
      <c r="F5069" s="3" t="n">
        <v>0</v>
      </c>
      <c r="G5069" s="3">
        <f>F5069-E5069</f>
        <v/>
      </c>
      <c r="H5069" s="4">
        <f>IF(E5069=0,"",F5069/E5069-1)</f>
        <v/>
      </c>
      <c r="I5069" t="inlineStr">
        <is>
          <t>Other formulations</t>
        </is>
      </c>
    </row>
    <row r="5070">
      <c r="A5070" t="inlineStr">
        <is>
          <t>Pharmaceuticals</t>
        </is>
      </c>
      <c r="B5070" t="inlineStr">
        <is>
          <t>30</t>
        </is>
      </c>
      <c r="C5070" t="inlineStr">
        <is>
          <t>30049096</t>
        </is>
      </c>
      <c r="D5070" t="inlineStr">
        <is>
          <t>KETAMINE</t>
        </is>
      </c>
      <c r="E5070" s="3" t="n">
        <v>0.03</v>
      </c>
      <c r="F5070" s="3" t="n">
        <v>0</v>
      </c>
      <c r="G5070" s="3">
        <f>F5070-E5070</f>
        <v/>
      </c>
      <c r="H5070" s="4">
        <f>IF(E5070=0,"",F5070/E5070-1)</f>
        <v/>
      </c>
      <c r="I5070" t="inlineStr">
        <is>
          <t>Other formulations</t>
        </is>
      </c>
    </row>
    <row r="5071">
      <c r="A5071" t="inlineStr">
        <is>
          <t>Pharmaceuticals</t>
        </is>
      </c>
      <c r="B5071" t="inlineStr">
        <is>
          <t>30</t>
        </is>
      </c>
      <c r="C5071" t="inlineStr">
        <is>
          <t>30051010</t>
        </is>
      </c>
      <c r="D5071" t="inlineStr">
        <is>
          <t>ADHESIVE GAUZE BANDAGE</t>
        </is>
      </c>
      <c r="E5071" s="3" t="n">
        <v>0</v>
      </c>
      <c r="F5071" s="3" t="n">
        <v>0</v>
      </c>
      <c r="G5071" s="3">
        <f>F5071-E5071</f>
        <v/>
      </c>
      <c r="H5071" s="4">
        <f>IF(E5071=0,"",F5071/E5071-1)</f>
        <v/>
      </c>
      <c r="I5071" t="inlineStr">
        <is>
          <t>Dressings, kits &amp; other</t>
        </is>
      </c>
    </row>
    <row r="5072">
      <c r="A5072" t="inlineStr">
        <is>
          <t>Pharmaceuticals</t>
        </is>
      </c>
      <c r="B5072" t="inlineStr">
        <is>
          <t>30</t>
        </is>
      </c>
      <c r="C5072" t="inlineStr">
        <is>
          <t>30059020</t>
        </is>
      </c>
      <c r="D5072" t="inlineStr">
        <is>
          <t>POULTICE OF KAOLIN</t>
        </is>
      </c>
      <c r="E5072" s="3" t="n">
        <v>0</v>
      </c>
      <c r="F5072" s="3" t="n">
        <v>0</v>
      </c>
      <c r="G5072" s="3">
        <f>F5072-E5072</f>
        <v/>
      </c>
      <c r="H5072" s="4">
        <f>IF(E5072=0,"",F5072/E5072-1)</f>
        <v/>
      </c>
      <c r="I5072" t="inlineStr">
        <is>
          <t>Dressings, kits &amp; other</t>
        </is>
      </c>
    </row>
    <row r="5073">
      <c r="A5073" t="inlineStr">
        <is>
          <t>Pharmaceuticals</t>
        </is>
      </c>
      <c r="B5073" t="inlineStr">
        <is>
          <t>30</t>
        </is>
      </c>
      <c r="C5073" t="inlineStr">
        <is>
          <t>30059070</t>
        </is>
      </c>
      <c r="D5073" t="inlineStr">
        <is>
          <t>CORN REMOVERS AND CALLOUS REMOVERS</t>
        </is>
      </c>
      <c r="E5073" s="3" t="n">
        <v>0</v>
      </c>
      <c r="F5073" s="3" t="n">
        <v>0</v>
      </c>
      <c r="G5073" s="3">
        <f>F5073-E5073</f>
        <v/>
      </c>
      <c r="H5073" s="4">
        <f>IF(E5073=0,"",F5073/E5073-1)</f>
        <v/>
      </c>
      <c r="I5073" t="inlineStr">
        <is>
          <t>Dressings, kits &amp; other</t>
        </is>
      </c>
    </row>
    <row r="5074">
      <c r="A5074" t="inlineStr">
        <is>
          <t>Pharmaceuticals</t>
        </is>
      </c>
      <c r="B5074" t="inlineStr">
        <is>
          <t>30</t>
        </is>
      </c>
      <c r="C5074" t="inlineStr">
        <is>
          <t>30065000</t>
        </is>
      </c>
      <c r="D5074" t="inlineStr">
        <is>
          <t>FIRST-AID BOXES AND KITS</t>
        </is>
      </c>
      <c r="E5074" s="3" t="n">
        <v>0</v>
      </c>
      <c r="F5074" s="3" t="n">
        <v>0</v>
      </c>
      <c r="G5074" s="3">
        <f>F5074-E5074</f>
        <v/>
      </c>
      <c r="H5074" s="4">
        <f>IF(E5074=0,"",F5074/E5074-1)</f>
        <v/>
      </c>
      <c r="I5074" t="inlineStr">
        <is>
          <t>Dressings, kits &amp; other</t>
        </is>
      </c>
    </row>
    <row r="5075">
      <c r="A5075" s="6" t="inlineStr">
        <is>
          <t>Wood, paper &amp; printing  —  221 lines</t>
        </is>
      </c>
      <c r="B5075" s="6" t="inlineStr"/>
      <c r="C5075" s="6" t="inlineStr"/>
      <c r="D5075" s="6" t="inlineStr"/>
      <c r="E5075" s="7" t="n">
        <v>195.39</v>
      </c>
      <c r="F5075" s="7" t="n">
        <v>259.75</v>
      </c>
      <c r="G5075" s="7" t="n">
        <v>64.36</v>
      </c>
      <c r="H5075" s="8" t="n">
        <v>0.3293924970571676</v>
      </c>
      <c r="I5075" s="6" t="inlineStr"/>
    </row>
    <row r="5076">
      <c r="A5076" t="inlineStr">
        <is>
          <t>Wood, paper &amp; printing</t>
        </is>
      </c>
      <c r="B5076" t="inlineStr">
        <is>
          <t>48</t>
        </is>
      </c>
      <c r="C5076" t="inlineStr">
        <is>
          <t>48052400</t>
        </is>
      </c>
      <c r="D5076" t="inlineStr">
        <is>
          <t>TESTLINER(RECYCLED LINER BORD) OF WT&lt;=150 G/M2</t>
        </is>
      </c>
      <c r="E5076" s="3" t="n">
        <v>15.86</v>
      </c>
      <c r="F5076" s="3" t="n">
        <v>33.26</v>
      </c>
      <c r="G5076" s="3">
        <f>F5076-E5076</f>
        <v/>
      </c>
      <c r="H5076" s="4">
        <f>IF(E5076=0,"",F5076/E5076-1)</f>
        <v/>
      </c>
      <c r="I5076" t="inlineStr"/>
    </row>
    <row r="5077">
      <c r="A5077" t="inlineStr">
        <is>
          <t>Wood, paper &amp; printing</t>
        </is>
      </c>
      <c r="B5077" t="inlineStr">
        <is>
          <t>48</t>
        </is>
      </c>
      <c r="C5077" t="inlineStr">
        <is>
          <t>48051900</t>
        </is>
      </c>
      <c r="D5077" t="inlineStr">
        <is>
          <t>OTHER FLUTING PAPER</t>
        </is>
      </c>
      <c r="E5077" s="3" t="n">
        <v>14.87</v>
      </c>
      <c r="F5077" s="3" t="n">
        <v>21.66</v>
      </c>
      <c r="G5077" s="3">
        <f>F5077-E5077</f>
        <v/>
      </c>
      <c r="H5077" s="4">
        <f>IF(E5077=0,"",F5077/E5077-1)</f>
        <v/>
      </c>
      <c r="I5077" t="inlineStr"/>
    </row>
    <row r="5078">
      <c r="A5078" t="inlineStr">
        <is>
          <t>Wood, paper &amp; printing</t>
        </is>
      </c>
      <c r="B5078" t="inlineStr">
        <is>
          <t>44</t>
        </is>
      </c>
      <c r="C5078" t="inlineStr">
        <is>
          <t>44123990</t>
        </is>
      </c>
      <c r="D5078" t="inlineStr">
        <is>
          <t>OTHERS-OF-OTHER,WITH BOTH OUTER PLIES OF CONIFEROUS WOOD:</t>
        </is>
      </c>
      <c r="E5078" s="3" t="n">
        <v>31.14</v>
      </c>
      <c r="F5078" s="3" t="n">
        <v>21.12</v>
      </c>
      <c r="G5078" s="3">
        <f>F5078-E5078</f>
        <v/>
      </c>
      <c r="H5078" s="4">
        <f>IF(E5078=0,"",F5078/E5078-1)</f>
        <v/>
      </c>
      <c r="I5078" t="inlineStr"/>
    </row>
    <row r="5079">
      <c r="A5079" t="inlineStr">
        <is>
          <t>Wood, paper &amp; printing</t>
        </is>
      </c>
      <c r="B5079" t="inlineStr">
        <is>
          <t>48</t>
        </is>
      </c>
      <c r="C5079" t="inlineStr">
        <is>
          <t>48109200</t>
        </is>
      </c>
      <c r="D5079" t="inlineStr">
        <is>
          <t>MULTIPLY PAPR AND PAPRBORD</t>
        </is>
      </c>
      <c r="E5079" s="3" t="n">
        <v>5.64</v>
      </c>
      <c r="F5079" s="3" t="n">
        <v>16.66</v>
      </c>
      <c r="G5079" s="3">
        <f>F5079-E5079</f>
        <v/>
      </c>
      <c r="H5079" s="4">
        <f>IF(E5079=0,"",F5079/E5079-1)</f>
        <v/>
      </c>
      <c r="I5079" t="inlineStr"/>
    </row>
    <row r="5080">
      <c r="A5080" t="inlineStr">
        <is>
          <t>Wood, paper &amp; printing</t>
        </is>
      </c>
      <c r="B5080" t="inlineStr">
        <is>
          <t>49</t>
        </is>
      </c>
      <c r="C5080" t="inlineStr">
        <is>
          <t>49011010</t>
        </is>
      </c>
      <c r="D5080" t="inlineStr">
        <is>
          <t>PRINTED BOOKS</t>
        </is>
      </c>
      <c r="E5080" s="3" t="n">
        <v>13.03</v>
      </c>
      <c r="F5080" s="3" t="n">
        <v>16.49</v>
      </c>
      <c r="G5080" s="3">
        <f>F5080-E5080</f>
        <v/>
      </c>
      <c r="H5080" s="4">
        <f>IF(E5080=0,"",F5080/E5080-1)</f>
        <v/>
      </c>
      <c r="I5080" t="inlineStr"/>
    </row>
    <row r="5081">
      <c r="A5081" t="inlineStr">
        <is>
          <t>Wood, paper &amp; printing</t>
        </is>
      </c>
      <c r="B5081" t="inlineStr">
        <is>
          <t>48</t>
        </is>
      </c>
      <c r="C5081" t="inlineStr">
        <is>
          <t>48237090</t>
        </is>
      </c>
      <c r="D5081" t="inlineStr">
        <is>
          <t>OTHERS-OF-MOULDED OR PRESSED ARTICLES OF PAPRPULP</t>
        </is>
      </c>
      <c r="E5081" s="3" t="n">
        <v>4.84</v>
      </c>
      <c r="F5081" s="3" t="n">
        <v>16.09</v>
      </c>
      <c r="G5081" s="3">
        <f>F5081-E5081</f>
        <v/>
      </c>
      <c r="H5081" s="4">
        <f>IF(E5081=0,"",F5081/E5081-1)</f>
        <v/>
      </c>
      <c r="I5081" t="inlineStr"/>
    </row>
    <row r="5082">
      <c r="A5082" t="inlineStr">
        <is>
          <t>Wood, paper &amp; printing</t>
        </is>
      </c>
      <c r="B5082" t="inlineStr">
        <is>
          <t>48</t>
        </is>
      </c>
      <c r="C5082" t="inlineStr">
        <is>
          <t>48059200</t>
        </is>
      </c>
      <c r="D5082" t="inlineStr">
        <is>
          <t>OTHER UNCOATED PAPR AND PAPRBORD OF WT&lt; 150 G/M2 SUT &lt;225 G/M2</t>
        </is>
      </c>
      <c r="E5082" s="3" t="n">
        <v>0</v>
      </c>
      <c r="F5082" s="3" t="n">
        <v>10.19</v>
      </c>
      <c r="G5082" s="3">
        <f>F5082-E5082</f>
        <v/>
      </c>
      <c r="H5082" s="4">
        <f>IF(E5082=0,"",F5082/E5082-1)</f>
        <v/>
      </c>
      <c r="I5082" t="inlineStr"/>
    </row>
    <row r="5083">
      <c r="A5083" t="inlineStr">
        <is>
          <t>Wood, paper &amp; printing</t>
        </is>
      </c>
      <c r="B5083" t="inlineStr">
        <is>
          <t>48</t>
        </is>
      </c>
      <c r="C5083" t="inlineStr">
        <is>
          <t>48191090</t>
        </is>
      </c>
      <c r="D5083" t="inlineStr">
        <is>
          <t>CARTNSANDCASES OF CORRUGATED PAPRANDPAPRBRD</t>
        </is>
      </c>
      <c r="E5083" s="3" t="n">
        <v>6.5</v>
      </c>
      <c r="F5083" s="3" t="n">
        <v>8.15</v>
      </c>
      <c r="G5083" s="3">
        <f>F5083-E5083</f>
        <v/>
      </c>
      <c r="H5083" s="4">
        <f>IF(E5083=0,"",F5083/E5083-1)</f>
        <v/>
      </c>
      <c r="I5083" t="inlineStr"/>
    </row>
    <row r="5084">
      <c r="A5084" t="inlineStr">
        <is>
          <t>Wood, paper &amp; printing</t>
        </is>
      </c>
      <c r="B5084" t="inlineStr">
        <is>
          <t>48</t>
        </is>
      </c>
      <c r="C5084" t="inlineStr">
        <is>
          <t>48192090</t>
        </is>
      </c>
      <c r="D5084" t="inlineStr">
        <is>
          <t>FLONG CARTNSANDCASES OF NON-CRRGTD PAPRANDBRD</t>
        </is>
      </c>
      <c r="E5084" s="3" t="n">
        <v>7.73</v>
      </c>
      <c r="F5084" s="3" t="n">
        <v>6.81</v>
      </c>
      <c r="G5084" s="3">
        <f>F5084-E5084</f>
        <v/>
      </c>
      <c r="H5084" s="4">
        <f>IF(E5084=0,"",F5084/E5084-1)</f>
        <v/>
      </c>
      <c r="I5084" t="inlineStr"/>
    </row>
    <row r="5085">
      <c r="A5085" t="inlineStr">
        <is>
          <t>Wood, paper &amp; printing</t>
        </is>
      </c>
      <c r="B5085" t="inlineStr">
        <is>
          <t>48</t>
        </is>
      </c>
      <c r="C5085" t="inlineStr">
        <is>
          <t>48026290</t>
        </is>
      </c>
      <c r="D5085" t="inlineStr">
        <is>
          <t>OTHERS-OF-OTHR PAPR AND PAPRBORD IN SHEETS OF WHCH&gt;10%BY WT OF TOTL FBR CNTNT WITH ONE SIDE&lt;435 MM AND OTHER SIDE &lt;297 MM</t>
        </is>
      </c>
      <c r="E5085" s="3" t="n">
        <v>5.72</v>
      </c>
      <c r="F5085" s="3" t="n">
        <v>6.63</v>
      </c>
      <c r="G5085" s="3">
        <f>F5085-E5085</f>
        <v/>
      </c>
      <c r="H5085" s="4">
        <f>IF(E5085=0,"",F5085/E5085-1)</f>
        <v/>
      </c>
      <c r="I5085" t="inlineStr"/>
    </row>
    <row r="5086">
      <c r="A5086" t="inlineStr">
        <is>
          <t>Wood, paper &amp; printing</t>
        </is>
      </c>
      <c r="B5086" t="inlineStr">
        <is>
          <t>48</t>
        </is>
      </c>
      <c r="C5086" t="inlineStr">
        <is>
          <t>48052500</t>
        </is>
      </c>
      <c r="D5086" t="inlineStr">
        <is>
          <t>TESTLINER(RECYLED LINER BORD)OF WT&gt;250 G /M2</t>
        </is>
      </c>
      <c r="E5086" s="3" t="n">
        <v>1.86</v>
      </c>
      <c r="F5086" s="3" t="n">
        <v>6.06</v>
      </c>
      <c r="G5086" s="3">
        <f>F5086-E5086</f>
        <v/>
      </c>
      <c r="H5086" s="4">
        <f>IF(E5086=0,"",F5086/E5086-1)</f>
        <v/>
      </c>
      <c r="I5086" t="inlineStr"/>
    </row>
    <row r="5087">
      <c r="A5087" t="inlineStr">
        <is>
          <t>Wood, paper &amp; printing</t>
        </is>
      </c>
      <c r="B5087" t="inlineStr">
        <is>
          <t>48</t>
        </is>
      </c>
      <c r="C5087" t="inlineStr">
        <is>
          <t>48059300</t>
        </is>
      </c>
      <c r="D5087" t="inlineStr">
        <is>
          <t>OTHER UNCOATED PAPR AND PAPRBORD OF WT&gt;=225 G/M2</t>
        </is>
      </c>
      <c r="E5087" s="3" t="n">
        <v>1.99</v>
      </c>
      <c r="F5087" s="3" t="n">
        <v>5.94</v>
      </c>
      <c r="G5087" s="3">
        <f>F5087-E5087</f>
        <v/>
      </c>
      <c r="H5087" s="4">
        <f>IF(E5087=0,"",F5087/E5087-1)</f>
        <v/>
      </c>
      <c r="I5087" t="inlineStr"/>
    </row>
    <row r="5088">
      <c r="A5088" t="inlineStr">
        <is>
          <t>Wood, paper &amp; printing</t>
        </is>
      </c>
      <c r="B5088" t="inlineStr">
        <is>
          <t>48</t>
        </is>
      </c>
      <c r="C5088" t="inlineStr">
        <is>
          <t>48202000</t>
        </is>
      </c>
      <c r="D5088" t="inlineStr">
        <is>
          <t>EXERCESE BOOKS</t>
        </is>
      </c>
      <c r="E5088" s="3" t="n">
        <v>3</v>
      </c>
      <c r="F5088" s="3" t="n">
        <v>5.85</v>
      </c>
      <c r="G5088" s="3">
        <f>F5088-E5088</f>
        <v/>
      </c>
      <c r="H5088" s="4">
        <f>IF(E5088=0,"",F5088/E5088-1)</f>
        <v/>
      </c>
      <c r="I5088" t="inlineStr"/>
    </row>
    <row r="5089">
      <c r="A5089" t="inlineStr">
        <is>
          <t>Wood, paper &amp; printing</t>
        </is>
      </c>
      <c r="B5089" t="inlineStr">
        <is>
          <t>48</t>
        </is>
      </c>
      <c r="C5089" t="inlineStr">
        <is>
          <t>48239019</t>
        </is>
      </c>
      <c r="D5089" t="inlineStr">
        <is>
          <t>DECORATIVE LAMINATES</t>
        </is>
      </c>
      <c r="E5089" s="3" t="n">
        <v>4.81</v>
      </c>
      <c r="F5089" s="3" t="n">
        <v>5.29</v>
      </c>
      <c r="G5089" s="3">
        <f>F5089-E5089</f>
        <v/>
      </c>
      <c r="H5089" s="4">
        <f>IF(E5089=0,"",F5089/E5089-1)</f>
        <v/>
      </c>
      <c r="I5089" t="inlineStr"/>
    </row>
    <row r="5090">
      <c r="A5090" t="inlineStr">
        <is>
          <t>Wood, paper &amp; printing</t>
        </is>
      </c>
      <c r="B5090" t="inlineStr">
        <is>
          <t>48</t>
        </is>
      </c>
      <c r="C5090" t="inlineStr">
        <is>
          <t>48191010</t>
        </is>
      </c>
      <c r="D5090" t="inlineStr">
        <is>
          <t>BOXES OF CORRUGATED PAPER AND PAPER BOARD</t>
        </is>
      </c>
      <c r="E5090" s="3" t="n">
        <v>1.45</v>
      </c>
      <c r="F5090" s="3" t="n">
        <v>4.73</v>
      </c>
      <c r="G5090" s="3">
        <f>F5090-E5090</f>
        <v/>
      </c>
      <c r="H5090" s="4">
        <f>IF(E5090=0,"",F5090/E5090-1)</f>
        <v/>
      </c>
      <c r="I5090" t="inlineStr"/>
    </row>
    <row r="5091">
      <c r="A5091" t="inlineStr">
        <is>
          <t>Wood, paper &amp; printing</t>
        </is>
      </c>
      <c r="B5091" t="inlineStr">
        <is>
          <t>48</t>
        </is>
      </c>
      <c r="C5091" t="inlineStr">
        <is>
          <t>48192020</t>
        </is>
      </c>
      <c r="D5091" t="inlineStr">
        <is>
          <t>BOXES OF NON-CRRUGATED PAPER AND PAPERBOARD</t>
        </is>
      </c>
      <c r="E5091" s="3" t="n">
        <v>8.640000000000001</v>
      </c>
      <c r="F5091" s="3" t="n">
        <v>4.56</v>
      </c>
      <c r="G5091" s="3">
        <f>F5091-E5091</f>
        <v/>
      </c>
      <c r="H5091" s="4">
        <f>IF(E5091=0,"",F5091/E5091-1)</f>
        <v/>
      </c>
      <c r="I5091" t="inlineStr"/>
    </row>
    <row r="5092">
      <c r="A5092" t="inlineStr">
        <is>
          <t>Wood, paper &amp; printing</t>
        </is>
      </c>
      <c r="B5092" t="inlineStr">
        <is>
          <t>48</t>
        </is>
      </c>
      <c r="C5092" t="inlineStr">
        <is>
          <t>48030010</t>
        </is>
      </c>
      <c r="D5092" t="inlineStr">
        <is>
          <t>TISSUE PAPER FOR HOUSE HOLD/SANITARY PUR- PPOSE IN COMMERCIAL SIZEROOLS OF WIDTH&gt;=36 C.M.</t>
        </is>
      </c>
      <c r="E5092" s="3" t="n">
        <v>2.05</v>
      </c>
      <c r="F5092" s="3" t="n">
        <v>4.51</v>
      </c>
      <c r="G5092" s="3">
        <f>F5092-E5092</f>
        <v/>
      </c>
      <c r="H5092" s="4">
        <f>IF(E5092=0,"",F5092/E5092-1)</f>
        <v/>
      </c>
      <c r="I5092" t="inlineStr"/>
    </row>
    <row r="5093">
      <c r="A5093" t="inlineStr">
        <is>
          <t>Wood, paper &amp; printing</t>
        </is>
      </c>
      <c r="B5093" t="inlineStr">
        <is>
          <t>49</t>
        </is>
      </c>
      <c r="C5093" t="inlineStr">
        <is>
          <t>49011020</t>
        </is>
      </c>
      <c r="D5093" t="inlineStr">
        <is>
          <t>PAMPHLETS BOOKLETS BROCHURES LEAFLETS</t>
        </is>
      </c>
      <c r="E5093" s="3" t="n">
        <v>3.96</v>
      </c>
      <c r="F5093" s="3" t="n">
        <v>4.41</v>
      </c>
      <c r="G5093" s="3">
        <f>F5093-E5093</f>
        <v/>
      </c>
      <c r="H5093" s="4">
        <f>IF(E5093=0,"",F5093/E5093-1)</f>
        <v/>
      </c>
      <c r="I5093" t="inlineStr"/>
    </row>
    <row r="5094">
      <c r="A5094" t="inlineStr">
        <is>
          <t>Wood, paper &amp; printing</t>
        </is>
      </c>
      <c r="B5094" t="inlineStr">
        <is>
          <t>48</t>
        </is>
      </c>
      <c r="C5094" t="inlineStr">
        <is>
          <t>48026920</t>
        </is>
      </c>
      <c r="D5094" t="inlineStr">
        <is>
          <t>POSTER PAPER</t>
        </is>
      </c>
      <c r="E5094" s="3" t="n">
        <v>7.34</v>
      </c>
      <c r="F5094" s="3" t="n">
        <v>3.63</v>
      </c>
      <c r="G5094" s="3">
        <f>F5094-E5094</f>
        <v/>
      </c>
      <c r="H5094" s="4">
        <f>IF(E5094=0,"",F5094/E5094-1)</f>
        <v/>
      </c>
      <c r="I5094" t="inlineStr"/>
    </row>
    <row r="5095">
      <c r="A5095" t="inlineStr">
        <is>
          <t>Wood, paper &amp; printing</t>
        </is>
      </c>
      <c r="B5095" t="inlineStr">
        <is>
          <t>48</t>
        </is>
      </c>
      <c r="C5095" t="inlineStr">
        <is>
          <t>48025790</t>
        </is>
      </c>
      <c r="D5095" t="inlineStr">
        <is>
          <t>OTHER PAPER</t>
        </is>
      </c>
      <c r="E5095" s="3" t="n">
        <v>1.6</v>
      </c>
      <c r="F5095" s="3" t="n">
        <v>3.33</v>
      </c>
      <c r="G5095" s="3">
        <f>F5095-E5095</f>
        <v/>
      </c>
      <c r="H5095" s="4">
        <f>IF(E5095=0,"",F5095/E5095-1)</f>
        <v/>
      </c>
      <c r="I5095" t="inlineStr"/>
    </row>
    <row r="5096">
      <c r="A5096" t="inlineStr">
        <is>
          <t>Wood, paper &amp; printing</t>
        </is>
      </c>
      <c r="B5096" t="inlineStr">
        <is>
          <t>48</t>
        </is>
      </c>
      <c r="C5096" t="inlineStr">
        <is>
          <t>48026120</t>
        </is>
      </c>
      <c r="D5096" t="inlineStr">
        <is>
          <t>POSTER PAPER</t>
        </is>
      </c>
      <c r="E5096" s="3" t="n">
        <v>0.62</v>
      </c>
      <c r="F5096" s="3" t="n">
        <v>3.01</v>
      </c>
      <c r="G5096" s="3">
        <f>F5096-E5096</f>
        <v/>
      </c>
      <c r="H5096" s="4">
        <f>IF(E5096=0,"",F5096/E5096-1)</f>
        <v/>
      </c>
      <c r="I5096" t="inlineStr"/>
    </row>
    <row r="5097">
      <c r="A5097" t="inlineStr">
        <is>
          <t>Wood, paper &amp; printing</t>
        </is>
      </c>
      <c r="B5097" t="inlineStr">
        <is>
          <t>44</t>
        </is>
      </c>
      <c r="C5097" t="inlineStr">
        <is>
          <t>44119411</t>
        </is>
      </c>
      <c r="D5097" t="inlineStr">
        <is>
          <t>INSULATION BOARD</t>
        </is>
      </c>
      <c r="E5097" s="3" t="n">
        <v>2.58</v>
      </c>
      <c r="F5097" s="3" t="n">
        <v>2.95</v>
      </c>
      <c r="G5097" s="3">
        <f>F5097-E5097</f>
        <v/>
      </c>
      <c r="H5097" s="4">
        <f>IF(E5097=0,"",F5097/E5097-1)</f>
        <v/>
      </c>
      <c r="I5097" t="inlineStr"/>
    </row>
    <row r="5098">
      <c r="A5098" t="inlineStr">
        <is>
          <t>Wood, paper &amp; printing</t>
        </is>
      </c>
      <c r="B5098" t="inlineStr">
        <is>
          <t>48</t>
        </is>
      </c>
      <c r="C5098" t="inlineStr">
        <is>
          <t>48059100</t>
        </is>
      </c>
      <c r="D5098" t="inlineStr">
        <is>
          <t>OTHER UNCOATED PAPR AND PARPBORD OF WT&lt;=150 G/M2</t>
        </is>
      </c>
      <c r="E5098" s="3" t="n">
        <v>0.02</v>
      </c>
      <c r="F5098" s="3" t="n">
        <v>2.94</v>
      </c>
      <c r="G5098" s="3">
        <f>F5098-E5098</f>
        <v/>
      </c>
      <c r="H5098" s="4">
        <f>IF(E5098=0,"",F5098/E5098-1)</f>
        <v/>
      </c>
      <c r="I5098" t="inlineStr"/>
    </row>
    <row r="5099">
      <c r="A5099" t="inlineStr">
        <is>
          <t>Wood, paper &amp; printing</t>
        </is>
      </c>
      <c r="B5099" t="inlineStr">
        <is>
          <t>48</t>
        </is>
      </c>
      <c r="C5099" t="inlineStr">
        <is>
          <t>48193000</t>
        </is>
      </c>
      <c r="D5099" t="inlineStr">
        <is>
          <t>SACKS ,BAGS WIDTH OF BASE 40 CM AND ABOVE</t>
        </is>
      </c>
      <c r="E5099" s="3" t="n">
        <v>2.37</v>
      </c>
      <c r="F5099" s="3" t="n">
        <v>2.85</v>
      </c>
      <c r="G5099" s="3">
        <f>F5099-E5099</f>
        <v/>
      </c>
      <c r="H5099" s="4">
        <f>IF(E5099=0,"",F5099/E5099-1)</f>
        <v/>
      </c>
      <c r="I5099" t="inlineStr"/>
    </row>
    <row r="5100">
      <c r="A5100" t="inlineStr">
        <is>
          <t>Wood, paper &amp; printing</t>
        </is>
      </c>
      <c r="B5100" t="inlineStr">
        <is>
          <t>48</t>
        </is>
      </c>
      <c r="C5100" t="inlineStr">
        <is>
          <t>48025610</t>
        </is>
      </c>
      <c r="D5100" t="inlineStr">
        <is>
          <t>LITHO AND OFFSET PAPER</t>
        </is>
      </c>
      <c r="E5100" s="3" t="n">
        <v>1.43</v>
      </c>
      <c r="F5100" s="3" t="n">
        <v>2.24</v>
      </c>
      <c r="G5100" s="3">
        <f>F5100-E5100</f>
        <v/>
      </c>
      <c r="H5100" s="4">
        <f>IF(E5100=0,"",F5100/E5100-1)</f>
        <v/>
      </c>
      <c r="I5100" t="inlineStr"/>
    </row>
    <row r="5101">
      <c r="A5101" t="inlineStr">
        <is>
          <t>Wood, paper &amp; printing</t>
        </is>
      </c>
      <c r="B5101" t="inlineStr">
        <is>
          <t>44</t>
        </is>
      </c>
      <c r="C5101" t="inlineStr">
        <is>
          <t>44111400</t>
        </is>
      </c>
      <c r="D5101" t="inlineStr">
        <is>
          <t>OF A THICKNESS EXCEEDING 9MM</t>
        </is>
      </c>
      <c r="E5101" s="3" t="n">
        <v>0.03</v>
      </c>
      <c r="F5101" s="3" t="n">
        <v>2.22</v>
      </c>
      <c r="G5101" s="3">
        <f>F5101-E5101</f>
        <v/>
      </c>
      <c r="H5101" s="4">
        <f>IF(E5101=0,"",F5101/E5101-1)</f>
        <v/>
      </c>
      <c r="I5101" t="inlineStr"/>
    </row>
    <row r="5102">
      <c r="A5102" t="inlineStr">
        <is>
          <t>Wood, paper &amp; printing</t>
        </is>
      </c>
      <c r="B5102" t="inlineStr">
        <is>
          <t>48</t>
        </is>
      </c>
      <c r="C5102" t="inlineStr">
        <is>
          <t>48201010</t>
        </is>
      </c>
      <c r="D5102" t="inlineStr">
        <is>
          <t>REGISTERS ACCOUNT BOOKS</t>
        </is>
      </c>
      <c r="E5102" s="3" t="n">
        <v>0.02</v>
      </c>
      <c r="F5102" s="3" t="n">
        <v>1.88</v>
      </c>
      <c r="G5102" s="3">
        <f>F5102-E5102</f>
        <v/>
      </c>
      <c r="H5102" s="4">
        <f>IF(E5102=0,"",F5102/E5102-1)</f>
        <v/>
      </c>
      <c r="I5102" t="inlineStr"/>
    </row>
    <row r="5103">
      <c r="A5103" t="inlineStr">
        <is>
          <t>Wood, paper &amp; printing</t>
        </is>
      </c>
      <c r="B5103" t="inlineStr">
        <is>
          <t>45</t>
        </is>
      </c>
      <c r="C5103" t="inlineStr">
        <is>
          <t>45041010</t>
        </is>
      </c>
      <c r="D5103" t="inlineStr">
        <is>
          <t>SHEETS</t>
        </is>
      </c>
      <c r="E5103" s="3" t="n">
        <v>0.98</v>
      </c>
      <c r="F5103" s="3" t="n">
        <v>1.73</v>
      </c>
      <c r="G5103" s="3">
        <f>F5103-E5103</f>
        <v/>
      </c>
      <c r="H5103" s="4">
        <f>IF(E5103=0,"",F5103/E5103-1)</f>
        <v/>
      </c>
      <c r="I5103" t="inlineStr"/>
    </row>
    <row r="5104">
      <c r="A5104" t="inlineStr">
        <is>
          <t>Wood, paper &amp; printing</t>
        </is>
      </c>
      <c r="B5104" t="inlineStr">
        <is>
          <t>48</t>
        </is>
      </c>
      <c r="C5104" t="inlineStr">
        <is>
          <t>48239018</t>
        </is>
      </c>
      <c r="D5104" t="inlineStr">
        <is>
          <t>PRODUCT CONSISTINGS OF SHEETS OF PAPER/ RBORD, IMPREGNGTED,COTED OR COVERED WITH PLASTICS.</t>
        </is>
      </c>
      <c r="E5104" s="3" t="n">
        <v>0.61</v>
      </c>
      <c r="F5104" s="3" t="n">
        <v>1.7</v>
      </c>
      <c r="G5104" s="3">
        <f>F5104-E5104</f>
        <v/>
      </c>
      <c r="H5104" s="4">
        <f>IF(E5104=0,"",F5104/E5104-1)</f>
        <v/>
      </c>
      <c r="I5104" t="inlineStr"/>
    </row>
    <row r="5105">
      <c r="A5105" t="inlineStr">
        <is>
          <t>Wood, paper &amp; printing</t>
        </is>
      </c>
      <c r="B5105" t="inlineStr">
        <is>
          <t>48</t>
        </is>
      </c>
      <c r="C5105" t="inlineStr">
        <is>
          <t>48239090</t>
        </is>
      </c>
      <c r="D5105" t="inlineStr">
        <is>
          <t>OTHERS-OF-OTHRARTCLS OF PAPR PULP PAPRBORD CELULOSE WADNG OR WEBS OF CEL FIBRS</t>
        </is>
      </c>
      <c r="E5105" s="3" t="n">
        <v>0.47</v>
      </c>
      <c r="F5105" s="3" t="n">
        <v>1.7</v>
      </c>
      <c r="G5105" s="3">
        <f>F5105-E5105</f>
        <v/>
      </c>
      <c r="H5105" s="4">
        <f>IF(E5105=0,"",F5105/E5105-1)</f>
        <v/>
      </c>
      <c r="I5105" t="inlineStr"/>
    </row>
    <row r="5106">
      <c r="A5106" t="inlineStr">
        <is>
          <t>Wood, paper &amp; printing</t>
        </is>
      </c>
      <c r="B5106" t="inlineStr">
        <is>
          <t>48</t>
        </is>
      </c>
      <c r="C5106" t="inlineStr">
        <is>
          <t>48194000</t>
        </is>
      </c>
      <c r="D5106" t="inlineStr">
        <is>
          <t>OTHR SACKS AND BAGS INCLUDNG CONES</t>
        </is>
      </c>
      <c r="E5106" s="3" t="n">
        <v>3.18</v>
      </c>
      <c r="F5106" s="3" t="n">
        <v>1.61</v>
      </c>
      <c r="G5106" s="3">
        <f>F5106-E5106</f>
        <v/>
      </c>
      <c r="H5106" s="4">
        <f>IF(E5106=0,"",F5106/E5106-1)</f>
        <v/>
      </c>
      <c r="I5106" t="inlineStr"/>
    </row>
    <row r="5107">
      <c r="A5107" t="inlineStr">
        <is>
          <t>Wood, paper &amp; printing</t>
        </is>
      </c>
      <c r="B5107" t="inlineStr">
        <is>
          <t>48</t>
        </is>
      </c>
      <c r="C5107" t="inlineStr">
        <is>
          <t>48236900</t>
        </is>
      </c>
      <c r="D5107" t="inlineStr">
        <is>
          <t>OTHERS-OF-OTHERS-OF-OTHER PAPER, PAPERBOARD, CELLULOSE WADDING AND WEBS OF CELLULOSE FIBERS, CUT TO SIZE OR SHAPE; OTHER ARTIC</t>
        </is>
      </c>
      <c r="E5107" s="3" t="n">
        <v>2.82</v>
      </c>
      <c r="F5107" s="3" t="n">
        <v>1.41</v>
      </c>
      <c r="G5107" s="3">
        <f>F5107-E5107</f>
        <v/>
      </c>
      <c r="H5107" s="4">
        <f>IF(E5107=0,"",F5107/E5107-1)</f>
        <v/>
      </c>
      <c r="I5107" t="inlineStr"/>
    </row>
    <row r="5108">
      <c r="A5108" t="inlineStr">
        <is>
          <t>Wood, paper &amp; printing</t>
        </is>
      </c>
      <c r="B5108" t="inlineStr">
        <is>
          <t>48</t>
        </is>
      </c>
      <c r="C5108" t="inlineStr">
        <is>
          <t>48026990</t>
        </is>
      </c>
      <c r="D5108" t="inlineStr">
        <is>
          <t>OTHERS-OF-PAPER AND PAPERBOARD OTHER THAN ROLL/SHEETOFWHCH &gt;10% BY WT OF TOTL FBR CNTNT.</t>
        </is>
      </c>
      <c r="E5108" s="3" t="n">
        <v>0.02</v>
      </c>
      <c r="F5108" s="3" t="n">
        <v>1.37</v>
      </c>
      <c r="G5108" s="3">
        <f>F5108-E5108</f>
        <v/>
      </c>
      <c r="H5108" s="4">
        <f>IF(E5108=0,"",F5108/E5108-1)</f>
        <v/>
      </c>
      <c r="I5108" t="inlineStr"/>
    </row>
    <row r="5109">
      <c r="A5109" t="inlineStr">
        <is>
          <t>Wood, paper &amp; printing</t>
        </is>
      </c>
      <c r="B5109" t="inlineStr">
        <is>
          <t>48</t>
        </is>
      </c>
      <c r="C5109" t="inlineStr">
        <is>
          <t>48043100</t>
        </is>
      </c>
      <c r="D5109" t="inlineStr">
        <is>
          <t>OTHER CRAFT PAPER AND PAPERBOARD WEIGHING 150 G/M2 OR LESS UNBLEACHED</t>
        </is>
      </c>
      <c r="E5109" s="3" t="n">
        <v>0.19</v>
      </c>
      <c r="F5109" s="3" t="n">
        <v>1.33</v>
      </c>
      <c r="G5109" s="3">
        <f>F5109-E5109</f>
        <v/>
      </c>
      <c r="H5109" s="4">
        <f>IF(E5109=0,"",F5109/E5109-1)</f>
        <v/>
      </c>
      <c r="I5109" t="inlineStr"/>
    </row>
    <row r="5110">
      <c r="A5110" t="inlineStr">
        <is>
          <t>Wood, paper &amp; printing</t>
        </is>
      </c>
      <c r="B5110" t="inlineStr">
        <is>
          <t>48</t>
        </is>
      </c>
      <c r="C5110" t="inlineStr">
        <is>
          <t>48239013</t>
        </is>
      </c>
      <c r="D5110" t="inlineStr">
        <is>
          <t>PACKING AND WRAPPING PAPER</t>
        </is>
      </c>
      <c r="E5110" s="3" t="n">
        <v>0.73</v>
      </c>
      <c r="F5110" s="3" t="n">
        <v>1.25</v>
      </c>
      <c r="G5110" s="3">
        <f>F5110-E5110</f>
        <v/>
      </c>
      <c r="H5110" s="4">
        <f>IF(E5110=0,"",F5110/E5110-1)</f>
        <v/>
      </c>
      <c r="I5110" t="inlineStr"/>
    </row>
    <row r="5111">
      <c r="A5111" t="inlineStr">
        <is>
          <t>Wood, paper &amp; printing</t>
        </is>
      </c>
      <c r="B5111" t="inlineStr">
        <is>
          <t>48</t>
        </is>
      </c>
      <c r="C5111" t="inlineStr">
        <is>
          <t>48045100</t>
        </is>
      </c>
      <c r="D5111" t="inlineStr">
        <is>
          <t>KRFT PAPR/PAPRBORD WEING/225G/M2 UNBLCHD</t>
        </is>
      </c>
      <c r="E5111" s="3" t="n">
        <v>4.07</v>
      </c>
      <c r="F5111" s="3" t="n">
        <v>1.15</v>
      </c>
      <c r="G5111" s="3">
        <f>F5111-E5111</f>
        <v/>
      </c>
      <c r="H5111" s="4">
        <f>IF(E5111=0,"",F5111/E5111-1)</f>
        <v/>
      </c>
      <c r="I5111" t="inlineStr"/>
    </row>
    <row r="5112">
      <c r="A5112" t="inlineStr">
        <is>
          <t>Wood, paper &amp; printing</t>
        </is>
      </c>
      <c r="B5112" t="inlineStr">
        <is>
          <t>48</t>
        </is>
      </c>
      <c r="C5112" t="inlineStr">
        <is>
          <t>48061000</t>
        </is>
      </c>
      <c r="D5112" t="inlineStr">
        <is>
          <t>VEGETABLE PARCHMENT PAPER</t>
        </is>
      </c>
      <c r="E5112" s="3" t="n">
        <v>0.16</v>
      </c>
      <c r="F5112" s="3" t="n">
        <v>1.13</v>
      </c>
      <c r="G5112" s="3">
        <f>F5112-E5112</f>
        <v/>
      </c>
      <c r="H5112" s="4">
        <f>IF(E5112=0,"",F5112/E5112-1)</f>
        <v/>
      </c>
      <c r="I5112" t="inlineStr"/>
    </row>
    <row r="5113">
      <c r="A5113" t="inlineStr">
        <is>
          <t>Wood, paper &amp; printing</t>
        </is>
      </c>
      <c r="B5113" t="inlineStr">
        <is>
          <t>48</t>
        </is>
      </c>
      <c r="C5113" t="inlineStr">
        <is>
          <t>48109900</t>
        </is>
      </c>
      <c r="D5113" t="inlineStr">
        <is>
          <t>OTHR COATED PAPR AND PPRBRD (NOT MLTIPLY)</t>
        </is>
      </c>
      <c r="E5113" s="3" t="n">
        <v>0.79</v>
      </c>
      <c r="F5113" s="3" t="n">
        <v>1.12</v>
      </c>
      <c r="G5113" s="3">
        <f>F5113-E5113</f>
        <v/>
      </c>
      <c r="H5113" s="4">
        <f>IF(E5113=0,"",F5113/E5113-1)</f>
        <v/>
      </c>
      <c r="I5113" t="inlineStr"/>
    </row>
    <row r="5114">
      <c r="A5114" t="inlineStr">
        <is>
          <t>Wood, paper &amp; printing</t>
        </is>
      </c>
      <c r="B5114" t="inlineStr">
        <is>
          <t>48</t>
        </is>
      </c>
      <c r="C5114" t="inlineStr">
        <is>
          <t>48201090</t>
        </is>
      </c>
      <c r="D5114" t="inlineStr">
        <is>
          <t>OTHERS-OF-REGISTRS ACCT/NOTE/ORDR/RECPT BOOKS LETR/ MEMO PADS DIARIS AND SMLR ARTCLS OF PAPR</t>
        </is>
      </c>
      <c r="E5114" s="3" t="n">
        <v>2.6</v>
      </c>
      <c r="F5114" s="3" t="n">
        <v>1.08</v>
      </c>
      <c r="G5114" s="3">
        <f>F5114-E5114</f>
        <v/>
      </c>
      <c r="H5114" s="4">
        <f>IF(E5114=0,"",F5114/E5114-1)</f>
        <v/>
      </c>
      <c r="I5114" t="inlineStr"/>
    </row>
    <row r="5115">
      <c r="A5115" t="inlineStr">
        <is>
          <t>Wood, paper &amp; printing</t>
        </is>
      </c>
      <c r="B5115" t="inlineStr">
        <is>
          <t>48</t>
        </is>
      </c>
      <c r="C5115" t="inlineStr">
        <is>
          <t>48025690</t>
        </is>
      </c>
      <c r="D5115" t="inlineStr">
        <is>
          <t>OTHER PAPER</t>
        </is>
      </c>
      <c r="E5115" s="3" t="n">
        <v>0.77</v>
      </c>
      <c r="F5115" s="3" t="n">
        <v>0.9399999999999999</v>
      </c>
      <c r="G5115" s="3">
        <f>F5115-E5115</f>
        <v/>
      </c>
      <c r="H5115" s="4">
        <f>IF(E5115=0,"",F5115/E5115-1)</f>
        <v/>
      </c>
      <c r="I5115" t="inlineStr"/>
    </row>
    <row r="5116">
      <c r="A5116" t="inlineStr">
        <is>
          <t>Wood, paper &amp; printing</t>
        </is>
      </c>
      <c r="B5116" t="inlineStr">
        <is>
          <t>44</t>
        </is>
      </c>
      <c r="C5116" t="inlineStr">
        <is>
          <t>44123190</t>
        </is>
      </c>
      <c r="D5116" t="inlineStr">
        <is>
          <t>OTHERS-OF-PLYWOOD, VENEERED PANELS AND SIMILARLAMINATED WOODWITH AT LEAST ONE OUTER PLY OF TROPICAL WOOD</t>
        </is>
      </c>
      <c r="E5116" s="3" t="n">
        <v>3.31</v>
      </c>
      <c r="F5116" s="3" t="n">
        <v>0.83</v>
      </c>
      <c r="G5116" s="3">
        <f>F5116-E5116</f>
        <v/>
      </c>
      <c r="H5116" s="4">
        <f>IF(E5116=0,"",F5116/E5116-1)</f>
        <v/>
      </c>
      <c r="I5116" t="inlineStr"/>
    </row>
    <row r="5117">
      <c r="A5117" t="inlineStr">
        <is>
          <t>Wood, paper &amp; printing</t>
        </is>
      </c>
      <c r="B5117" t="inlineStr">
        <is>
          <t>49</t>
        </is>
      </c>
      <c r="C5117" t="inlineStr">
        <is>
          <t>49030020</t>
        </is>
      </c>
      <c r="D5117" t="inlineStr">
        <is>
          <t>CHILDRENS DRAWING OR COLORNG BOOKS</t>
        </is>
      </c>
      <c r="E5117" s="3" t="n">
        <v>0.33</v>
      </c>
      <c r="F5117" s="3" t="n">
        <v>0.82</v>
      </c>
      <c r="G5117" s="3">
        <f>F5117-E5117</f>
        <v/>
      </c>
      <c r="H5117" s="4">
        <f>IF(E5117=0,"",F5117/E5117-1)</f>
        <v/>
      </c>
      <c r="I5117" t="inlineStr"/>
    </row>
    <row r="5118">
      <c r="A5118" t="inlineStr">
        <is>
          <t>Wood, paper &amp; printing</t>
        </is>
      </c>
      <c r="B5118" t="inlineStr">
        <is>
          <t>49</t>
        </is>
      </c>
      <c r="C5118" t="inlineStr">
        <is>
          <t>49019900</t>
        </is>
      </c>
      <c r="D5118" t="inlineStr">
        <is>
          <t>OTHR PRINTD BOOKS ETC OF HD NO. 4901</t>
        </is>
      </c>
      <c r="E5118" s="3" t="n">
        <v>0.41</v>
      </c>
      <c r="F5118" s="3" t="n">
        <v>0.8</v>
      </c>
      <c r="G5118" s="3">
        <f>F5118-E5118</f>
        <v/>
      </c>
      <c r="H5118" s="4">
        <f>IF(E5118=0,"",F5118/E5118-1)</f>
        <v/>
      </c>
      <c r="I5118" t="inlineStr"/>
    </row>
    <row r="5119">
      <c r="A5119" t="inlineStr">
        <is>
          <t>Wood, paper &amp; printing</t>
        </is>
      </c>
      <c r="B5119" t="inlineStr">
        <is>
          <t>46</t>
        </is>
      </c>
      <c r="C5119" t="inlineStr">
        <is>
          <t>46019900</t>
        </is>
      </c>
      <c r="D5119" t="inlineStr">
        <is>
          <t>OTHR PLAITING MATERIALS (EXCL VEG MATERLS)</t>
        </is>
      </c>
      <c r="E5119" s="3" t="n">
        <v>1.25</v>
      </c>
      <c r="F5119" s="3" t="n">
        <v>0.75</v>
      </c>
      <c r="G5119" s="3">
        <f>F5119-E5119</f>
        <v/>
      </c>
      <c r="H5119" s="4">
        <f>IF(E5119=0,"",F5119/E5119-1)</f>
        <v/>
      </c>
      <c r="I5119" t="inlineStr"/>
    </row>
    <row r="5120">
      <c r="A5120" t="inlineStr">
        <is>
          <t>Wood, paper &amp; printing</t>
        </is>
      </c>
      <c r="B5120" t="inlineStr">
        <is>
          <t>48</t>
        </is>
      </c>
      <c r="C5120" t="inlineStr">
        <is>
          <t>48211010</t>
        </is>
      </c>
      <c r="D5120" t="inlineStr">
        <is>
          <t>PAPER TAG</t>
        </is>
      </c>
      <c r="E5120" s="3" t="n">
        <v>0.98</v>
      </c>
      <c r="F5120" s="3" t="n">
        <v>0.7</v>
      </c>
      <c r="G5120" s="3">
        <f>F5120-E5120</f>
        <v/>
      </c>
      <c r="H5120" s="4">
        <f>IF(E5120=0,"",F5120/E5120-1)</f>
        <v/>
      </c>
      <c r="I5120" t="inlineStr"/>
    </row>
    <row r="5121">
      <c r="A5121" t="inlineStr">
        <is>
          <t>Wood, paper &amp; printing</t>
        </is>
      </c>
      <c r="B5121" t="inlineStr">
        <is>
          <t>48</t>
        </is>
      </c>
      <c r="C5121" t="inlineStr">
        <is>
          <t>48051100</t>
        </is>
      </c>
      <c r="D5121" t="inlineStr">
        <is>
          <t>SEMI-CHEMICAL FLUTING PAPER</t>
        </is>
      </c>
      <c r="E5121" s="3" t="n">
        <v>0.95</v>
      </c>
      <c r="F5121" s="3" t="n">
        <v>0.66</v>
      </c>
      <c r="G5121" s="3">
        <f>F5121-E5121</f>
        <v/>
      </c>
      <c r="H5121" s="4">
        <f>IF(E5121=0,"",F5121/E5121-1)</f>
        <v/>
      </c>
      <c r="I5121" t="inlineStr"/>
    </row>
    <row r="5122">
      <c r="A5122" t="inlineStr">
        <is>
          <t>Wood, paper &amp; printing</t>
        </is>
      </c>
      <c r="B5122" t="inlineStr">
        <is>
          <t>48</t>
        </is>
      </c>
      <c r="C5122" t="inlineStr">
        <is>
          <t>48043900</t>
        </is>
      </c>
      <c r="D5122" t="inlineStr">
        <is>
          <t>OTHR CRFT PAPR AND PAPRBORD WGHNG&lt;=150G/M2</t>
        </is>
      </c>
      <c r="E5122" s="3" t="n">
        <v>0.36</v>
      </c>
      <c r="F5122" s="3" t="n">
        <v>0.63</v>
      </c>
      <c r="G5122" s="3">
        <f>F5122-E5122</f>
        <v/>
      </c>
      <c r="H5122" s="4">
        <f>IF(E5122=0,"",F5122/E5122-1)</f>
        <v/>
      </c>
      <c r="I5122" t="inlineStr"/>
    </row>
    <row r="5123">
      <c r="A5123" t="inlineStr">
        <is>
          <t>Wood, paper &amp; printing</t>
        </is>
      </c>
      <c r="B5123" t="inlineStr">
        <is>
          <t>44</t>
        </is>
      </c>
      <c r="C5123" t="inlineStr">
        <is>
          <t>44219990</t>
        </is>
      </c>
      <c r="D5123" t="inlineStr">
        <is>
          <t>OTHERS-OF-OTHERS-OF-OTHER ARTICLES OF WOOD</t>
        </is>
      </c>
      <c r="E5123" s="3" t="n">
        <v>0.5600000000000001</v>
      </c>
      <c r="F5123" s="3" t="n">
        <v>0.62</v>
      </c>
      <c r="G5123" s="3">
        <f>F5123-E5123</f>
        <v/>
      </c>
      <c r="H5123" s="4">
        <f>IF(E5123=0,"",F5123/E5123-1)</f>
        <v/>
      </c>
      <c r="I5123" t="inlineStr"/>
    </row>
    <row r="5124">
      <c r="A5124" t="inlineStr">
        <is>
          <t>Wood, paper &amp; printing</t>
        </is>
      </c>
      <c r="B5124" t="inlineStr">
        <is>
          <t>48</t>
        </is>
      </c>
      <c r="C5124" t="inlineStr">
        <is>
          <t>48119099</t>
        </is>
      </c>
      <c r="D5124" t="inlineStr">
        <is>
          <t>OTHERS-OF-OTHER PAPER, PAPERBOARD, CELLULOSE WADDING AND WEBS OF CELLULOSE FIBRES :</t>
        </is>
      </c>
      <c r="E5124" s="3" t="n">
        <v>1.26</v>
      </c>
      <c r="F5124" s="3" t="n">
        <v>0.62</v>
      </c>
      <c r="G5124" s="3">
        <f>F5124-E5124</f>
        <v/>
      </c>
      <c r="H5124" s="4">
        <f>IF(E5124=0,"",F5124/E5124-1)</f>
        <v/>
      </c>
      <c r="I5124" t="inlineStr"/>
    </row>
    <row r="5125">
      <c r="A5125" t="inlineStr">
        <is>
          <t>Wood, paper &amp; printing</t>
        </is>
      </c>
      <c r="B5125" t="inlineStr">
        <is>
          <t>48</t>
        </is>
      </c>
      <c r="C5125" t="inlineStr">
        <is>
          <t>48101990</t>
        </is>
      </c>
      <c r="D5125" t="inlineStr">
        <is>
          <t>OTHERS-OF-PAPR/PAPRBORD OTHER THAN ROLLS/SHEETS</t>
        </is>
      </c>
      <c r="E5125" s="3" t="n">
        <v>3.78</v>
      </c>
      <c r="F5125" s="3" t="n">
        <v>0.59</v>
      </c>
      <c r="G5125" s="3">
        <f>F5125-E5125</f>
        <v/>
      </c>
      <c r="H5125" s="4">
        <f>IF(E5125=0,"",F5125/E5125-1)</f>
        <v/>
      </c>
      <c r="I5125" t="inlineStr"/>
    </row>
    <row r="5126">
      <c r="A5126" t="inlineStr">
        <is>
          <t>Wood, paper &amp; printing</t>
        </is>
      </c>
      <c r="B5126" t="inlineStr">
        <is>
          <t>48</t>
        </is>
      </c>
      <c r="C5126" t="inlineStr">
        <is>
          <t>48119096</t>
        </is>
      </c>
      <c r="D5126" t="inlineStr">
        <is>
          <t>Thermal paper in rolls of size less than 1 m in width</t>
        </is>
      </c>
      <c r="E5126" s="3" t="n">
        <v>0.36</v>
      </c>
      <c r="F5126" s="3" t="n">
        <v>0.54</v>
      </c>
      <c r="G5126" s="3">
        <f>F5126-E5126</f>
        <v/>
      </c>
      <c r="H5126" s="4">
        <f>IF(E5126=0,"",F5126/E5126-1)</f>
        <v/>
      </c>
      <c r="I5126" t="inlineStr"/>
    </row>
    <row r="5127">
      <c r="A5127" t="inlineStr">
        <is>
          <t>Wood, paper &amp; printing</t>
        </is>
      </c>
      <c r="B5127" t="inlineStr">
        <is>
          <t>44</t>
        </is>
      </c>
      <c r="C5127" t="inlineStr">
        <is>
          <t>44184000</t>
        </is>
      </c>
      <c r="D5127" t="inlineStr">
        <is>
          <t>SHUTTERNG FOR CONCRETE CONSTRUCTIONAL WORK</t>
        </is>
      </c>
      <c r="E5127" s="3" t="n">
        <v>0</v>
      </c>
      <c r="F5127" s="3" t="n">
        <v>0.53</v>
      </c>
      <c r="G5127" s="3">
        <f>F5127-E5127</f>
        <v/>
      </c>
      <c r="H5127" s="4">
        <f>IF(E5127=0,"",F5127/E5127-1)</f>
        <v/>
      </c>
      <c r="I5127" t="inlineStr"/>
    </row>
    <row r="5128">
      <c r="A5128" t="inlineStr">
        <is>
          <t>Wood, paper &amp; printing</t>
        </is>
      </c>
      <c r="B5128" t="inlineStr">
        <is>
          <t>45</t>
        </is>
      </c>
      <c r="C5128" t="inlineStr">
        <is>
          <t>45041090</t>
        </is>
      </c>
      <c r="D5128" t="inlineStr">
        <is>
          <t>OTHERS-OF-BLOCKS PLTES SHEETS AND STRIP TILES OF ANYSHAPE SOLID CYLINDERS INCL DISCS</t>
        </is>
      </c>
      <c r="E5128" s="3" t="n">
        <v>0.8</v>
      </c>
      <c r="F5128" s="3" t="n">
        <v>0.53</v>
      </c>
      <c r="G5128" s="3">
        <f>F5128-E5128</f>
        <v/>
      </c>
      <c r="H5128" s="4">
        <f>IF(E5128=0,"",F5128/E5128-1)</f>
        <v/>
      </c>
      <c r="I5128" t="inlineStr"/>
    </row>
    <row r="5129">
      <c r="A5129" t="inlineStr">
        <is>
          <t>Wood, paper &amp; printing</t>
        </is>
      </c>
      <c r="B5129" t="inlineStr">
        <is>
          <t>48</t>
        </is>
      </c>
      <c r="C5129" t="inlineStr">
        <is>
          <t>48195090</t>
        </is>
      </c>
      <c r="D5129" t="inlineStr">
        <is>
          <t>OTHR PACKNS CONTNRS MADE OF OTHR MATERIALS</t>
        </is>
      </c>
      <c r="E5129" s="3" t="n">
        <v>0.22</v>
      </c>
      <c r="F5129" s="3" t="n">
        <v>0.53</v>
      </c>
      <c r="G5129" s="3">
        <f>F5129-E5129</f>
        <v/>
      </c>
      <c r="H5129" s="4">
        <f>IF(E5129=0,"",F5129/E5129-1)</f>
        <v/>
      </c>
      <c r="I5129" t="inlineStr"/>
    </row>
    <row r="5130">
      <c r="A5130" t="inlineStr">
        <is>
          <t>Wood, paper &amp; printing</t>
        </is>
      </c>
      <c r="B5130" t="inlineStr">
        <is>
          <t>48</t>
        </is>
      </c>
      <c r="C5130" t="inlineStr">
        <is>
          <t>48171000</t>
        </is>
      </c>
      <c r="D5130" t="inlineStr">
        <is>
          <t>ENVELOPES</t>
        </is>
      </c>
      <c r="E5130" s="3" t="n">
        <v>0.04</v>
      </c>
      <c r="F5130" s="3" t="n">
        <v>0.51</v>
      </c>
      <c r="G5130" s="3">
        <f>F5130-E5130</f>
        <v/>
      </c>
      <c r="H5130" s="4">
        <f>IF(E5130=0,"",F5130/E5130-1)</f>
        <v/>
      </c>
      <c r="I5130" t="inlineStr"/>
    </row>
    <row r="5131">
      <c r="A5131" t="inlineStr">
        <is>
          <t>Wood, paper &amp; printing</t>
        </is>
      </c>
      <c r="B5131" t="inlineStr">
        <is>
          <t>48</t>
        </is>
      </c>
      <c r="C5131" t="inlineStr">
        <is>
          <t>48209090</t>
        </is>
      </c>
      <c r="D5131" t="inlineStr">
        <is>
          <t>OTHERS-OF-OTHR ARTCLS OF STATIONARY OF PAPR/PAPRBORD</t>
        </is>
      </c>
      <c r="E5131" s="3" t="n">
        <v>0.05</v>
      </c>
      <c r="F5131" s="3" t="n">
        <v>0.5</v>
      </c>
      <c r="G5131" s="3">
        <f>F5131-E5131</f>
        <v/>
      </c>
      <c r="H5131" s="4">
        <f>IF(E5131=0,"",F5131/E5131-1)</f>
        <v/>
      </c>
      <c r="I5131" t="inlineStr"/>
    </row>
    <row r="5132">
      <c r="A5132" t="inlineStr">
        <is>
          <t>Wood, paper &amp; printing</t>
        </is>
      </c>
      <c r="B5132" t="inlineStr">
        <is>
          <t>48</t>
        </is>
      </c>
      <c r="C5132" t="inlineStr">
        <is>
          <t>48221000</t>
        </is>
      </c>
      <c r="D5132" t="inlineStr">
        <is>
          <t>BOBINS SPOOLS USD FORWINDNG TEXTL YARN</t>
        </is>
      </c>
      <c r="E5132" s="3" t="n">
        <v>0</v>
      </c>
      <c r="F5132" s="3" t="n">
        <v>0.5</v>
      </c>
      <c r="G5132" s="3">
        <f>F5132-E5132</f>
        <v/>
      </c>
      <c r="H5132" s="4">
        <f>IF(E5132=0,"",F5132/E5132-1)</f>
        <v/>
      </c>
      <c r="I5132" t="inlineStr"/>
    </row>
    <row r="5133">
      <c r="A5133" t="inlineStr">
        <is>
          <t>Wood, paper &amp; printing</t>
        </is>
      </c>
      <c r="B5133" t="inlineStr">
        <is>
          <t>48</t>
        </is>
      </c>
      <c r="C5133" t="inlineStr">
        <is>
          <t>48115990</t>
        </is>
      </c>
      <c r="D5133" t="inlineStr">
        <is>
          <t>OTHER PAPER, PAPERBOARD ETC. WEIGHING &gt; 150GM/SQM</t>
        </is>
      </c>
      <c r="E5133" s="3" t="n">
        <v>0.37</v>
      </c>
      <c r="F5133" s="3" t="n">
        <v>0.49</v>
      </c>
      <c r="G5133" s="3">
        <f>F5133-E5133</f>
        <v/>
      </c>
      <c r="H5133" s="4">
        <f>IF(E5133=0,"",F5133/E5133-1)</f>
        <v/>
      </c>
      <c r="I5133" t="inlineStr"/>
    </row>
    <row r="5134">
      <c r="A5134" t="inlineStr">
        <is>
          <t>Wood, paper &amp; printing</t>
        </is>
      </c>
      <c r="B5134" t="inlineStr">
        <is>
          <t>48</t>
        </is>
      </c>
      <c r="C5134" t="inlineStr">
        <is>
          <t>48211020</t>
        </is>
      </c>
      <c r="D5134" t="inlineStr">
        <is>
          <t>LABELS</t>
        </is>
      </c>
      <c r="E5134" s="3" t="n">
        <v>0.08</v>
      </c>
      <c r="F5134" s="3" t="n">
        <v>0.44</v>
      </c>
      <c r="G5134" s="3">
        <f>F5134-E5134</f>
        <v/>
      </c>
      <c r="H5134" s="4">
        <f>IF(E5134=0,"",F5134/E5134-1)</f>
        <v/>
      </c>
      <c r="I5134" t="inlineStr"/>
    </row>
    <row r="5135">
      <c r="A5135" t="inlineStr">
        <is>
          <t>Wood, paper &amp; printing</t>
        </is>
      </c>
      <c r="B5135" t="inlineStr">
        <is>
          <t>44</t>
        </is>
      </c>
      <c r="C5135" t="inlineStr">
        <is>
          <t>44182190</t>
        </is>
      </c>
      <c r="D5135" t="inlineStr">
        <is>
          <t>OTHER[OF TROPICAL WOOD:(DOORS AND THEIR FRAMES AND THRESHOLDS:)]</t>
        </is>
      </c>
      <c r="E5135" s="3" t="n">
        <v>1.02</v>
      </c>
      <c r="F5135" s="3" t="n">
        <v>0.42</v>
      </c>
      <c r="G5135" s="3">
        <f>F5135-E5135</f>
        <v/>
      </c>
      <c r="H5135" s="4">
        <f>IF(E5135=0,"",F5135/E5135-1)</f>
        <v/>
      </c>
      <c r="I5135" t="inlineStr"/>
    </row>
    <row r="5136">
      <c r="A5136" t="inlineStr">
        <is>
          <t>Wood, paper &amp; printing</t>
        </is>
      </c>
      <c r="B5136" t="inlineStr">
        <is>
          <t>44</t>
        </is>
      </c>
      <c r="C5136" t="inlineStr">
        <is>
          <t>44101190</t>
        </is>
      </c>
      <c r="D5136" t="inlineStr">
        <is>
          <t>OTHERS-OF-PARTICLE BOARD:</t>
        </is>
      </c>
      <c r="E5136" s="3" t="n">
        <v>0.18</v>
      </c>
      <c r="F5136" s="3" t="n">
        <v>0.38</v>
      </c>
      <c r="G5136" s="3">
        <f>F5136-E5136</f>
        <v/>
      </c>
      <c r="H5136" s="4">
        <f>IF(E5136=0,"",F5136/E5136-1)</f>
        <v/>
      </c>
      <c r="I5136" t="inlineStr"/>
    </row>
    <row r="5137">
      <c r="A5137" t="inlineStr">
        <is>
          <t>Wood, paper &amp; printing</t>
        </is>
      </c>
      <c r="B5137" t="inlineStr">
        <is>
          <t>48</t>
        </is>
      </c>
      <c r="C5137" t="inlineStr">
        <is>
          <t>48070090</t>
        </is>
      </c>
      <c r="D5137" t="inlineStr">
        <is>
          <t>OTHERS-OF-COMPOSITE PAPR/PAPRBORD (MADE BY STIKING WITH ADHESIV)NT SURFACE COTD/IMPREGNTEDW/NINTERNLY REINFORCED IN ROLS/SHEET</t>
        </is>
      </c>
      <c r="E5137" s="3" t="n">
        <v>0.2</v>
      </c>
      <c r="F5137" s="3" t="n">
        <v>0.36</v>
      </c>
      <c r="G5137" s="3">
        <f>F5137-E5137</f>
        <v/>
      </c>
      <c r="H5137" s="4">
        <f>IF(E5137=0,"",F5137/E5137-1)</f>
        <v/>
      </c>
      <c r="I5137" t="inlineStr"/>
    </row>
    <row r="5138">
      <c r="A5138" t="inlineStr">
        <is>
          <t>Wood, paper &amp; printing</t>
        </is>
      </c>
      <c r="B5138" t="inlineStr">
        <is>
          <t>48</t>
        </is>
      </c>
      <c r="C5138" t="inlineStr">
        <is>
          <t>48182000</t>
        </is>
      </c>
      <c r="D5138" t="inlineStr">
        <is>
          <t>HANDKERCHIPS,CLNG/FACIAL TISSU AND TOWELS</t>
        </is>
      </c>
      <c r="E5138" s="3" t="n">
        <v>0.22</v>
      </c>
      <c r="F5138" s="3" t="n">
        <v>0.34</v>
      </c>
      <c r="G5138" s="3">
        <f>F5138-E5138</f>
        <v/>
      </c>
      <c r="H5138" s="4">
        <f>IF(E5138=0,"",F5138/E5138-1)</f>
        <v/>
      </c>
      <c r="I5138" t="inlineStr"/>
    </row>
    <row r="5139">
      <c r="A5139" t="inlineStr">
        <is>
          <t>Wood, paper &amp; printing</t>
        </is>
      </c>
      <c r="B5139" t="inlineStr">
        <is>
          <t>48</t>
        </is>
      </c>
      <c r="C5139" t="inlineStr">
        <is>
          <t>48189000</t>
        </is>
      </c>
      <c r="D5139" t="inlineStr">
        <is>
          <t>OTHR ARTCLS OF PAPR,PAPR PLP,CLLS WDNG ETC</t>
        </is>
      </c>
      <c r="E5139" s="3" t="n">
        <v>0.36</v>
      </c>
      <c r="F5139" s="3" t="n">
        <v>0.32</v>
      </c>
      <c r="G5139" s="3">
        <f>F5139-E5139</f>
        <v/>
      </c>
      <c r="H5139" s="4">
        <f>IF(E5139=0,"",F5139/E5139-1)</f>
        <v/>
      </c>
      <c r="I5139" t="inlineStr"/>
    </row>
    <row r="5140">
      <c r="A5140" t="inlineStr">
        <is>
          <t>Wood, paper &amp; printing</t>
        </is>
      </c>
      <c r="B5140" t="inlineStr">
        <is>
          <t>48</t>
        </is>
      </c>
      <c r="C5140" t="inlineStr">
        <is>
          <t>48114100</t>
        </is>
      </c>
      <c r="D5140" t="inlineStr">
        <is>
          <t>SELF ADHESIVE PAPER AND PAPRBOARD</t>
        </is>
      </c>
      <c r="E5140" s="3" t="n">
        <v>1.31</v>
      </c>
      <c r="F5140" s="3" t="n">
        <v>0.3</v>
      </c>
      <c r="G5140" s="3">
        <f>F5140-E5140</f>
        <v/>
      </c>
      <c r="H5140" s="4">
        <f>IF(E5140=0,"",F5140/E5140-1)</f>
        <v/>
      </c>
      <c r="I5140" t="inlineStr"/>
    </row>
    <row r="5141">
      <c r="A5141" t="inlineStr">
        <is>
          <t>Wood, paper &amp; printing</t>
        </is>
      </c>
      <c r="B5141" t="inlineStr">
        <is>
          <t>44</t>
        </is>
      </c>
      <c r="C5141" t="inlineStr">
        <is>
          <t>44079990</t>
        </is>
      </c>
      <c r="D5141" t="inlineStr">
        <is>
          <t>OTHER TROPICAL WOODS SAWN AND CHIPPED</t>
        </is>
      </c>
      <c r="E5141" s="3" t="n">
        <v>0.18</v>
      </c>
      <c r="F5141" s="3" t="n">
        <v>0.29</v>
      </c>
      <c r="G5141" s="3">
        <f>F5141-E5141</f>
        <v/>
      </c>
      <c r="H5141" s="4">
        <f>IF(E5141=0,"",F5141/E5141-1)</f>
        <v/>
      </c>
      <c r="I5141" t="inlineStr"/>
    </row>
    <row r="5142">
      <c r="A5142" t="inlineStr">
        <is>
          <t>Wood, paper &amp; printing</t>
        </is>
      </c>
      <c r="B5142" t="inlineStr">
        <is>
          <t>44</t>
        </is>
      </c>
      <c r="C5142" t="inlineStr">
        <is>
          <t>44111300</t>
        </is>
      </c>
      <c r="D5142" t="inlineStr">
        <is>
          <t>OF A THICKNESS EXCEEDING 5MM BUT NOT EXCEEDING 9MM</t>
        </is>
      </c>
      <c r="E5142" s="3" t="n">
        <v>0.24</v>
      </c>
      <c r="F5142" s="3" t="n">
        <v>0.26</v>
      </c>
      <c r="G5142" s="3">
        <f>F5142-E5142</f>
        <v/>
      </c>
      <c r="H5142" s="4">
        <f>IF(E5142=0,"",F5142/E5142-1)</f>
        <v/>
      </c>
      <c r="I5142" t="inlineStr"/>
    </row>
    <row r="5143">
      <c r="A5143" t="inlineStr">
        <is>
          <t>Wood, paper &amp; printing</t>
        </is>
      </c>
      <c r="B5143" t="inlineStr">
        <is>
          <t>49</t>
        </is>
      </c>
      <c r="C5143" t="inlineStr">
        <is>
          <t>49100090</t>
        </is>
      </c>
      <c r="D5143" t="inlineStr">
        <is>
          <t>OTHER PRINTED CALNDAR</t>
        </is>
      </c>
      <c r="E5143" s="3" t="n">
        <v>0.32</v>
      </c>
      <c r="F5143" s="3" t="n">
        <v>0.25</v>
      </c>
      <c r="G5143" s="3">
        <f>F5143-E5143</f>
        <v/>
      </c>
      <c r="H5143" s="4">
        <f>IF(E5143=0,"",F5143/E5143-1)</f>
        <v/>
      </c>
      <c r="I5143" t="inlineStr"/>
    </row>
    <row r="5144">
      <c r="A5144" t="inlineStr">
        <is>
          <t>Wood, paper &amp; printing</t>
        </is>
      </c>
      <c r="B5144" t="inlineStr">
        <is>
          <t>49</t>
        </is>
      </c>
      <c r="C5144" t="inlineStr">
        <is>
          <t>49119990</t>
        </is>
      </c>
      <c r="D5144" t="inlineStr">
        <is>
          <t>OTHERS-OF-OTHER PRINTED MATERIALS</t>
        </is>
      </c>
      <c r="E5144" s="3" t="n">
        <v>0.15</v>
      </c>
      <c r="F5144" s="3" t="n">
        <v>0.25</v>
      </c>
      <c r="G5144" s="3">
        <f>F5144-E5144</f>
        <v/>
      </c>
      <c r="H5144" s="4">
        <f>IF(E5144=0,"",F5144/E5144-1)</f>
        <v/>
      </c>
      <c r="I5144" t="inlineStr"/>
    </row>
    <row r="5145">
      <c r="A5145" t="inlineStr">
        <is>
          <t>Wood, paper &amp; printing</t>
        </is>
      </c>
      <c r="B5145" t="inlineStr">
        <is>
          <t>44</t>
        </is>
      </c>
      <c r="C5145" t="inlineStr">
        <is>
          <t>44072500</t>
        </is>
      </c>
      <c r="D5145" t="inlineStr">
        <is>
          <t>MERANTI(DRK RD,LGHL RD AND BAKAU)</t>
        </is>
      </c>
      <c r="E5145" s="3" t="n">
        <v>0.62</v>
      </c>
      <c r="F5145" s="3" t="n">
        <v>0.24</v>
      </c>
      <c r="G5145" s="3">
        <f>F5145-E5145</f>
        <v/>
      </c>
      <c r="H5145" s="4">
        <f>IF(E5145=0,"",F5145/E5145-1)</f>
        <v/>
      </c>
      <c r="I5145" t="inlineStr"/>
    </row>
    <row r="5146">
      <c r="A5146" t="inlineStr">
        <is>
          <t>Wood, paper &amp; printing</t>
        </is>
      </c>
      <c r="B5146" t="inlineStr">
        <is>
          <t>46</t>
        </is>
      </c>
      <c r="C5146" t="inlineStr">
        <is>
          <t>46012900</t>
        </is>
      </c>
      <c r="D5146" t="inlineStr">
        <is>
          <t>OTHERS-OF-OTHERS-OF-PLNTS AND SMLR PRDCTS OF PLATNG MATRLS PLATSAND SMLR PRODCTS PLACD SIDE BY SIDE AND BOUND TOGETHER IN FORM</t>
        </is>
      </c>
      <c r="E5146" s="3" t="n">
        <v>0.5600000000000001</v>
      </c>
      <c r="F5146" s="3" t="n">
        <v>0.24</v>
      </c>
      <c r="G5146" s="3">
        <f>F5146-E5146</f>
        <v/>
      </c>
      <c r="H5146" s="4">
        <f>IF(E5146=0,"",F5146/E5146-1)</f>
        <v/>
      </c>
      <c r="I5146" t="inlineStr"/>
    </row>
    <row r="5147">
      <c r="A5147" t="inlineStr">
        <is>
          <t>Wood, paper &amp; printing</t>
        </is>
      </c>
      <c r="B5147" t="inlineStr">
        <is>
          <t>44</t>
        </is>
      </c>
      <c r="C5147" t="inlineStr">
        <is>
          <t>44209090</t>
        </is>
      </c>
      <c r="D5147" t="inlineStr">
        <is>
          <t>OTHERS-OF-WOOD MARQUETRY AND INLAID WOOD;CASKETSANDCASESFOR CULTRY AND OTHR SIMILAR ARTICLES OF WOOD</t>
        </is>
      </c>
      <c r="E5147" s="3" t="n">
        <v>0.25</v>
      </c>
      <c r="F5147" s="3" t="n">
        <v>0.23</v>
      </c>
      <c r="G5147" s="3">
        <f>F5147-E5147</f>
        <v/>
      </c>
      <c r="H5147" s="4">
        <f>IF(E5147=0,"",F5147/E5147-1)</f>
        <v/>
      </c>
      <c r="I5147" t="inlineStr"/>
    </row>
    <row r="5148">
      <c r="A5148" t="inlineStr">
        <is>
          <t>Wood, paper &amp; printing</t>
        </is>
      </c>
      <c r="B5148" t="inlineStr">
        <is>
          <t>44</t>
        </is>
      </c>
      <c r="C5148" t="inlineStr">
        <is>
          <t>44151000</t>
        </is>
      </c>
      <c r="D5148" t="inlineStr">
        <is>
          <t>CASES BOXES CRATES DRUMS AND SMLR PACKINGS CABLE-DURMS OF WOOD</t>
        </is>
      </c>
      <c r="E5148" s="3" t="n">
        <v>0.07000000000000001</v>
      </c>
      <c r="F5148" s="3" t="n">
        <v>0.21</v>
      </c>
      <c r="G5148" s="3">
        <f>F5148-E5148</f>
        <v/>
      </c>
      <c r="H5148" s="4">
        <f>IF(E5148=0,"",F5148/E5148-1)</f>
        <v/>
      </c>
      <c r="I5148" t="inlineStr"/>
    </row>
    <row r="5149">
      <c r="A5149" t="inlineStr">
        <is>
          <t>Wood, paper &amp; printing</t>
        </is>
      </c>
      <c r="B5149" t="inlineStr">
        <is>
          <t>48</t>
        </is>
      </c>
      <c r="C5149" t="inlineStr">
        <is>
          <t>48237010</t>
        </is>
      </c>
      <c r="D5149" t="inlineStr">
        <is>
          <t>PAPR PULP MOULDED TRAYS</t>
        </is>
      </c>
      <c r="E5149" s="3" t="n">
        <v>0.01</v>
      </c>
      <c r="F5149" s="3" t="n">
        <v>0.18</v>
      </c>
      <c r="G5149" s="3">
        <f>F5149-E5149</f>
        <v/>
      </c>
      <c r="H5149" s="4">
        <f>IF(E5149=0,"",F5149/E5149-1)</f>
        <v/>
      </c>
      <c r="I5149" t="inlineStr"/>
    </row>
    <row r="5150">
      <c r="A5150" t="inlineStr">
        <is>
          <t>Wood, paper &amp; printing</t>
        </is>
      </c>
      <c r="B5150" t="inlineStr">
        <is>
          <t>49</t>
        </is>
      </c>
      <c r="C5150" t="inlineStr">
        <is>
          <t>49111090</t>
        </is>
      </c>
      <c r="D5150" t="inlineStr">
        <is>
          <t>OTHR ADVRTSG MATTER PRINTED</t>
        </is>
      </c>
      <c r="E5150" s="3" t="n">
        <v>0.61</v>
      </c>
      <c r="F5150" s="3" t="n">
        <v>0.18</v>
      </c>
      <c r="G5150" s="3">
        <f>F5150-E5150</f>
        <v/>
      </c>
      <c r="H5150" s="4">
        <f>IF(E5150=0,"",F5150/E5150-1)</f>
        <v/>
      </c>
      <c r="I5150" t="inlineStr"/>
    </row>
    <row r="5151">
      <c r="A5151" t="inlineStr">
        <is>
          <t>Wood, paper &amp; printing</t>
        </is>
      </c>
      <c r="B5151" t="inlineStr">
        <is>
          <t>44</t>
        </is>
      </c>
      <c r="C5151" t="inlineStr">
        <is>
          <t>44119211</t>
        </is>
      </c>
      <c r="D5151" t="inlineStr">
        <is>
          <t>HARD BOARD</t>
        </is>
      </c>
      <c r="E5151" s="3" t="n">
        <v>0.48</v>
      </c>
      <c r="F5151" s="3" t="n">
        <v>0.17</v>
      </c>
      <c r="G5151" s="3">
        <f>F5151-E5151</f>
        <v/>
      </c>
      <c r="H5151" s="4">
        <f>IF(E5151=0,"",F5151/E5151-1)</f>
        <v/>
      </c>
      <c r="I5151" t="inlineStr"/>
    </row>
    <row r="5152">
      <c r="A5152" t="inlineStr">
        <is>
          <t>Wood, paper &amp; printing</t>
        </is>
      </c>
      <c r="B5152" t="inlineStr">
        <is>
          <t>44</t>
        </is>
      </c>
      <c r="C5152" t="inlineStr">
        <is>
          <t>44182110</t>
        </is>
      </c>
      <c r="D5152" t="inlineStr">
        <is>
          <t>FLUSH DOORS[OF TROPICAL WOOD:(DOORS AND THEIR FRAMES AND THRESHOLDS:)]</t>
        </is>
      </c>
      <c r="E5152" s="3" t="n">
        <v>0</v>
      </c>
      <c r="F5152" s="3" t="n">
        <v>0.15</v>
      </c>
      <c r="G5152" s="3">
        <f>F5152-E5152</f>
        <v/>
      </c>
      <c r="H5152" s="4">
        <f>IF(E5152=0,"",F5152/E5152-1)</f>
        <v/>
      </c>
      <c r="I5152" t="inlineStr"/>
    </row>
    <row r="5153">
      <c r="A5153" t="inlineStr">
        <is>
          <t>Wood, paper &amp; printing</t>
        </is>
      </c>
      <c r="B5153" t="inlineStr">
        <is>
          <t>44</t>
        </is>
      </c>
      <c r="C5153" t="inlineStr">
        <is>
          <t>44191900</t>
        </is>
      </c>
      <c r="D5153" t="inlineStr">
        <is>
          <t>OTHERS-OF-OTHERS-OF-TABLEWARE AND KITCHENWARE, OF WOOD</t>
        </is>
      </c>
      <c r="E5153" s="3" t="n">
        <v>0.06</v>
      </c>
      <c r="F5153" s="3" t="n">
        <v>0.15</v>
      </c>
      <c r="G5153" s="3">
        <f>F5153-E5153</f>
        <v/>
      </c>
      <c r="H5153" s="4">
        <f>IF(E5153=0,"",F5153/E5153-1)</f>
        <v/>
      </c>
      <c r="I5153" t="inlineStr"/>
    </row>
    <row r="5154">
      <c r="A5154" t="inlineStr">
        <is>
          <t>Wood, paper &amp; printing</t>
        </is>
      </c>
      <c r="B5154" t="inlineStr">
        <is>
          <t>44</t>
        </is>
      </c>
      <c r="C5154" t="inlineStr">
        <is>
          <t>44219160</t>
        </is>
      </c>
      <c r="D5154" t="inlineStr">
        <is>
          <t>PARTS OF DOMESTIC DECORATIVE ARTICLES USED AS TABLEWARE AND</t>
        </is>
      </c>
      <c r="E5154" s="3" t="n">
        <v>0.21</v>
      </c>
      <c r="F5154" s="3" t="n">
        <v>0.14</v>
      </c>
      <c r="G5154" s="3">
        <f>F5154-E5154</f>
        <v/>
      </c>
      <c r="H5154" s="4">
        <f>IF(E5154=0,"",F5154/E5154-1)</f>
        <v/>
      </c>
      <c r="I5154" t="inlineStr"/>
    </row>
    <row r="5155">
      <c r="A5155" t="inlineStr">
        <is>
          <t>Wood, paper &amp; printing</t>
        </is>
      </c>
      <c r="B5155" t="inlineStr">
        <is>
          <t>44</t>
        </is>
      </c>
      <c r="C5155" t="inlineStr">
        <is>
          <t>44219190</t>
        </is>
      </c>
      <c r="D5155" t="inlineStr">
        <is>
          <t>OTHERS-OF-OTHER ARTICLES EXCL CLOTH HANGERS OF BAMBOO:</t>
        </is>
      </c>
      <c r="E5155" s="3" t="n">
        <v>0.05</v>
      </c>
      <c r="F5155" s="3" t="n">
        <v>0.13</v>
      </c>
      <c r="G5155" s="3">
        <f>F5155-E5155</f>
        <v/>
      </c>
      <c r="H5155" s="4">
        <f>IF(E5155=0,"",F5155/E5155-1)</f>
        <v/>
      </c>
      <c r="I5155" t="inlineStr"/>
    </row>
    <row r="5156">
      <c r="A5156" t="inlineStr">
        <is>
          <t>Wood, paper &amp; printing</t>
        </is>
      </c>
      <c r="B5156" t="inlineStr">
        <is>
          <t>48</t>
        </is>
      </c>
      <c r="C5156" t="inlineStr">
        <is>
          <t>48203000</t>
        </is>
      </c>
      <c r="D5156" t="inlineStr">
        <is>
          <t>BINDERS FOLDERS AND FILE COVERS</t>
        </is>
      </c>
      <c r="E5156" s="3" t="n">
        <v>0.2</v>
      </c>
      <c r="F5156" s="3" t="n">
        <v>0.13</v>
      </c>
      <c r="G5156" s="3">
        <f>F5156-E5156</f>
        <v/>
      </c>
      <c r="H5156" s="4">
        <f>IF(E5156=0,"",F5156/E5156-1)</f>
        <v/>
      </c>
      <c r="I5156" t="inlineStr"/>
    </row>
    <row r="5157">
      <c r="A5157" t="inlineStr">
        <is>
          <t>Wood, paper &amp; printing</t>
        </is>
      </c>
      <c r="B5157" t="inlineStr">
        <is>
          <t>48</t>
        </is>
      </c>
      <c r="C5157" t="inlineStr">
        <is>
          <t>48089000</t>
        </is>
      </c>
      <c r="D5157" t="inlineStr">
        <is>
          <t>OTHER PAPER AND PAERBORD CORRUGATED</t>
        </is>
      </c>
      <c r="E5157" s="3" t="n">
        <v>0.01</v>
      </c>
      <c r="F5157" s="3" t="n">
        <v>0.12</v>
      </c>
      <c r="G5157" s="3">
        <f>F5157-E5157</f>
        <v/>
      </c>
      <c r="H5157" s="4">
        <f>IF(E5157=0,"",F5157/E5157-1)</f>
        <v/>
      </c>
      <c r="I5157" t="inlineStr"/>
    </row>
    <row r="5158">
      <c r="A5158" t="inlineStr">
        <is>
          <t>Wood, paper &amp; printing</t>
        </is>
      </c>
      <c r="B5158" t="inlineStr">
        <is>
          <t>48</t>
        </is>
      </c>
      <c r="C5158" t="inlineStr">
        <is>
          <t>48201020</t>
        </is>
      </c>
      <c r="D5158" t="inlineStr">
        <is>
          <t>LETTER PADS</t>
        </is>
      </c>
      <c r="E5158" s="3" t="n">
        <v>0.39</v>
      </c>
      <c r="F5158" s="3" t="n">
        <v>0.12</v>
      </c>
      <c r="G5158" s="3">
        <f>F5158-E5158</f>
        <v/>
      </c>
      <c r="H5158" s="4">
        <f>IF(E5158=0,"",F5158/E5158-1)</f>
        <v/>
      </c>
      <c r="I5158" t="inlineStr"/>
    </row>
    <row r="5159">
      <c r="A5159" t="inlineStr">
        <is>
          <t>Wood, paper &amp; printing</t>
        </is>
      </c>
      <c r="B5159" t="inlineStr">
        <is>
          <t>49</t>
        </is>
      </c>
      <c r="C5159" t="inlineStr">
        <is>
          <t>49100010</t>
        </is>
      </c>
      <c r="D5159" t="inlineStr">
        <is>
          <t>ADVERTISING CALNDAR</t>
        </is>
      </c>
      <c r="E5159" s="3" t="n">
        <v>0.25</v>
      </c>
      <c r="F5159" s="3" t="n">
        <v>0.12</v>
      </c>
      <c r="G5159" s="3">
        <f>F5159-E5159</f>
        <v/>
      </c>
      <c r="H5159" s="4">
        <f>IF(E5159=0,"",F5159/E5159-1)</f>
        <v/>
      </c>
      <c r="I5159" t="inlineStr"/>
    </row>
    <row r="5160">
      <c r="A5160" t="inlineStr">
        <is>
          <t>Wood, paper &amp; printing</t>
        </is>
      </c>
      <c r="B5160" t="inlineStr">
        <is>
          <t>44</t>
        </is>
      </c>
      <c r="C5160" t="inlineStr">
        <is>
          <t>44199090</t>
        </is>
      </c>
      <c r="D5160" t="inlineStr">
        <is>
          <t>OTHERS-OF-OTHERS-OF-TABLEWARE AND KITCHENWARE, OF WOOD</t>
        </is>
      </c>
      <c r="E5160" s="3" t="n">
        <v>0.21</v>
      </c>
      <c r="F5160" s="3" t="n">
        <v>0.11</v>
      </c>
      <c r="G5160" s="3">
        <f>F5160-E5160</f>
        <v/>
      </c>
      <c r="H5160" s="4">
        <f>IF(E5160=0,"",F5160/E5160-1)</f>
        <v/>
      </c>
      <c r="I5160" t="inlineStr"/>
    </row>
    <row r="5161">
      <c r="A5161" t="inlineStr">
        <is>
          <t>Wood, paper &amp; printing</t>
        </is>
      </c>
      <c r="B5161" t="inlineStr">
        <is>
          <t>46</t>
        </is>
      </c>
      <c r="C5161" t="inlineStr">
        <is>
          <t>46021990</t>
        </is>
      </c>
      <c r="D5161" t="inlineStr">
        <is>
          <t>OTHERS-OF-OTHERS-OF-BASKET/WICKER WORK AND OTHR ARTICLS MADE TO SHAPE FROM PLAITNG MATERLS OR FROM GOODSOF HDNG 4601 ARTCLS OF</t>
        </is>
      </c>
      <c r="E5161" s="3" t="n">
        <v>0.02</v>
      </c>
      <c r="F5161" s="3" t="n">
        <v>0.11</v>
      </c>
      <c r="G5161" s="3">
        <f>F5161-E5161</f>
        <v/>
      </c>
      <c r="H5161" s="4">
        <f>IF(E5161=0,"",F5161/E5161-1)</f>
        <v/>
      </c>
      <c r="I5161" t="inlineStr"/>
    </row>
    <row r="5162">
      <c r="A5162" t="inlineStr">
        <is>
          <t>Wood, paper &amp; printing</t>
        </is>
      </c>
      <c r="B5162" t="inlineStr">
        <is>
          <t>48</t>
        </is>
      </c>
      <c r="C5162" t="inlineStr">
        <is>
          <t>48042900</t>
        </is>
      </c>
      <c r="D5162" t="inlineStr">
        <is>
          <t>OTHER SACK KRAFT PAPER</t>
        </is>
      </c>
      <c r="E5162" s="3" t="n">
        <v>0.24</v>
      </c>
      <c r="F5162" s="3" t="n">
        <v>0.11</v>
      </c>
      <c r="G5162" s="3">
        <f>F5162-E5162</f>
        <v/>
      </c>
      <c r="H5162" s="4">
        <f>IF(E5162=0,"",F5162/E5162-1)</f>
        <v/>
      </c>
      <c r="I5162" t="inlineStr"/>
    </row>
    <row r="5163">
      <c r="A5163" t="inlineStr">
        <is>
          <t>Wood, paper &amp; printing</t>
        </is>
      </c>
      <c r="B5163" t="inlineStr">
        <is>
          <t>48</t>
        </is>
      </c>
      <c r="C5163" t="inlineStr">
        <is>
          <t>48062000</t>
        </is>
      </c>
      <c r="D5163" t="inlineStr">
        <is>
          <t>GREASEPROOF PAPERS</t>
        </is>
      </c>
      <c r="E5163" s="3" t="n">
        <v>0</v>
      </c>
      <c r="F5163" s="3" t="n">
        <v>0.09</v>
      </c>
      <c r="G5163" s="3">
        <f>F5163-E5163</f>
        <v/>
      </c>
      <c r="H5163" s="4">
        <f>IF(E5163=0,"",F5163/E5163-1)</f>
        <v/>
      </c>
      <c r="I5163" t="inlineStr"/>
    </row>
    <row r="5164">
      <c r="A5164" t="inlineStr">
        <is>
          <t>Wood, paper &amp; printing</t>
        </is>
      </c>
      <c r="B5164" t="inlineStr">
        <is>
          <t>48</t>
        </is>
      </c>
      <c r="C5164" t="inlineStr">
        <is>
          <t>48219090</t>
        </is>
      </c>
      <c r="D5164" t="inlineStr">
        <is>
          <t>OTHERS-OF-OTHER LABELS</t>
        </is>
      </c>
      <c r="E5164" s="3" t="n">
        <v>0.53</v>
      </c>
      <c r="F5164" s="3" t="n">
        <v>0.08</v>
      </c>
      <c r="G5164" s="3">
        <f>F5164-E5164</f>
        <v/>
      </c>
      <c r="H5164" s="4">
        <f>IF(E5164=0,"",F5164/E5164-1)</f>
        <v/>
      </c>
      <c r="I5164" t="inlineStr"/>
    </row>
    <row r="5165">
      <c r="A5165" t="inlineStr">
        <is>
          <t>Wood, paper &amp; printing</t>
        </is>
      </c>
      <c r="B5165" t="inlineStr">
        <is>
          <t>44</t>
        </is>
      </c>
      <c r="C5165" t="inlineStr">
        <is>
          <t>44091010</t>
        </is>
      </c>
      <c r="D5165" t="inlineStr">
        <is>
          <t>WOODEN PLANED/TONG VED/GROOVED/REBATE ETC BUT NOT MOULDED</t>
        </is>
      </c>
      <c r="E5165" s="3" t="n">
        <v>0</v>
      </c>
      <c r="F5165" s="3" t="n">
        <v>0.07000000000000001</v>
      </c>
      <c r="G5165" s="3">
        <f>F5165-E5165</f>
        <v/>
      </c>
      <c r="H5165" s="4">
        <f>IF(E5165=0,"",F5165/E5165-1)</f>
        <v/>
      </c>
      <c r="I5165" t="inlineStr"/>
    </row>
    <row r="5166">
      <c r="A5166" t="inlineStr">
        <is>
          <t>Wood, paper &amp; printing</t>
        </is>
      </c>
      <c r="B5166" t="inlineStr">
        <is>
          <t>44</t>
        </is>
      </c>
      <c r="C5166" t="inlineStr">
        <is>
          <t>44022010</t>
        </is>
      </c>
      <c r="D5166" t="inlineStr">
        <is>
          <t>OF COCONUT SHELL(OF SHELL OR NUT;)</t>
        </is>
      </c>
      <c r="E5166" s="3" t="n">
        <v>0.34</v>
      </c>
      <c r="F5166" s="3" t="n">
        <v>0.06</v>
      </c>
      <c r="G5166" s="3">
        <f>F5166-E5166</f>
        <v/>
      </c>
      <c r="H5166" s="4">
        <f>IF(E5166=0,"",F5166/E5166-1)</f>
        <v/>
      </c>
      <c r="I5166" t="inlineStr"/>
    </row>
    <row r="5167">
      <c r="A5167" t="inlineStr">
        <is>
          <t>Wood, paper &amp; printing</t>
        </is>
      </c>
      <c r="B5167" t="inlineStr">
        <is>
          <t>44</t>
        </is>
      </c>
      <c r="C5167" t="inlineStr">
        <is>
          <t>44182990</t>
        </is>
      </c>
      <c r="D5167" t="inlineStr">
        <is>
          <t>OTHER(OTHER)</t>
        </is>
      </c>
      <c r="E5167" s="3" t="n">
        <v>0.16</v>
      </c>
      <c r="F5167" s="3" t="n">
        <v>0.06</v>
      </c>
      <c r="G5167" s="3">
        <f>F5167-E5167</f>
        <v/>
      </c>
      <c r="H5167" s="4">
        <f>IF(E5167=0,"",F5167/E5167-1)</f>
        <v/>
      </c>
      <c r="I5167" t="inlineStr"/>
    </row>
    <row r="5168">
      <c r="A5168" t="inlineStr">
        <is>
          <t>Wood, paper &amp; printing</t>
        </is>
      </c>
      <c r="B5168" t="inlineStr">
        <is>
          <t>48</t>
        </is>
      </c>
      <c r="C5168" t="inlineStr">
        <is>
          <t>48114900</t>
        </is>
      </c>
      <c r="D5168" t="inlineStr">
        <is>
          <t>OTHR GUMMED OR ADHESIVE PAPR AND PAPRBORD</t>
        </is>
      </c>
      <c r="E5168" s="3" t="n">
        <v>0.01</v>
      </c>
      <c r="F5168" s="3" t="n">
        <v>0.06</v>
      </c>
      <c r="G5168" s="3">
        <f>F5168-E5168</f>
        <v/>
      </c>
      <c r="H5168" s="4">
        <f>IF(E5168=0,"",F5168/E5168-1)</f>
        <v/>
      </c>
      <c r="I5168" t="inlineStr"/>
    </row>
    <row r="5169">
      <c r="A5169" t="inlineStr">
        <is>
          <t>Wood, paper &amp; printing</t>
        </is>
      </c>
      <c r="B5169" t="inlineStr">
        <is>
          <t>48</t>
        </is>
      </c>
      <c r="C5169" t="inlineStr">
        <is>
          <t>48211090</t>
        </is>
      </c>
      <c r="D5169" t="inlineStr">
        <is>
          <t>OTHR PRNTD PAPER OR PAPERBOARD</t>
        </is>
      </c>
      <c r="E5169" s="3" t="n">
        <v>0.12</v>
      </c>
      <c r="F5169" s="3" t="n">
        <v>0.06</v>
      </c>
      <c r="G5169" s="3">
        <f>F5169-E5169</f>
        <v/>
      </c>
      <c r="H5169" s="4">
        <f>IF(E5169=0,"",F5169/E5169-1)</f>
        <v/>
      </c>
      <c r="I5169" t="inlineStr"/>
    </row>
    <row r="5170">
      <c r="A5170" t="inlineStr">
        <is>
          <t>Wood, paper &amp; printing</t>
        </is>
      </c>
      <c r="B5170" t="inlineStr">
        <is>
          <t>44</t>
        </is>
      </c>
      <c r="C5170" t="inlineStr">
        <is>
          <t>44149000</t>
        </is>
      </c>
      <c r="D5170" t="inlineStr">
        <is>
          <t>OTHERS-OF-OTHERS-OF-WOODEN FRAMES FOR PAINTINGS, PHOTOGRAPHS, MIRRORS OR SIMILAR OBJECTS</t>
        </is>
      </c>
      <c r="E5170" s="3" t="n">
        <v>0.02</v>
      </c>
      <c r="F5170" s="3" t="n">
        <v>0.05</v>
      </c>
      <c r="G5170" s="3">
        <f>F5170-E5170</f>
        <v/>
      </c>
      <c r="H5170" s="4">
        <f>IF(E5170=0,"",F5170/E5170-1)</f>
        <v/>
      </c>
      <c r="I5170" t="inlineStr"/>
    </row>
    <row r="5171">
      <c r="A5171" t="inlineStr">
        <is>
          <t>Wood, paper &amp; printing</t>
        </is>
      </c>
      <c r="B5171" t="inlineStr">
        <is>
          <t>49</t>
        </is>
      </c>
      <c r="C5171" t="inlineStr">
        <is>
          <t>49111010</t>
        </is>
      </c>
      <c r="D5171" t="inlineStr">
        <is>
          <t>POSTERS, PRINTED</t>
        </is>
      </c>
      <c r="E5171" s="3" t="n">
        <v>0.06</v>
      </c>
      <c r="F5171" s="3" t="n">
        <v>0.05</v>
      </c>
      <c r="G5171" s="3">
        <f>F5171-E5171</f>
        <v/>
      </c>
      <c r="H5171" s="4">
        <f>IF(E5171=0,"",F5171/E5171-1)</f>
        <v/>
      </c>
      <c r="I5171" t="inlineStr"/>
    </row>
    <row r="5172">
      <c r="A5172" t="inlineStr">
        <is>
          <t>Wood, paper &amp; printing</t>
        </is>
      </c>
      <c r="B5172" t="inlineStr">
        <is>
          <t>48</t>
        </is>
      </c>
      <c r="C5172" t="inlineStr">
        <is>
          <t>48232000</t>
        </is>
      </c>
      <c r="D5172" t="inlineStr">
        <is>
          <t>FILTER PAPER AND PAPERBOARD</t>
        </is>
      </c>
      <c r="E5172" s="3" t="n">
        <v>0.06</v>
      </c>
      <c r="F5172" s="3" t="n">
        <v>0.04</v>
      </c>
      <c r="G5172" s="3">
        <f>F5172-E5172</f>
        <v/>
      </c>
      <c r="H5172" s="4">
        <f>IF(E5172=0,"",F5172/E5172-1)</f>
        <v/>
      </c>
      <c r="I5172" t="inlineStr"/>
    </row>
    <row r="5173">
      <c r="A5173" t="inlineStr">
        <is>
          <t>Wood, paper &amp; printing</t>
        </is>
      </c>
      <c r="B5173" t="inlineStr">
        <is>
          <t>46</t>
        </is>
      </c>
      <c r="C5173" t="inlineStr">
        <is>
          <t>46029000</t>
        </is>
      </c>
      <c r="D5173" t="inlineStr">
        <is>
          <t>OTHERS-OF-OTHERS-OF-BASKET/WICKER WORK AND OTHR ARTICLS MADE TO SHAPE FROM PLAITNG MATERLS OR FROM GOODSOF HDNG 4601 ARTCLS OF</t>
        </is>
      </c>
      <c r="E5173" s="3" t="n">
        <v>0</v>
      </c>
      <c r="F5173" s="3" t="n">
        <v>0.03</v>
      </c>
      <c r="G5173" s="3">
        <f>F5173-E5173</f>
        <v/>
      </c>
      <c r="H5173" s="4">
        <f>IF(E5173=0,"",F5173/E5173-1)</f>
        <v/>
      </c>
      <c r="I5173" t="inlineStr"/>
    </row>
    <row r="5174">
      <c r="A5174" t="inlineStr">
        <is>
          <t>Wood, paper &amp; printing</t>
        </is>
      </c>
      <c r="B5174" t="inlineStr">
        <is>
          <t>48</t>
        </is>
      </c>
      <c r="C5174" t="inlineStr">
        <is>
          <t>48115910</t>
        </is>
      </c>
      <c r="D5174" t="inlineStr">
        <is>
          <t>ASEPTIC PACKAGING PAPER</t>
        </is>
      </c>
      <c r="E5174" s="3" t="n">
        <v>0.05</v>
      </c>
      <c r="F5174" s="3" t="n">
        <v>0.03</v>
      </c>
      <c r="G5174" s="3">
        <f>F5174-E5174</f>
        <v/>
      </c>
      <c r="H5174" s="4">
        <f>IF(E5174=0,"",F5174/E5174-1)</f>
        <v/>
      </c>
      <c r="I5174" t="inlineStr"/>
    </row>
    <row r="5175">
      <c r="A5175" t="inlineStr">
        <is>
          <t>Wood, paper &amp; printing</t>
        </is>
      </c>
      <c r="B5175" t="inlineStr">
        <is>
          <t>48</t>
        </is>
      </c>
      <c r="C5175" t="inlineStr">
        <is>
          <t>48116000</t>
        </is>
      </c>
      <c r="D5175" t="inlineStr">
        <is>
          <t>PAPER AND PAPERBOARD, COATED, IMPREGNATED OR COVERED WITH WAX, PARAFFIN WAX, STEARINE, OIL OR GLYCEROL</t>
        </is>
      </c>
      <c r="E5175" s="3" t="n">
        <v>0.02</v>
      </c>
      <c r="F5175" s="3" t="n">
        <v>0.03</v>
      </c>
      <c r="G5175" s="3">
        <f>F5175-E5175</f>
        <v/>
      </c>
      <c r="H5175" s="4">
        <f>IF(E5175=0,"",F5175/E5175-1)</f>
        <v/>
      </c>
      <c r="I5175" t="inlineStr"/>
    </row>
    <row r="5176">
      <c r="A5176" t="inlineStr">
        <is>
          <t>Wood, paper &amp; printing</t>
        </is>
      </c>
      <c r="B5176" t="inlineStr">
        <is>
          <t>48</t>
        </is>
      </c>
      <c r="C5176" t="inlineStr">
        <is>
          <t>48181000</t>
        </is>
      </c>
      <c r="D5176" t="inlineStr">
        <is>
          <t>TOILET PAPER</t>
        </is>
      </c>
      <c r="E5176" s="3" t="n">
        <v>0.03</v>
      </c>
      <c r="F5176" s="3" t="n">
        <v>0.03</v>
      </c>
      <c r="G5176" s="3">
        <f>F5176-E5176</f>
        <v/>
      </c>
      <c r="H5176" s="4">
        <f>IF(E5176=0,"",F5176/E5176-1)</f>
        <v/>
      </c>
      <c r="I5176" t="inlineStr"/>
    </row>
    <row r="5177">
      <c r="A5177" t="inlineStr">
        <is>
          <t>Wood, paper &amp; printing</t>
        </is>
      </c>
      <c r="B5177" t="inlineStr">
        <is>
          <t>44</t>
        </is>
      </c>
      <c r="C5177" t="inlineStr">
        <is>
          <t>44119429</t>
        </is>
      </c>
      <c r="D5177" t="inlineStr">
        <is>
          <t>OTHER BOARD</t>
        </is>
      </c>
      <c r="E5177" s="3" t="n">
        <v>0.21</v>
      </c>
      <c r="F5177" s="3" t="n">
        <v>0.02</v>
      </c>
      <c r="G5177" s="3">
        <f>F5177-E5177</f>
        <v/>
      </c>
      <c r="H5177" s="4">
        <f>IF(E5177=0,"",F5177/E5177-1)</f>
        <v/>
      </c>
      <c r="I5177" t="inlineStr"/>
    </row>
    <row r="5178">
      <c r="A5178" t="inlineStr">
        <is>
          <t>Wood, paper &amp; printing</t>
        </is>
      </c>
      <c r="B5178" t="inlineStr">
        <is>
          <t>47</t>
        </is>
      </c>
      <c r="C5178" t="inlineStr">
        <is>
          <t>47069100</t>
        </is>
      </c>
      <c r="D5178" t="inlineStr">
        <is>
          <t>OTHER MECHANICAL PULP</t>
        </is>
      </c>
      <c r="E5178" s="3" t="n">
        <v>0</v>
      </c>
      <c r="F5178" s="3" t="n">
        <v>0.02</v>
      </c>
      <c r="G5178" s="3">
        <f>F5178-E5178</f>
        <v/>
      </c>
      <c r="H5178" s="4">
        <f>IF(E5178=0,"",F5178/E5178-1)</f>
        <v/>
      </c>
      <c r="I5178" t="inlineStr"/>
    </row>
    <row r="5179">
      <c r="A5179" t="inlineStr">
        <is>
          <t>Wood, paper &amp; printing</t>
        </is>
      </c>
      <c r="B5179" t="inlineStr">
        <is>
          <t>48</t>
        </is>
      </c>
      <c r="C5179" t="inlineStr">
        <is>
          <t>48041900</t>
        </is>
      </c>
      <c r="D5179" t="inlineStr">
        <is>
          <t>OTHER KRAFT LINER</t>
        </is>
      </c>
      <c r="E5179" s="3" t="n">
        <v>0</v>
      </c>
      <c r="F5179" s="3" t="n">
        <v>0.02</v>
      </c>
      <c r="G5179" s="3">
        <f>F5179-E5179</f>
        <v/>
      </c>
      <c r="H5179" s="4">
        <f>IF(E5179=0,"",F5179/E5179-1)</f>
        <v/>
      </c>
      <c r="I5179" t="inlineStr"/>
    </row>
    <row r="5180">
      <c r="A5180" t="inlineStr">
        <is>
          <t>Wood, paper &amp; printing</t>
        </is>
      </c>
      <c r="B5180" t="inlineStr">
        <is>
          <t>48</t>
        </is>
      </c>
      <c r="C5180" t="inlineStr">
        <is>
          <t>48111000</t>
        </is>
      </c>
      <c r="D5180" t="inlineStr">
        <is>
          <t>TARD BITUMINISD/ASPHALTD PAPR AND PAPRBORD</t>
        </is>
      </c>
      <c r="E5180" s="3" t="n">
        <v>0</v>
      </c>
      <c r="F5180" s="3" t="n">
        <v>0.02</v>
      </c>
      <c r="G5180" s="3">
        <f>F5180-E5180</f>
        <v/>
      </c>
      <c r="H5180" s="4">
        <f>IF(E5180=0,"",F5180/E5180-1)</f>
        <v/>
      </c>
      <c r="I5180" t="inlineStr"/>
    </row>
    <row r="5181">
      <c r="A5181" t="inlineStr">
        <is>
          <t>Wood, paper &amp; printing</t>
        </is>
      </c>
      <c r="B5181" t="inlineStr">
        <is>
          <t>48</t>
        </is>
      </c>
      <c r="C5181" t="inlineStr">
        <is>
          <t>48115190</t>
        </is>
      </c>
      <c r="D5181" t="inlineStr">
        <is>
          <t>OTHER BLEACHED PAPER, PAPERBOARD ETC. WEIGHING &gt; 150GM/SQM</t>
        </is>
      </c>
      <c r="E5181" s="3" t="n">
        <v>0.02</v>
      </c>
      <c r="F5181" s="3" t="n">
        <v>0.02</v>
      </c>
      <c r="G5181" s="3">
        <f>F5181-E5181</f>
        <v/>
      </c>
      <c r="H5181" s="4">
        <f>IF(E5181=0,"",F5181/E5181-1)</f>
        <v/>
      </c>
      <c r="I5181" t="inlineStr"/>
    </row>
    <row r="5182">
      <c r="A5182" t="inlineStr">
        <is>
          <t>Wood, paper &amp; printing</t>
        </is>
      </c>
      <c r="B5182" t="inlineStr">
        <is>
          <t>48</t>
        </is>
      </c>
      <c r="C5182" t="inlineStr">
        <is>
          <t>48219010</t>
        </is>
      </c>
      <c r="D5182" t="inlineStr">
        <is>
          <t>LABELS</t>
        </is>
      </c>
      <c r="E5182" s="3" t="n">
        <v>0.03</v>
      </c>
      <c r="F5182" s="3" t="n">
        <v>0.02</v>
      </c>
      <c r="G5182" s="3">
        <f>F5182-E5182</f>
        <v/>
      </c>
      <c r="H5182" s="4">
        <f>IF(E5182=0,"",F5182/E5182-1)</f>
        <v/>
      </c>
      <c r="I5182" t="inlineStr"/>
    </row>
    <row r="5183">
      <c r="A5183" t="inlineStr">
        <is>
          <t>Wood, paper &amp; printing</t>
        </is>
      </c>
      <c r="B5183" t="inlineStr">
        <is>
          <t>48</t>
        </is>
      </c>
      <c r="C5183" t="inlineStr">
        <is>
          <t>48234000</t>
        </is>
      </c>
      <c r="D5183" t="inlineStr">
        <is>
          <t>PRNTD ROLS,SHTSANDDIALS FR SLFRCRDNG APRTS</t>
        </is>
      </c>
      <c r="E5183" s="3" t="n">
        <v>0.31</v>
      </c>
      <c r="F5183" s="3" t="n">
        <v>0.02</v>
      </c>
      <c r="G5183" s="3">
        <f>F5183-E5183</f>
        <v/>
      </c>
      <c r="H5183" s="4">
        <f>IF(E5183=0,"",F5183/E5183-1)</f>
        <v/>
      </c>
      <c r="I5183" t="inlineStr"/>
    </row>
    <row r="5184">
      <c r="A5184" t="inlineStr">
        <is>
          <t>Wood, paper &amp; printing</t>
        </is>
      </c>
      <c r="B5184" t="inlineStr">
        <is>
          <t>49</t>
        </is>
      </c>
      <c r="C5184" t="inlineStr">
        <is>
          <t>49029020</t>
        </is>
      </c>
      <c r="D5184" t="inlineStr">
        <is>
          <t>JOURNALS AND PERIODICALS</t>
        </is>
      </c>
      <c r="E5184" s="3" t="n">
        <v>0</v>
      </c>
      <c r="F5184" s="3" t="n">
        <v>0.02</v>
      </c>
      <c r="G5184" s="3">
        <f>F5184-E5184</f>
        <v/>
      </c>
      <c r="H5184" s="4">
        <f>IF(E5184=0,"",F5184/E5184-1)</f>
        <v/>
      </c>
      <c r="I5184" t="inlineStr"/>
    </row>
    <row r="5185">
      <c r="A5185" t="inlineStr">
        <is>
          <t>Wood, paper &amp; printing</t>
        </is>
      </c>
      <c r="B5185" t="inlineStr">
        <is>
          <t>49</t>
        </is>
      </c>
      <c r="C5185" t="inlineStr">
        <is>
          <t>49030010</t>
        </is>
      </c>
      <c r="D5185" t="inlineStr">
        <is>
          <t>CHILDRENS PICTURE BOOKS</t>
        </is>
      </c>
      <c r="E5185" s="3" t="n">
        <v>0.01</v>
      </c>
      <c r="F5185" s="3" t="n">
        <v>0.02</v>
      </c>
      <c r="G5185" s="3">
        <f>F5185-E5185</f>
        <v/>
      </c>
      <c r="H5185" s="4">
        <f>IF(E5185=0,"",F5185/E5185-1)</f>
        <v/>
      </c>
      <c r="I5185" t="inlineStr"/>
    </row>
    <row r="5186">
      <c r="A5186" t="inlineStr">
        <is>
          <t>Wood, paper &amp; printing</t>
        </is>
      </c>
      <c r="B5186" t="inlineStr">
        <is>
          <t>49</t>
        </is>
      </c>
      <c r="C5186" t="inlineStr">
        <is>
          <t>49081000</t>
        </is>
      </c>
      <c r="D5186" t="inlineStr">
        <is>
          <t>TRANSFERS(DECALCOMANIAS) VITRIFIABLE</t>
        </is>
      </c>
      <c r="E5186" s="3" t="n">
        <v>0.04</v>
      </c>
      <c r="F5186" s="3" t="n">
        <v>0.02</v>
      </c>
      <c r="G5186" s="3">
        <f>F5186-E5186</f>
        <v/>
      </c>
      <c r="H5186" s="4">
        <f>IF(E5186=0,"",F5186/E5186-1)</f>
        <v/>
      </c>
      <c r="I5186" t="inlineStr"/>
    </row>
    <row r="5187">
      <c r="A5187" t="inlineStr">
        <is>
          <t>Wood, paper &amp; printing</t>
        </is>
      </c>
      <c r="B5187" t="inlineStr">
        <is>
          <t>49</t>
        </is>
      </c>
      <c r="C5187" t="inlineStr">
        <is>
          <t>49111020</t>
        </is>
      </c>
      <c r="D5187" t="inlineStr">
        <is>
          <t>TRDE ADVRTSG MATERLS COMRCL CATALGE AND LIKE</t>
        </is>
      </c>
      <c r="E5187" s="3" t="n">
        <v>0.04</v>
      </c>
      <c r="F5187" s="3" t="n">
        <v>0.02</v>
      </c>
      <c r="G5187" s="3">
        <f>F5187-E5187</f>
        <v/>
      </c>
      <c r="H5187" s="4">
        <f>IF(E5187=0,"",F5187/E5187-1)</f>
        <v/>
      </c>
      <c r="I5187" t="inlineStr"/>
    </row>
    <row r="5188">
      <c r="A5188" t="inlineStr">
        <is>
          <t>Wood, paper &amp; printing</t>
        </is>
      </c>
      <c r="B5188" t="inlineStr">
        <is>
          <t>49</t>
        </is>
      </c>
      <c r="C5188" t="inlineStr">
        <is>
          <t>49119100</t>
        </is>
      </c>
      <c r="D5188" t="inlineStr">
        <is>
          <t>PICTURES DESIGNS AND PHOTOGRAPHS</t>
        </is>
      </c>
      <c r="E5188" s="3" t="n">
        <v>0.15</v>
      </c>
      <c r="F5188" s="3" t="n">
        <v>0.02</v>
      </c>
      <c r="G5188" s="3">
        <f>F5188-E5188</f>
        <v/>
      </c>
      <c r="H5188" s="4">
        <f>IF(E5188=0,"",F5188/E5188-1)</f>
        <v/>
      </c>
      <c r="I5188" t="inlineStr"/>
    </row>
    <row r="5189">
      <c r="A5189" t="inlineStr">
        <is>
          <t>Wood, paper &amp; printing</t>
        </is>
      </c>
      <c r="B5189" t="inlineStr">
        <is>
          <t>44</t>
        </is>
      </c>
      <c r="C5189" t="inlineStr">
        <is>
          <t>44119219</t>
        </is>
      </c>
      <c r="D5189" t="inlineStr">
        <is>
          <t>OTHER BOARD</t>
        </is>
      </c>
      <c r="E5189" s="3" t="n">
        <v>0</v>
      </c>
      <c r="F5189" s="3" t="n">
        <v>0.01</v>
      </c>
      <c r="G5189" s="3">
        <f>F5189-E5189</f>
        <v/>
      </c>
      <c r="H5189" s="4">
        <f>IF(E5189=0,"",F5189/E5189-1)</f>
        <v/>
      </c>
      <c r="I5189" t="inlineStr"/>
    </row>
    <row r="5190">
      <c r="A5190" t="inlineStr">
        <is>
          <t>Wood, paper &amp; printing</t>
        </is>
      </c>
      <c r="B5190" t="inlineStr">
        <is>
          <t>44</t>
        </is>
      </c>
      <c r="C5190" t="inlineStr">
        <is>
          <t>44129990</t>
        </is>
      </c>
      <c r="D5190" t="inlineStr">
        <is>
          <t>OTHERS-OF-OTHER ,WITH BOTH OUTER PLIES OF CONIFEROUS WOOD</t>
        </is>
      </c>
      <c r="E5190" s="3" t="n">
        <v>0.42</v>
      </c>
      <c r="F5190" s="3" t="n">
        <v>0.01</v>
      </c>
      <c r="G5190" s="3">
        <f>F5190-E5190</f>
        <v/>
      </c>
      <c r="H5190" s="4">
        <f>IF(E5190=0,"",F5190/E5190-1)</f>
        <v/>
      </c>
      <c r="I5190" t="inlineStr"/>
    </row>
    <row r="5191">
      <c r="A5191" t="inlineStr">
        <is>
          <t>Wood, paper &amp; printing</t>
        </is>
      </c>
      <c r="B5191" t="inlineStr">
        <is>
          <t>44</t>
        </is>
      </c>
      <c r="C5191" t="inlineStr">
        <is>
          <t>44130000</t>
        </is>
      </c>
      <c r="D5191" t="inlineStr">
        <is>
          <t>DENSIFIED WOOD IN BLOCKS PLATES STRIPS OR PROFILE SHAPES</t>
        </is>
      </c>
      <c r="E5191" s="3" t="n">
        <v>0</v>
      </c>
      <c r="F5191" s="3" t="n">
        <v>0.01</v>
      </c>
      <c r="G5191" s="3">
        <f>F5191-E5191</f>
        <v/>
      </c>
      <c r="H5191" s="4">
        <f>IF(E5191=0,"",F5191/E5191-1)</f>
        <v/>
      </c>
      <c r="I5191" t="inlineStr"/>
    </row>
    <row r="5192">
      <c r="A5192" t="inlineStr">
        <is>
          <t>Wood, paper &amp; printing</t>
        </is>
      </c>
      <c r="B5192" t="inlineStr">
        <is>
          <t>44</t>
        </is>
      </c>
      <c r="C5192" t="inlineStr">
        <is>
          <t>44152000</t>
        </is>
      </c>
      <c r="D5192" t="inlineStr">
        <is>
          <t>PALETS,PALETS(BOX,COLRS) AND OTHR LOAD BORDSOF WOOD</t>
        </is>
      </c>
      <c r="E5192" s="3" t="n">
        <v>0</v>
      </c>
      <c r="F5192" s="3" t="n">
        <v>0.01</v>
      </c>
      <c r="G5192" s="3">
        <f>F5192-E5192</f>
        <v/>
      </c>
      <c r="H5192" s="4">
        <f>IF(E5192=0,"",F5192/E5192-1)</f>
        <v/>
      </c>
      <c r="I5192" t="inlineStr"/>
    </row>
    <row r="5193">
      <c r="A5193" t="inlineStr">
        <is>
          <t>Wood, paper &amp; printing</t>
        </is>
      </c>
      <c r="B5193" t="inlineStr">
        <is>
          <t>44</t>
        </is>
      </c>
      <c r="C5193" t="inlineStr">
        <is>
          <t>44181900</t>
        </is>
      </c>
      <c r="D5193" t="inlineStr">
        <is>
          <t>OTHER(OTHER)</t>
        </is>
      </c>
      <c r="E5193" s="3" t="n">
        <v>0</v>
      </c>
      <c r="F5193" s="3" t="n">
        <v>0.01</v>
      </c>
      <c r="G5193" s="3">
        <f>F5193-E5193</f>
        <v/>
      </c>
      <c r="H5193" s="4">
        <f>IF(E5193=0,"",F5193/E5193-1)</f>
        <v/>
      </c>
      <c r="I5193" t="inlineStr"/>
    </row>
    <row r="5194">
      <c r="A5194" t="inlineStr">
        <is>
          <t>Wood, paper &amp; printing</t>
        </is>
      </c>
      <c r="B5194" t="inlineStr">
        <is>
          <t>44</t>
        </is>
      </c>
      <c r="C5194" t="inlineStr">
        <is>
          <t>44182120</t>
        </is>
      </c>
      <c r="D5194" t="inlineStr">
        <is>
          <t>FRAMES AND THRESHOLDS OF FLUSH DOORS[OF TROPICAL WOOD:(DOORS AND THEIR FRAMES AND THRESHOLDS:)]</t>
        </is>
      </c>
      <c r="E5194" s="3" t="n">
        <v>0</v>
      </c>
      <c r="F5194" s="3" t="n">
        <v>0.01</v>
      </c>
      <c r="G5194" s="3">
        <f>F5194-E5194</f>
        <v/>
      </c>
      <c r="H5194" s="4">
        <f>IF(E5194=0,"",F5194/E5194-1)</f>
        <v/>
      </c>
      <c r="I5194" t="inlineStr"/>
    </row>
    <row r="5195">
      <c r="A5195" t="inlineStr">
        <is>
          <t>Wood, paper &amp; printing</t>
        </is>
      </c>
      <c r="B5195" t="inlineStr">
        <is>
          <t>44</t>
        </is>
      </c>
      <c r="C5195" t="inlineStr">
        <is>
          <t>44182910</t>
        </is>
      </c>
      <c r="D5195" t="inlineStr">
        <is>
          <t>FLUSH DOORS(OTHER)</t>
        </is>
      </c>
      <c r="E5195" s="3" t="n">
        <v>0</v>
      </c>
      <c r="F5195" s="3" t="n">
        <v>0.01</v>
      </c>
      <c r="G5195" s="3">
        <f>F5195-E5195</f>
        <v/>
      </c>
      <c r="H5195" s="4">
        <f>IF(E5195=0,"",F5195/E5195-1)</f>
        <v/>
      </c>
      <c r="I5195" t="inlineStr"/>
    </row>
    <row r="5196">
      <c r="A5196" t="inlineStr">
        <is>
          <t>Wood, paper &amp; printing</t>
        </is>
      </c>
      <c r="B5196" t="inlineStr">
        <is>
          <t>44</t>
        </is>
      </c>
      <c r="C5196" t="inlineStr">
        <is>
          <t>44211000</t>
        </is>
      </c>
      <c r="D5196" t="inlineStr">
        <is>
          <t>CLOTHS HANGERS</t>
        </is>
      </c>
      <c r="E5196" s="3" t="n">
        <v>0.02</v>
      </c>
      <c r="F5196" s="3" t="n">
        <v>0.01</v>
      </c>
      <c r="G5196" s="3">
        <f>F5196-E5196</f>
        <v/>
      </c>
      <c r="H5196" s="4">
        <f>IF(E5196=0,"",F5196/E5196-1)</f>
        <v/>
      </c>
      <c r="I5196" t="inlineStr"/>
    </row>
    <row r="5197">
      <c r="A5197" t="inlineStr">
        <is>
          <t>Wood, paper &amp; printing</t>
        </is>
      </c>
      <c r="B5197" t="inlineStr">
        <is>
          <t>44</t>
        </is>
      </c>
      <c r="C5197" t="inlineStr">
        <is>
          <t>44212000</t>
        </is>
      </c>
      <c r="D5197" t="inlineStr">
        <is>
          <t>COFFINS</t>
        </is>
      </c>
      <c r="E5197" s="3" t="n">
        <v>0</v>
      </c>
      <c r="F5197" s="3" t="n">
        <v>0.01</v>
      </c>
      <c r="G5197" s="3">
        <f>F5197-E5197</f>
        <v/>
      </c>
      <c r="H5197" s="4">
        <f>IF(E5197=0,"",F5197/E5197-1)</f>
        <v/>
      </c>
      <c r="I5197" t="inlineStr"/>
    </row>
    <row r="5198">
      <c r="A5198" t="inlineStr">
        <is>
          <t>Wood, paper &amp; printing</t>
        </is>
      </c>
      <c r="B5198" t="inlineStr">
        <is>
          <t>45</t>
        </is>
      </c>
      <c r="C5198" t="inlineStr">
        <is>
          <t>45019000</t>
        </is>
      </c>
      <c r="D5198" t="inlineStr">
        <is>
          <t>OTHER NATURAL CORK</t>
        </is>
      </c>
      <c r="E5198" s="3" t="n">
        <v>0.02</v>
      </c>
      <c r="F5198" s="3" t="n">
        <v>0.01</v>
      </c>
      <c r="G5198" s="3">
        <f>F5198-E5198</f>
        <v/>
      </c>
      <c r="H5198" s="4">
        <f>IF(E5198=0,"",F5198/E5198-1)</f>
        <v/>
      </c>
      <c r="I5198" t="inlineStr"/>
    </row>
    <row r="5199">
      <c r="A5199" t="inlineStr">
        <is>
          <t>Wood, paper &amp; printing</t>
        </is>
      </c>
      <c r="B5199" t="inlineStr">
        <is>
          <t>48</t>
        </is>
      </c>
      <c r="C5199" t="inlineStr">
        <is>
          <t>48021010</t>
        </is>
      </c>
      <c r="D5199" t="inlineStr">
        <is>
          <t>HAND MADE PAPER</t>
        </is>
      </c>
      <c r="E5199" s="3" t="n">
        <v>0</v>
      </c>
      <c r="F5199" s="3" t="n">
        <v>0.01</v>
      </c>
      <c r="G5199" s="3">
        <f>F5199-E5199</f>
        <v/>
      </c>
      <c r="H5199" s="4">
        <f>IF(E5199=0,"",F5199/E5199-1)</f>
        <v/>
      </c>
      <c r="I5199" t="inlineStr"/>
    </row>
    <row r="5200">
      <c r="A5200" t="inlineStr">
        <is>
          <t>Wood, paper &amp; printing</t>
        </is>
      </c>
      <c r="B5200" t="inlineStr">
        <is>
          <t>48</t>
        </is>
      </c>
      <c r="C5200" t="inlineStr">
        <is>
          <t>48063000</t>
        </is>
      </c>
      <c r="D5200" t="inlineStr">
        <is>
          <t>TRACING PAPERS</t>
        </is>
      </c>
      <c r="E5200" s="3" t="n">
        <v>0</v>
      </c>
      <c r="F5200" s="3" t="n">
        <v>0.01</v>
      </c>
      <c r="G5200" s="3">
        <f>F5200-E5200</f>
        <v/>
      </c>
      <c r="H5200" s="4">
        <f>IF(E5200=0,"",F5200/E5200-1)</f>
        <v/>
      </c>
      <c r="I5200" t="inlineStr"/>
    </row>
    <row r="5201">
      <c r="A5201" t="inlineStr">
        <is>
          <t>Wood, paper &amp; printing</t>
        </is>
      </c>
      <c r="B5201" t="inlineStr">
        <is>
          <t>48</t>
        </is>
      </c>
      <c r="C5201" t="inlineStr">
        <is>
          <t>48081000</t>
        </is>
      </c>
      <c r="D5201" t="inlineStr">
        <is>
          <t>CORRUGATED PAPR/PAPRBORD W/N PERFORATED</t>
        </is>
      </c>
      <c r="E5201" s="3" t="n">
        <v>0</v>
      </c>
      <c r="F5201" s="3" t="n">
        <v>0.01</v>
      </c>
      <c r="G5201" s="3">
        <f>F5201-E5201</f>
        <v/>
      </c>
      <c r="H5201" s="4">
        <f>IF(E5201=0,"",F5201/E5201-1)</f>
        <v/>
      </c>
      <c r="I5201" t="inlineStr"/>
    </row>
    <row r="5202">
      <c r="A5202" t="inlineStr">
        <is>
          <t>Wood, paper &amp; printing</t>
        </is>
      </c>
      <c r="B5202" t="inlineStr">
        <is>
          <t>48</t>
        </is>
      </c>
      <c r="C5202" t="inlineStr">
        <is>
          <t>48084090</t>
        </is>
      </c>
      <c r="D5202" t="inlineStr">
        <is>
          <t>OTHER KRAFT PAPER, CREPED OR CRINKLED, WHETHER OR NOT EMBOSSED OR PERFORATED</t>
        </is>
      </c>
      <c r="E5202" s="3" t="n">
        <v>0</v>
      </c>
      <c r="F5202" s="3" t="n">
        <v>0.01</v>
      </c>
      <c r="G5202" s="3">
        <f>F5202-E5202</f>
        <v/>
      </c>
      <c r="H5202" s="4">
        <f>IF(E5202=0,"",F5202/E5202-1)</f>
        <v/>
      </c>
      <c r="I5202" t="inlineStr"/>
    </row>
    <row r="5203">
      <c r="A5203" t="inlineStr">
        <is>
          <t>Wood, paper &amp; printing</t>
        </is>
      </c>
      <c r="B5203" t="inlineStr">
        <is>
          <t>48</t>
        </is>
      </c>
      <c r="C5203" t="inlineStr">
        <is>
          <t>48101390</t>
        </is>
      </c>
      <c r="D5203" t="inlineStr">
        <is>
          <t>OTHERS-OF-PAPR PAPRBORD USED FOR WRITING ETC CONTNG FBR BY MECNL/CHEMI-MECNL PROSS NOT MORE THAN 10% BY WT OF TOTAL FBR IN ROL</t>
        </is>
      </c>
      <c r="E5203" s="3" t="n">
        <v>0.01</v>
      </c>
      <c r="F5203" s="3" t="n">
        <v>0.01</v>
      </c>
      <c r="G5203" s="3">
        <f>F5203-E5203</f>
        <v/>
      </c>
      <c r="H5203" s="4">
        <f>IF(E5203=0,"",F5203/E5203-1)</f>
        <v/>
      </c>
      <c r="I5203" t="inlineStr"/>
    </row>
    <row r="5204">
      <c r="A5204" t="inlineStr">
        <is>
          <t>Wood, paper &amp; printing</t>
        </is>
      </c>
      <c r="B5204" t="inlineStr">
        <is>
          <t>48</t>
        </is>
      </c>
      <c r="C5204" t="inlineStr">
        <is>
          <t>48101920</t>
        </is>
      </c>
      <c r="D5204" t="inlineStr">
        <is>
          <t>ART PAPER</t>
        </is>
      </c>
      <c r="E5204" s="3" t="n">
        <v>0.16</v>
      </c>
      <c r="F5204" s="3" t="n">
        <v>0.01</v>
      </c>
      <c r="G5204" s="3">
        <f>F5204-E5204</f>
        <v/>
      </c>
      <c r="H5204" s="4">
        <f>IF(E5204=0,"",F5204/E5204-1)</f>
        <v/>
      </c>
      <c r="I5204" t="inlineStr"/>
    </row>
    <row r="5205">
      <c r="A5205" t="inlineStr">
        <is>
          <t>Wood, paper &amp; printing</t>
        </is>
      </c>
      <c r="B5205" t="inlineStr">
        <is>
          <t>48</t>
        </is>
      </c>
      <c r="C5205" t="inlineStr">
        <is>
          <t>48169090</t>
        </is>
      </c>
      <c r="D5205" t="inlineStr">
        <is>
          <t>OTHERS-OF-OTHR COPYING ORTRANSFER PAPER</t>
        </is>
      </c>
      <c r="E5205" s="3" t="n">
        <v>0</v>
      </c>
      <c r="F5205" s="3" t="n">
        <v>0.01</v>
      </c>
      <c r="G5205" s="3">
        <f>F5205-E5205</f>
        <v/>
      </c>
      <c r="H5205" s="4">
        <f>IF(E5205=0,"",F5205/E5205-1)</f>
        <v/>
      </c>
      <c r="I5205" t="inlineStr"/>
    </row>
    <row r="5206">
      <c r="A5206" t="inlineStr">
        <is>
          <t>Wood, paper &amp; printing</t>
        </is>
      </c>
      <c r="B5206" t="inlineStr">
        <is>
          <t>48</t>
        </is>
      </c>
      <c r="C5206" t="inlineStr">
        <is>
          <t>48237030</t>
        </is>
      </c>
      <c r="D5206" t="inlineStr">
        <is>
          <t>ARTICLES OF PAPR MACHE OTHER THAN ARTWARE AND MOULDED/PRESSED OF WOOD PULP</t>
        </is>
      </c>
      <c r="E5206" s="3" t="n">
        <v>0.01</v>
      </c>
      <c r="F5206" s="3" t="n">
        <v>0.01</v>
      </c>
      <c r="G5206" s="3">
        <f>F5206-E5206</f>
        <v/>
      </c>
      <c r="H5206" s="4">
        <f>IF(E5206=0,"",F5206/E5206-1)</f>
        <v/>
      </c>
      <c r="I5206" t="inlineStr"/>
    </row>
    <row r="5207">
      <c r="A5207" t="inlineStr">
        <is>
          <t>Wood, paper &amp; printing</t>
        </is>
      </c>
      <c r="B5207" t="inlineStr">
        <is>
          <t>49</t>
        </is>
      </c>
      <c r="C5207" t="inlineStr">
        <is>
          <t>49059090</t>
        </is>
      </c>
      <c r="D5207" t="inlineStr">
        <is>
          <t>OTHERS-OF-OTHERS-OF-MAPS AND HYDROGRAPHIC OR SIMILAR CHARTS OF ALL KINDS, INCLUDING ATLASES, WALL MAPS, TOPOGRAPHICAL PLANS AN</t>
        </is>
      </c>
      <c r="E5207" s="3" t="n">
        <v>0</v>
      </c>
      <c r="F5207" s="3" t="n">
        <v>0.01</v>
      </c>
      <c r="G5207" s="3">
        <f>F5207-E5207</f>
        <v/>
      </c>
      <c r="H5207" s="4">
        <f>IF(E5207=0,"",F5207/E5207-1)</f>
        <v/>
      </c>
      <c r="I5207" t="inlineStr"/>
    </row>
    <row r="5208">
      <c r="A5208" t="inlineStr">
        <is>
          <t>Wood, paper &amp; printing</t>
        </is>
      </c>
      <c r="B5208" t="inlineStr">
        <is>
          <t>44</t>
        </is>
      </c>
      <c r="C5208" t="inlineStr">
        <is>
          <t>44013100</t>
        </is>
      </c>
      <c r="D5208" t="inlineStr">
        <is>
          <t>WOOD PELLETS</t>
        </is>
      </c>
      <c r="E5208" s="3" t="n">
        <v>0</v>
      </c>
      <c r="F5208" s="3" t="n">
        <v>0</v>
      </c>
      <c r="G5208" s="3">
        <f>F5208-E5208</f>
        <v/>
      </c>
      <c r="H5208" s="4">
        <f>IF(E5208=0,"",F5208/E5208-1)</f>
        <v/>
      </c>
      <c r="I5208" t="inlineStr"/>
    </row>
    <row r="5209">
      <c r="A5209" t="inlineStr">
        <is>
          <t>Wood, paper &amp; printing</t>
        </is>
      </c>
      <c r="B5209" t="inlineStr">
        <is>
          <t>44</t>
        </is>
      </c>
      <c r="C5209" t="inlineStr">
        <is>
          <t>44031100</t>
        </is>
      </c>
      <c r="D5209" t="inlineStr">
        <is>
          <t>CONIFEROUS</t>
        </is>
      </c>
      <c r="E5209" s="3" t="n">
        <v>0.01</v>
      </c>
      <c r="F5209" s="3" t="n">
        <v>0</v>
      </c>
      <c r="G5209" s="3">
        <f>F5209-E5209</f>
        <v/>
      </c>
      <c r="H5209" s="4">
        <f>IF(E5209=0,"",F5209/E5209-1)</f>
        <v/>
      </c>
      <c r="I5209" t="inlineStr"/>
    </row>
    <row r="5210">
      <c r="A5210" t="inlineStr">
        <is>
          <t>Wood, paper &amp; printing</t>
        </is>
      </c>
      <c r="B5210" t="inlineStr">
        <is>
          <t>44</t>
        </is>
      </c>
      <c r="C5210" t="inlineStr">
        <is>
          <t>44042010</t>
        </is>
      </c>
      <c r="D5210" t="inlineStr">
        <is>
          <t>WOODEN STIKS SEMI FINISHD FOR MFG OF WALKING STIK,TOOL-HANDLE,SPLT POLS PILES,PICKETS,STAKS ETC.</t>
        </is>
      </c>
      <c r="E5210" s="3" t="n">
        <v>0.01</v>
      </c>
      <c r="F5210" s="3" t="n">
        <v>0</v>
      </c>
      <c r="G5210" s="3">
        <f>F5210-E5210</f>
        <v/>
      </c>
      <c r="H5210" s="4">
        <f>IF(E5210=0,"",F5210/E5210-1)</f>
        <v/>
      </c>
      <c r="I5210" t="inlineStr"/>
    </row>
    <row r="5211">
      <c r="A5211" t="inlineStr">
        <is>
          <t>Wood, paper &amp; printing</t>
        </is>
      </c>
      <c r="B5211" t="inlineStr">
        <is>
          <t>44</t>
        </is>
      </c>
      <c r="C5211" t="inlineStr">
        <is>
          <t>44042090</t>
        </is>
      </c>
      <c r="D5211" t="inlineStr">
        <is>
          <t>OTHERS-OF-HOOPWOOD NON-CONIFEROUS</t>
        </is>
      </c>
      <c r="E5211" s="3" t="n">
        <v>0</v>
      </c>
      <c r="F5211" s="3" t="n">
        <v>0</v>
      </c>
      <c r="G5211" s="3">
        <f>F5211-E5211</f>
        <v/>
      </c>
      <c r="H5211" s="4">
        <f>IF(E5211=0,"",F5211/E5211-1)</f>
        <v/>
      </c>
      <c r="I5211" t="inlineStr"/>
    </row>
    <row r="5212">
      <c r="A5212" t="inlineStr">
        <is>
          <t>Wood, paper &amp; printing</t>
        </is>
      </c>
      <c r="B5212" t="inlineStr">
        <is>
          <t>44</t>
        </is>
      </c>
      <c r="C5212" t="inlineStr">
        <is>
          <t>44079200</t>
        </is>
      </c>
      <c r="D5212" t="inlineStr">
        <is>
          <t>SAWN/CHIPPED WOOD OF BEECH</t>
        </is>
      </c>
      <c r="E5212" s="3" t="n">
        <v>0</v>
      </c>
      <c r="F5212" s="3" t="n">
        <v>0</v>
      </c>
      <c r="G5212" s="3">
        <f>F5212-E5212</f>
        <v/>
      </c>
      <c r="H5212" s="4">
        <f>IF(E5212=0,"",F5212/E5212-1)</f>
        <v/>
      </c>
      <c r="I5212" t="inlineStr"/>
    </row>
    <row r="5213">
      <c r="A5213" t="inlineStr">
        <is>
          <t>Wood, paper &amp; printing</t>
        </is>
      </c>
      <c r="B5213" t="inlineStr">
        <is>
          <t>44</t>
        </is>
      </c>
      <c r="C5213" t="inlineStr">
        <is>
          <t>44081010</t>
        </is>
      </c>
      <c r="D5213" t="inlineStr">
        <is>
          <t>SHEETS FOR PLYWOOD</t>
        </is>
      </c>
      <c r="E5213" s="3" t="n">
        <v>0</v>
      </c>
      <c r="F5213" s="3" t="n">
        <v>0</v>
      </c>
      <c r="G5213" s="3">
        <f>F5213-E5213</f>
        <v/>
      </c>
      <c r="H5213" s="4">
        <f>IF(E5213=0,"",F5213/E5213-1)</f>
        <v/>
      </c>
      <c r="I5213" t="inlineStr"/>
    </row>
    <row r="5214">
      <c r="A5214" t="inlineStr">
        <is>
          <t>Wood, paper &amp; printing</t>
        </is>
      </c>
      <c r="B5214" t="inlineStr">
        <is>
          <t>44</t>
        </is>
      </c>
      <c r="C5214" t="inlineStr">
        <is>
          <t>44089090</t>
        </is>
      </c>
      <c r="D5214" t="inlineStr">
        <is>
          <t>OTHERS-OF-VENNER SHTS PLYSHTS ETC OF OTHER WOOD</t>
        </is>
      </c>
      <c r="E5214" s="3" t="n">
        <v>0.11</v>
      </c>
      <c r="F5214" s="3" t="n">
        <v>0</v>
      </c>
      <c r="G5214" s="3">
        <f>F5214-E5214</f>
        <v/>
      </c>
      <c r="H5214" s="4">
        <f>IF(E5214=0,"",F5214/E5214-1)</f>
        <v/>
      </c>
      <c r="I5214" t="inlineStr"/>
    </row>
    <row r="5215">
      <c r="A5215" t="inlineStr">
        <is>
          <t>Wood, paper &amp; printing</t>
        </is>
      </c>
      <c r="B5215" t="inlineStr">
        <is>
          <t>44</t>
        </is>
      </c>
      <c r="C5215" t="inlineStr">
        <is>
          <t>44091090</t>
        </is>
      </c>
      <c r="D5215" t="inlineStr">
        <is>
          <t>OTHERS-OF-CONIFEROUS WOOD CONTINOUSLY SHAPED</t>
        </is>
      </c>
      <c r="E5215" s="3" t="n">
        <v>0.13</v>
      </c>
      <c r="F5215" s="3" t="n">
        <v>0</v>
      </c>
      <c r="G5215" s="3">
        <f>F5215-E5215</f>
        <v/>
      </c>
      <c r="H5215" s="4">
        <f>IF(E5215=0,"",F5215/E5215-1)</f>
        <v/>
      </c>
      <c r="I5215" t="inlineStr"/>
    </row>
    <row r="5216">
      <c r="A5216" t="inlineStr">
        <is>
          <t>Wood, paper &amp; printing</t>
        </is>
      </c>
      <c r="B5216" t="inlineStr">
        <is>
          <t>44</t>
        </is>
      </c>
      <c r="C5216" t="inlineStr">
        <is>
          <t>44092100</t>
        </is>
      </c>
      <c r="D5216" t="inlineStr">
        <is>
          <t>OF BAMBOO</t>
        </is>
      </c>
      <c r="E5216" s="3" t="n">
        <v>0</v>
      </c>
      <c r="F5216" s="3" t="n">
        <v>0</v>
      </c>
      <c r="G5216" s="3">
        <f>F5216-E5216</f>
        <v/>
      </c>
      <c r="H5216" s="4">
        <f>IF(E5216=0,"",F5216/E5216-1)</f>
        <v/>
      </c>
      <c r="I5216" t="inlineStr"/>
    </row>
    <row r="5217">
      <c r="A5217" t="inlineStr">
        <is>
          <t>Wood, paper &amp; printing</t>
        </is>
      </c>
      <c r="B5217" t="inlineStr">
        <is>
          <t>44</t>
        </is>
      </c>
      <c r="C5217" t="inlineStr">
        <is>
          <t>44092990</t>
        </is>
      </c>
      <c r="D5217" t="inlineStr">
        <is>
          <t>OTHERS-OF-OTHERS-OF-WOOD(INCL STRIPS,FRIZS FOR PARQT FLORNG NT ASEMBLD) CONTINUSLY SHAPED(TONGD GROVD V-JTD ETC) ALONG ANY EDG</t>
        </is>
      </c>
      <c r="E5217" s="3" t="n">
        <v>0</v>
      </c>
      <c r="F5217" s="3" t="n">
        <v>0</v>
      </c>
      <c r="G5217" s="3">
        <f>F5217-E5217</f>
        <v/>
      </c>
      <c r="H5217" s="4">
        <f>IF(E5217=0,"",F5217/E5217-1)</f>
        <v/>
      </c>
      <c r="I5217" t="inlineStr"/>
    </row>
    <row r="5218">
      <c r="A5218" t="inlineStr">
        <is>
          <t>Wood, paper &amp; printing</t>
        </is>
      </c>
      <c r="B5218" t="inlineStr">
        <is>
          <t>44</t>
        </is>
      </c>
      <c r="C5218" t="inlineStr">
        <is>
          <t>44101110</t>
        </is>
      </c>
      <c r="D5218" t="inlineStr">
        <is>
          <t>PLAIN PARTICLE BOARDS</t>
        </is>
      </c>
      <c r="E5218" s="3" t="n">
        <v>0</v>
      </c>
      <c r="F5218" s="3" t="n">
        <v>0</v>
      </c>
      <c r="G5218" s="3">
        <f>F5218-E5218</f>
        <v/>
      </c>
      <c r="H5218" s="4">
        <f>IF(E5218=0,"",F5218/E5218-1)</f>
        <v/>
      </c>
      <c r="I5218" t="inlineStr"/>
    </row>
    <row r="5219">
      <c r="A5219" t="inlineStr">
        <is>
          <t>Wood, paper &amp; printing</t>
        </is>
      </c>
      <c r="B5219" t="inlineStr">
        <is>
          <t>44</t>
        </is>
      </c>
      <c r="C5219" t="inlineStr">
        <is>
          <t>44109090</t>
        </is>
      </c>
      <c r="D5219" t="inlineStr">
        <is>
          <t>OTHERS-OF-PRTCL BORD/SMLR BORD OF OTHR LIGNUS MATRLS</t>
        </is>
      </c>
      <c r="E5219" s="3" t="n">
        <v>0</v>
      </c>
      <c r="F5219" s="3" t="n">
        <v>0</v>
      </c>
      <c r="G5219" s="3">
        <f>F5219-E5219</f>
        <v/>
      </c>
      <c r="H5219" s="4">
        <f>IF(E5219=0,"",F5219/E5219-1)</f>
        <v/>
      </c>
      <c r="I5219" t="inlineStr"/>
    </row>
    <row r="5220">
      <c r="A5220" t="inlineStr">
        <is>
          <t>Wood, paper &amp; printing</t>
        </is>
      </c>
      <c r="B5220" t="inlineStr">
        <is>
          <t>44</t>
        </is>
      </c>
      <c r="C5220" t="inlineStr">
        <is>
          <t>44111200</t>
        </is>
      </c>
      <c r="D5220" t="inlineStr">
        <is>
          <t>OF A THICKNESS NOT EXCEEDING 5MM</t>
        </is>
      </c>
      <c r="E5220" s="3" t="n">
        <v>0</v>
      </c>
      <c r="F5220" s="3" t="n">
        <v>0</v>
      </c>
      <c r="G5220" s="3">
        <f>F5220-E5220</f>
        <v/>
      </c>
      <c r="H5220" s="4">
        <f>IF(E5220=0,"",F5220/E5220-1)</f>
        <v/>
      </c>
      <c r="I5220" t="inlineStr"/>
    </row>
    <row r="5221">
      <c r="A5221" t="inlineStr">
        <is>
          <t>Wood, paper &amp; printing</t>
        </is>
      </c>
      <c r="B5221" t="inlineStr">
        <is>
          <t>44</t>
        </is>
      </c>
      <c r="C5221" t="inlineStr">
        <is>
          <t>44119229</t>
        </is>
      </c>
      <c r="D5221" t="inlineStr">
        <is>
          <t>OTHER BOARD</t>
        </is>
      </c>
      <c r="E5221" s="3" t="n">
        <v>0.01</v>
      </c>
      <c r="F5221" s="3" t="n">
        <v>0</v>
      </c>
      <c r="G5221" s="3">
        <f>F5221-E5221</f>
        <v/>
      </c>
      <c r="H5221" s="4">
        <f>IF(E5221=0,"",F5221/E5221-1)</f>
        <v/>
      </c>
      <c r="I5221" t="inlineStr"/>
    </row>
    <row r="5222">
      <c r="A5222" t="inlineStr">
        <is>
          <t>Wood, paper &amp; printing</t>
        </is>
      </c>
      <c r="B5222" t="inlineStr">
        <is>
          <t>44</t>
        </is>
      </c>
      <c r="C5222" t="inlineStr">
        <is>
          <t>44119319</t>
        </is>
      </c>
      <c r="D5222" t="inlineStr">
        <is>
          <t>OTHER BOARD</t>
        </is>
      </c>
      <c r="E5222" s="3" t="n">
        <v>0.02</v>
      </c>
      <c r="F5222" s="3" t="n">
        <v>0</v>
      </c>
      <c r="G5222" s="3">
        <f>F5222-E5222</f>
        <v/>
      </c>
      <c r="H5222" s="4">
        <f>IF(E5222=0,"",F5222/E5222-1)</f>
        <v/>
      </c>
      <c r="I5222" t="inlineStr"/>
    </row>
    <row r="5223">
      <c r="A5223" t="inlineStr">
        <is>
          <t>Wood, paper &amp; printing</t>
        </is>
      </c>
      <c r="B5223" t="inlineStr">
        <is>
          <t>44</t>
        </is>
      </c>
      <c r="C5223" t="inlineStr">
        <is>
          <t>44119419</t>
        </is>
      </c>
      <c r="D5223" t="inlineStr">
        <is>
          <t>OTHER BOARD</t>
        </is>
      </c>
      <c r="E5223" s="3" t="n">
        <v>0</v>
      </c>
      <c r="F5223" s="3" t="n">
        <v>0</v>
      </c>
      <c r="G5223" s="3">
        <f>F5223-E5223</f>
        <v/>
      </c>
      <c r="H5223" s="4">
        <f>IF(E5223=0,"",F5223/E5223-1)</f>
        <v/>
      </c>
      <c r="I5223" t="inlineStr"/>
    </row>
    <row r="5224">
      <c r="A5224" t="inlineStr">
        <is>
          <t>Wood, paper &amp; printing</t>
        </is>
      </c>
      <c r="B5224" t="inlineStr">
        <is>
          <t>44</t>
        </is>
      </c>
      <c r="C5224" t="inlineStr">
        <is>
          <t>44121000</t>
        </is>
      </c>
      <c r="D5224" t="inlineStr">
        <is>
          <t>OF BAMBOO</t>
        </is>
      </c>
      <c r="E5224" s="3" t="n">
        <v>0</v>
      </c>
      <c r="F5224" s="3" t="n">
        <v>0</v>
      </c>
      <c r="G5224" s="3">
        <f>F5224-E5224</f>
        <v/>
      </c>
      <c r="H5224" s="4">
        <f>IF(E5224=0,"",F5224/E5224-1)</f>
        <v/>
      </c>
      <c r="I5224" t="inlineStr"/>
    </row>
    <row r="5225">
      <c r="A5225" t="inlineStr">
        <is>
          <t>Wood, paper &amp; printing</t>
        </is>
      </c>
      <c r="B5225" t="inlineStr">
        <is>
          <t>44</t>
        </is>
      </c>
      <c r="C5225" t="inlineStr">
        <is>
          <t>44123110</t>
        </is>
      </c>
      <c r="D5225" t="inlineStr">
        <is>
          <t>DECORATIVE PLYWOOD</t>
        </is>
      </c>
      <c r="E5225" s="3" t="n">
        <v>0.03</v>
      </c>
      <c r="F5225" s="3" t="n">
        <v>0</v>
      </c>
      <c r="G5225" s="3">
        <f>F5225-E5225</f>
        <v/>
      </c>
      <c r="H5225" s="4">
        <f>IF(E5225=0,"",F5225/E5225-1)</f>
        <v/>
      </c>
      <c r="I5225" t="inlineStr"/>
    </row>
    <row r="5226">
      <c r="A5226" t="inlineStr">
        <is>
          <t>Wood, paper &amp; printing</t>
        </is>
      </c>
      <c r="B5226" t="inlineStr">
        <is>
          <t>44</t>
        </is>
      </c>
      <c r="C5226" t="inlineStr">
        <is>
          <t>44141000</t>
        </is>
      </c>
      <c r="D5226" t="inlineStr">
        <is>
          <t>OF TROPICAL WOOD</t>
        </is>
      </c>
      <c r="E5226" s="3" t="n">
        <v>0</v>
      </c>
      <c r="F5226" s="3" t="n">
        <v>0</v>
      </c>
      <c r="G5226" s="3">
        <f>F5226-E5226</f>
        <v/>
      </c>
      <c r="H5226" s="4">
        <f>IF(E5226=0,"",F5226/E5226-1)</f>
        <v/>
      </c>
      <c r="I5226" t="inlineStr"/>
    </row>
    <row r="5227">
      <c r="A5227" t="inlineStr">
        <is>
          <t>Wood, paper &amp; printing</t>
        </is>
      </c>
      <c r="B5227" t="inlineStr">
        <is>
          <t>44</t>
        </is>
      </c>
      <c r="C5227" t="inlineStr">
        <is>
          <t>44170000</t>
        </is>
      </c>
      <c r="D5227" t="inlineStr">
        <is>
          <t>TOOLS,TOOL BODIES,TOOL HANDLES BROOM OR BRUSH BODIES AND HANDLES, OR WOOD BOOT OR SHOE LASTS AND TREES,OF WOOD</t>
        </is>
      </c>
      <c r="E5227" s="3" t="n">
        <v>0</v>
      </c>
      <c r="F5227" s="3" t="n">
        <v>0</v>
      </c>
      <c r="G5227" s="3">
        <f>F5227-E5227</f>
        <v/>
      </c>
      <c r="H5227" s="4">
        <f>IF(E5227=0,"",F5227/E5227-1)</f>
        <v/>
      </c>
      <c r="I5227" t="inlineStr"/>
    </row>
    <row r="5228">
      <c r="A5228" t="inlineStr">
        <is>
          <t>Wood, paper &amp; printing</t>
        </is>
      </c>
      <c r="B5228" t="inlineStr">
        <is>
          <t>44</t>
        </is>
      </c>
      <c r="C5228" t="inlineStr">
        <is>
          <t>44188200</t>
        </is>
      </c>
      <c r="D5228" t="inlineStr">
        <is>
          <t>CROSS-LAMINATED TIMBER(CLT OR X-LAM)</t>
        </is>
      </c>
      <c r="E5228" s="3" t="n">
        <v>0.01</v>
      </c>
      <c r="F5228" s="3" t="n">
        <v>0</v>
      </c>
      <c r="G5228" s="3">
        <f>F5228-E5228</f>
        <v/>
      </c>
      <c r="H5228" s="4">
        <f>IF(E5228=0,"",F5228/E5228-1)</f>
        <v/>
      </c>
      <c r="I5228" t="inlineStr"/>
    </row>
    <row r="5229">
      <c r="A5229" t="inlineStr">
        <is>
          <t>Wood, paper &amp; printing</t>
        </is>
      </c>
      <c r="B5229" t="inlineStr">
        <is>
          <t>44</t>
        </is>
      </c>
      <c r="C5229" t="inlineStr">
        <is>
          <t>44189900</t>
        </is>
      </c>
      <c r="D5229" t="inlineStr">
        <is>
          <t>OTHERS-OF-OTHERS-OF-BUILDERS? JOINERY AND CARPENTRY OF WOOD,INCLUDING CELLULAR WOOD PANELS, ASSEMBLED FLOORING PANELS, SHINGLE</t>
        </is>
      </c>
      <c r="E5229" s="3" t="n">
        <v>0.02</v>
      </c>
      <c r="F5229" s="3" t="n">
        <v>0</v>
      </c>
      <c r="G5229" s="3">
        <f>F5229-E5229</f>
        <v/>
      </c>
      <c r="H5229" s="4">
        <f>IF(E5229=0,"",F5229/E5229-1)</f>
        <v/>
      </c>
      <c r="I5229" t="inlineStr"/>
    </row>
    <row r="5230">
      <c r="A5230" t="inlineStr">
        <is>
          <t>Wood, paper &amp; printing</t>
        </is>
      </c>
      <c r="B5230" t="inlineStr">
        <is>
          <t>44</t>
        </is>
      </c>
      <c r="C5230" t="inlineStr">
        <is>
          <t>44191100</t>
        </is>
      </c>
      <c r="D5230" t="inlineStr">
        <is>
          <t>BREAD BOARDS, CHOPPING BOARDS AND SIMILAR BOARDS</t>
        </is>
      </c>
      <c r="E5230" s="3" t="n">
        <v>0.02</v>
      </c>
      <c r="F5230" s="3" t="n">
        <v>0</v>
      </c>
      <c r="G5230" s="3">
        <f>F5230-E5230</f>
        <v/>
      </c>
      <c r="H5230" s="4">
        <f>IF(E5230=0,"",F5230/E5230-1)</f>
        <v/>
      </c>
      <c r="I5230" t="inlineStr"/>
    </row>
    <row r="5231">
      <c r="A5231" t="inlineStr">
        <is>
          <t>Wood, paper &amp; printing</t>
        </is>
      </c>
      <c r="B5231" t="inlineStr">
        <is>
          <t>44</t>
        </is>
      </c>
      <c r="C5231" t="inlineStr">
        <is>
          <t>44192000</t>
        </is>
      </c>
      <c r="D5231" t="inlineStr">
        <is>
          <t>OF TROPICAL WOOD</t>
        </is>
      </c>
      <c r="E5231" s="3" t="n">
        <v>0.04</v>
      </c>
      <c r="F5231" s="3" t="n">
        <v>0</v>
      </c>
      <c r="G5231" s="3">
        <f>F5231-E5231</f>
        <v/>
      </c>
      <c r="H5231" s="4">
        <f>IF(E5231=0,"",F5231/E5231-1)</f>
        <v/>
      </c>
      <c r="I5231" t="inlineStr"/>
    </row>
    <row r="5232">
      <c r="A5232" t="inlineStr">
        <is>
          <t>Wood, paper &amp; printing</t>
        </is>
      </c>
      <c r="B5232" t="inlineStr">
        <is>
          <t>44</t>
        </is>
      </c>
      <c r="C5232" t="inlineStr">
        <is>
          <t>44201900</t>
        </is>
      </c>
      <c r="D5232" t="inlineStr">
        <is>
          <t>OTHER(STATUETTES AND OTHER ORNAMENTS:)</t>
        </is>
      </c>
      <c r="E5232" s="3" t="n">
        <v>0.1</v>
      </c>
      <c r="F5232" s="3" t="n">
        <v>0</v>
      </c>
      <c r="G5232" s="3">
        <f>F5232-E5232</f>
        <v/>
      </c>
      <c r="H5232" s="4">
        <f>IF(E5232=0,"",F5232/E5232-1)</f>
        <v/>
      </c>
      <c r="I5232" t="inlineStr"/>
    </row>
    <row r="5233">
      <c r="A5233" t="inlineStr">
        <is>
          <t>Wood, paper &amp; printing</t>
        </is>
      </c>
      <c r="B5233" t="inlineStr">
        <is>
          <t>44</t>
        </is>
      </c>
      <c r="C5233" t="inlineStr">
        <is>
          <t>44219119</t>
        </is>
      </c>
      <c r="D5233" t="inlineStr">
        <is>
          <t>OTHERS-OF-OTHER ARTICLES EXCL CLOTH HANGERS OF BAMBOO:</t>
        </is>
      </c>
      <c r="E5233" s="3" t="n">
        <v>0</v>
      </c>
      <c r="F5233" s="3" t="n">
        <v>0</v>
      </c>
      <c r="G5233" s="3">
        <f>F5233-E5233</f>
        <v/>
      </c>
      <c r="H5233" s="4">
        <f>IF(E5233=0,"",F5233/E5233-1)</f>
        <v/>
      </c>
      <c r="I5233" t="inlineStr"/>
    </row>
    <row r="5234">
      <c r="A5234" t="inlineStr">
        <is>
          <t>Wood, paper &amp; printing</t>
        </is>
      </c>
      <c r="B5234" t="inlineStr">
        <is>
          <t>44</t>
        </is>
      </c>
      <c r="C5234" t="inlineStr">
        <is>
          <t>44219170</t>
        </is>
      </c>
      <c r="D5234" t="inlineStr">
        <is>
          <t>ARTICLES OF DENSIFIED WOOD NOT INCLUDED OR SPECIFIED ELSEWHERE</t>
        </is>
      </c>
      <c r="E5234" s="3" t="n">
        <v>0.03</v>
      </c>
      <c r="F5234" s="3" t="n">
        <v>0</v>
      </c>
      <c r="G5234" s="3">
        <f>F5234-E5234</f>
        <v/>
      </c>
      <c r="H5234" s="4">
        <f>IF(E5234=0,"",F5234/E5234-1)</f>
        <v/>
      </c>
      <c r="I5234" t="inlineStr"/>
    </row>
    <row r="5235">
      <c r="A5235" t="inlineStr">
        <is>
          <t>Wood, paper &amp; printing</t>
        </is>
      </c>
      <c r="B5235" t="inlineStr">
        <is>
          <t>44</t>
        </is>
      </c>
      <c r="C5235" t="inlineStr">
        <is>
          <t>44219914</t>
        </is>
      </c>
      <c r="D5235" t="inlineStr">
        <is>
          <t>FOR OTHER MACHINERY</t>
        </is>
      </c>
      <c r="E5235" s="3" t="n">
        <v>0</v>
      </c>
      <c r="F5235" s="3" t="n">
        <v>0</v>
      </c>
      <c r="G5235" s="3">
        <f>F5235-E5235</f>
        <v/>
      </c>
      <c r="H5235" s="4">
        <f>IF(E5235=0,"",F5235/E5235-1)</f>
        <v/>
      </c>
      <c r="I5235" t="inlineStr"/>
    </row>
    <row r="5236">
      <c r="A5236" t="inlineStr">
        <is>
          <t>Wood, paper &amp; printing</t>
        </is>
      </c>
      <c r="B5236" t="inlineStr">
        <is>
          <t>44</t>
        </is>
      </c>
      <c r="C5236" t="inlineStr">
        <is>
          <t>44219919</t>
        </is>
      </c>
      <c r="D5236" t="inlineStr">
        <is>
          <t>OTHERS-OF-OTHERS-OF-OTHER ARTICLES OF WOOD</t>
        </is>
      </c>
      <c r="E5236" s="3" t="n">
        <v>0</v>
      </c>
      <c r="F5236" s="3" t="n">
        <v>0</v>
      </c>
      <c r="G5236" s="3">
        <f>F5236-E5236</f>
        <v/>
      </c>
      <c r="H5236" s="4">
        <f>IF(E5236=0,"",F5236/E5236-1)</f>
        <v/>
      </c>
      <c r="I5236" t="inlineStr"/>
    </row>
    <row r="5237">
      <c r="A5237" t="inlineStr">
        <is>
          <t>Wood, paper &amp; printing</t>
        </is>
      </c>
      <c r="B5237" t="inlineStr">
        <is>
          <t>44</t>
        </is>
      </c>
      <c r="C5237" t="inlineStr">
        <is>
          <t>44219950</t>
        </is>
      </c>
      <c r="D5237" t="inlineStr">
        <is>
          <t>PARTS OF WOOD, NAMELY OARS, PADDLES AND RUDDERS FOR SHIPS,</t>
        </is>
      </c>
      <c r="E5237" s="3" t="n">
        <v>0.01</v>
      </c>
      <c r="F5237" s="3" t="n">
        <v>0</v>
      </c>
      <c r="G5237" s="3">
        <f>F5237-E5237</f>
        <v/>
      </c>
      <c r="H5237" s="4">
        <f>IF(E5237=0,"",F5237/E5237-1)</f>
        <v/>
      </c>
      <c r="I5237" t="inlineStr"/>
    </row>
    <row r="5238">
      <c r="A5238" t="inlineStr">
        <is>
          <t>Wood, paper &amp; printing</t>
        </is>
      </c>
      <c r="B5238" t="inlineStr">
        <is>
          <t>45</t>
        </is>
      </c>
      <c r="C5238" t="inlineStr">
        <is>
          <t>45039090</t>
        </is>
      </c>
      <c r="D5238" t="inlineStr">
        <is>
          <t>OTHERS ARTICLES OF NATURAL CORK ETC</t>
        </is>
      </c>
      <c r="E5238" s="3" t="n">
        <v>0</v>
      </c>
      <c r="F5238" s="3" t="n">
        <v>0</v>
      </c>
      <c r="G5238" s="3">
        <f>F5238-E5238</f>
        <v/>
      </c>
      <c r="H5238" s="4">
        <f>IF(E5238=0,"",F5238/E5238-1)</f>
        <v/>
      </c>
      <c r="I5238" t="inlineStr"/>
    </row>
    <row r="5239">
      <c r="A5239" t="inlineStr">
        <is>
          <t>Wood, paper &amp; printing</t>
        </is>
      </c>
      <c r="B5239" t="inlineStr">
        <is>
          <t>45</t>
        </is>
      </c>
      <c r="C5239" t="inlineStr">
        <is>
          <t>45049000</t>
        </is>
      </c>
      <c r="D5239" t="inlineStr">
        <is>
          <t>OTHR AGGLOMERATED CORKS</t>
        </is>
      </c>
      <c r="E5239" s="3" t="n">
        <v>0.03</v>
      </c>
      <c r="F5239" s="3" t="n">
        <v>0</v>
      </c>
      <c r="G5239" s="3">
        <f>F5239-E5239</f>
        <v/>
      </c>
      <c r="H5239" s="4">
        <f>IF(E5239=0,"",F5239/E5239-1)</f>
        <v/>
      </c>
      <c r="I5239" t="inlineStr"/>
    </row>
    <row r="5240">
      <c r="A5240" t="inlineStr">
        <is>
          <t>Wood, paper &amp; printing</t>
        </is>
      </c>
      <c r="B5240" t="inlineStr">
        <is>
          <t>46</t>
        </is>
      </c>
      <c r="C5240" t="inlineStr">
        <is>
          <t>46012100</t>
        </is>
      </c>
      <c r="D5240" t="inlineStr">
        <is>
          <t>OF BAMBOO</t>
        </is>
      </c>
      <c r="E5240" s="3" t="n">
        <v>0</v>
      </c>
      <c r="F5240" s="3" t="n">
        <v>0</v>
      </c>
      <c r="G5240" s="3">
        <f>F5240-E5240</f>
        <v/>
      </c>
      <c r="H5240" s="4">
        <f>IF(E5240=0,"",F5240/E5240-1)</f>
        <v/>
      </c>
      <c r="I5240" t="inlineStr"/>
    </row>
    <row r="5241">
      <c r="A5241" t="inlineStr">
        <is>
          <t>Wood, paper &amp; printing</t>
        </is>
      </c>
      <c r="B5241" t="inlineStr">
        <is>
          <t>46</t>
        </is>
      </c>
      <c r="C5241" t="inlineStr">
        <is>
          <t>46021100</t>
        </is>
      </c>
      <c r="D5241" t="inlineStr">
        <is>
          <t>OF BAMBOO</t>
        </is>
      </c>
      <c r="E5241" s="3" t="n">
        <v>0</v>
      </c>
      <c r="F5241" s="3" t="n">
        <v>0</v>
      </c>
      <c r="G5241" s="3">
        <f>F5241-E5241</f>
        <v/>
      </c>
      <c r="H5241" s="4">
        <f>IF(E5241=0,"",F5241/E5241-1)</f>
        <v/>
      </c>
      <c r="I5241" t="inlineStr"/>
    </row>
    <row r="5242">
      <c r="A5242" t="inlineStr">
        <is>
          <t>Wood, paper &amp; printing</t>
        </is>
      </c>
      <c r="B5242" t="inlineStr">
        <is>
          <t>46</t>
        </is>
      </c>
      <c r="C5242" t="inlineStr">
        <is>
          <t>46021911</t>
        </is>
      </c>
      <c r="D5242" t="inlineStr">
        <is>
          <t>PALM LEAF BASKET ETC.</t>
        </is>
      </c>
      <c r="E5242" s="3" t="n">
        <v>0.06</v>
      </c>
      <c r="F5242" s="3" t="n">
        <v>0</v>
      </c>
      <c r="G5242" s="3">
        <f>F5242-E5242</f>
        <v/>
      </c>
      <c r="H5242" s="4">
        <f>IF(E5242=0,"",F5242/E5242-1)</f>
        <v/>
      </c>
      <c r="I5242" t="inlineStr"/>
    </row>
    <row r="5243">
      <c r="A5243" t="inlineStr">
        <is>
          <t>Wood, paper &amp; printing</t>
        </is>
      </c>
      <c r="B5243" t="inlineStr">
        <is>
          <t>46</t>
        </is>
      </c>
      <c r="C5243" t="inlineStr">
        <is>
          <t>46021919</t>
        </is>
      </c>
      <c r="D5243" t="inlineStr">
        <is>
          <t>PALM LEAF ITEMS OTHER THEN BASKETS</t>
        </is>
      </c>
      <c r="E5243" s="3" t="n">
        <v>0.02</v>
      </c>
      <c r="F5243" s="3" t="n">
        <v>0</v>
      </c>
      <c r="G5243" s="3">
        <f>F5243-E5243</f>
        <v/>
      </c>
      <c r="H5243" s="4">
        <f>IF(E5243=0,"",F5243/E5243-1)</f>
        <v/>
      </c>
      <c r="I5243" t="inlineStr"/>
    </row>
    <row r="5244">
      <c r="A5244" t="inlineStr">
        <is>
          <t>Wood, paper &amp; printing</t>
        </is>
      </c>
      <c r="B5244" t="inlineStr">
        <is>
          <t>47</t>
        </is>
      </c>
      <c r="C5244" t="inlineStr">
        <is>
          <t>47042900</t>
        </is>
      </c>
      <c r="D5244" t="inlineStr">
        <is>
          <t>SEMI-BLEACHED/BLEACHED NON-CONIFEROUS CHMICAL WOOD PULP SULPHITE</t>
        </is>
      </c>
      <c r="E5244" s="3" t="n">
        <v>0</v>
      </c>
      <c r="F5244" s="3" t="n">
        <v>0</v>
      </c>
      <c r="G5244" s="3">
        <f>F5244-E5244</f>
        <v/>
      </c>
      <c r="H5244" s="4">
        <f>IF(E5244=0,"",F5244/E5244-1)</f>
        <v/>
      </c>
      <c r="I5244" t="inlineStr"/>
    </row>
    <row r="5245">
      <c r="A5245" t="inlineStr">
        <is>
          <t>Wood, paper &amp; printing</t>
        </is>
      </c>
      <c r="B5245" t="inlineStr">
        <is>
          <t>48</t>
        </is>
      </c>
      <c r="C5245" t="inlineStr">
        <is>
          <t>48022090</t>
        </is>
      </c>
      <c r="D5245" t="inlineStr">
        <is>
          <t>OTHERS-OF-PAPR,PAPRBORD USD AS BASE FOR PHOTO/HEATELECTRO SENSITIVE PAPR OR PAPRBORD</t>
        </is>
      </c>
      <c r="E5245" s="3" t="n">
        <v>0.07000000000000001</v>
      </c>
      <c r="F5245" s="3" t="n">
        <v>0</v>
      </c>
      <c r="G5245" s="3">
        <f>F5245-E5245</f>
        <v/>
      </c>
      <c r="H5245" s="4">
        <f>IF(E5245=0,"",F5245/E5245-1)</f>
        <v/>
      </c>
      <c r="I5245" t="inlineStr"/>
    </row>
    <row r="5246">
      <c r="A5246" t="inlineStr">
        <is>
          <t>Wood, paper &amp; printing</t>
        </is>
      </c>
      <c r="B5246" t="inlineStr">
        <is>
          <t>48</t>
        </is>
      </c>
      <c r="C5246" t="inlineStr">
        <is>
          <t>48025450</t>
        </is>
      </c>
      <c r="D5246" t="inlineStr">
        <is>
          <t>TISSUE PAPER</t>
        </is>
      </c>
      <c r="E5246" s="3" t="n">
        <v>0</v>
      </c>
      <c r="F5246" s="3" t="n">
        <v>0</v>
      </c>
      <c r="G5246" s="3">
        <f>F5246-E5246</f>
        <v/>
      </c>
      <c r="H5246" s="4">
        <f>IF(E5246=0,"",F5246/E5246-1)</f>
        <v/>
      </c>
      <c r="I5246" t="inlineStr"/>
    </row>
    <row r="5247">
      <c r="A5247" t="inlineStr">
        <is>
          <t>Wood, paper &amp; printing</t>
        </is>
      </c>
      <c r="B5247" t="inlineStr">
        <is>
          <t>48</t>
        </is>
      </c>
      <c r="C5247" t="inlineStr">
        <is>
          <t>48025590</t>
        </is>
      </c>
      <c r="D5247" t="inlineStr">
        <is>
          <t>OTHER PAPER</t>
        </is>
      </c>
      <c r="E5247" s="3" t="n">
        <v>0.02</v>
      </c>
      <c r="F5247" s="3" t="n">
        <v>0</v>
      </c>
      <c r="G5247" s="3">
        <f>F5247-E5247</f>
        <v/>
      </c>
      <c r="H5247" s="4">
        <f>IF(E5247=0,"",F5247/E5247-1)</f>
        <v/>
      </c>
      <c r="I5247" t="inlineStr"/>
    </row>
    <row r="5248">
      <c r="A5248" t="inlineStr">
        <is>
          <t>Wood, paper &amp; printing</t>
        </is>
      </c>
      <c r="B5248" t="inlineStr">
        <is>
          <t>48</t>
        </is>
      </c>
      <c r="C5248" t="inlineStr">
        <is>
          <t>48025890</t>
        </is>
      </c>
      <c r="D5248" t="inlineStr">
        <is>
          <t>OTHERS-OF-OTHR PAPR AND PAPRBORD NT CNTNG FBRS OBTNDBY MCHNCL PRCSS/OF WHCH&lt;=10% BY WT OF TOTL FBR CNTNG,WHGNG MORE THAN 150</t>
        </is>
      </c>
      <c r="E5248" s="3" t="n">
        <v>0.3</v>
      </c>
      <c r="F5248" s="3" t="n">
        <v>0</v>
      </c>
      <c r="G5248" s="3">
        <f>F5248-E5248</f>
        <v/>
      </c>
      <c r="H5248" s="4">
        <f>IF(E5248=0,"",F5248/E5248-1)</f>
        <v/>
      </c>
      <c r="I5248" t="inlineStr"/>
    </row>
    <row r="5249">
      <c r="A5249" t="inlineStr">
        <is>
          <t>Wood, paper &amp; printing</t>
        </is>
      </c>
      <c r="B5249" t="inlineStr">
        <is>
          <t>48</t>
        </is>
      </c>
      <c r="C5249" t="inlineStr">
        <is>
          <t>48026190</t>
        </is>
      </c>
      <c r="D5249" t="inlineStr">
        <is>
          <t>OTHERS-OF-OTHER PAPR 7 PAPRBORD IN ROLLS OF WHCH&gt;10%BY WT OF TOTL FBR CNTNT CONSIST OF FBRS OBTND BY MCHNCL/CHEMI-MCHNCL PROCE</t>
        </is>
      </c>
      <c r="E5249" s="3" t="n">
        <v>0</v>
      </c>
      <c r="F5249" s="3" t="n">
        <v>0</v>
      </c>
      <c r="G5249" s="3">
        <f>F5249-E5249</f>
        <v/>
      </c>
      <c r="H5249" s="4">
        <f>IF(E5249=0,"",F5249/E5249-1)</f>
        <v/>
      </c>
      <c r="I5249" t="inlineStr"/>
    </row>
    <row r="5250">
      <c r="A5250" t="inlineStr">
        <is>
          <t>Wood, paper &amp; printing</t>
        </is>
      </c>
      <c r="B5250" t="inlineStr">
        <is>
          <t>48</t>
        </is>
      </c>
      <c r="C5250" t="inlineStr">
        <is>
          <t>48030090</t>
        </is>
      </c>
      <c r="D5250" t="inlineStr">
        <is>
          <t>OTHER TISSUE PAPER</t>
        </is>
      </c>
      <c r="E5250" s="3" t="n">
        <v>0</v>
      </c>
      <c r="F5250" s="3" t="n">
        <v>0</v>
      </c>
      <c r="G5250" s="3">
        <f>F5250-E5250</f>
        <v/>
      </c>
      <c r="H5250" s="4">
        <f>IF(E5250=0,"",F5250/E5250-1)</f>
        <v/>
      </c>
      <c r="I5250" t="inlineStr"/>
    </row>
    <row r="5251">
      <c r="A5251" t="inlineStr">
        <is>
          <t>Wood, paper &amp; printing</t>
        </is>
      </c>
      <c r="B5251" t="inlineStr">
        <is>
          <t>48</t>
        </is>
      </c>
      <c r="C5251" t="inlineStr">
        <is>
          <t>48041100</t>
        </is>
      </c>
      <c r="D5251" t="inlineStr">
        <is>
          <t>KRFT LINER UNBLEACHED</t>
        </is>
      </c>
      <c r="E5251" s="3" t="n">
        <v>0</v>
      </c>
      <c r="F5251" s="3" t="n">
        <v>0</v>
      </c>
      <c r="G5251" s="3">
        <f>F5251-E5251</f>
        <v/>
      </c>
      <c r="H5251" s="4">
        <f>IF(E5251=0,"",F5251/E5251-1)</f>
        <v/>
      </c>
      <c r="I5251" t="inlineStr"/>
    </row>
    <row r="5252">
      <c r="A5252" t="inlineStr">
        <is>
          <t>Wood, paper &amp; printing</t>
        </is>
      </c>
      <c r="B5252" t="inlineStr">
        <is>
          <t>48</t>
        </is>
      </c>
      <c r="C5252" t="inlineStr">
        <is>
          <t>48044900</t>
        </is>
      </c>
      <c r="D5252" t="inlineStr">
        <is>
          <t>OTHR KRFT PAR AND PAPRBORD WEING ABOVE 150G/M2 BUT BELOW 225G/M2</t>
        </is>
      </c>
      <c r="E5252" s="3" t="n">
        <v>0.09</v>
      </c>
      <c r="F5252" s="3" t="n">
        <v>0</v>
      </c>
      <c r="G5252" s="3">
        <f>F5252-E5252</f>
        <v/>
      </c>
      <c r="H5252" s="4">
        <f>IF(E5252=0,"",F5252/E5252-1)</f>
        <v/>
      </c>
      <c r="I5252" t="inlineStr"/>
    </row>
    <row r="5253">
      <c r="A5253" t="inlineStr">
        <is>
          <t>Wood, paper &amp; printing</t>
        </is>
      </c>
      <c r="B5253" t="inlineStr">
        <is>
          <t>48</t>
        </is>
      </c>
      <c r="C5253" t="inlineStr">
        <is>
          <t>48045900</t>
        </is>
      </c>
      <c r="D5253" t="inlineStr">
        <is>
          <t>OTHR KRFT PAPR/PAPRBORD WEING 225G/M2/MORE</t>
        </is>
      </c>
      <c r="E5253" s="3" t="n">
        <v>0</v>
      </c>
      <c r="F5253" s="3" t="n">
        <v>0</v>
      </c>
      <c r="G5253" s="3">
        <f>F5253-E5253</f>
        <v/>
      </c>
      <c r="H5253" s="4">
        <f>IF(E5253=0,"",F5253/E5253-1)</f>
        <v/>
      </c>
      <c r="I5253" t="inlineStr"/>
    </row>
    <row r="5254">
      <c r="A5254" t="inlineStr">
        <is>
          <t>Wood, paper &amp; printing</t>
        </is>
      </c>
      <c r="B5254" t="inlineStr">
        <is>
          <t>48</t>
        </is>
      </c>
      <c r="C5254" t="inlineStr">
        <is>
          <t>48054000</t>
        </is>
      </c>
      <c r="D5254" t="inlineStr">
        <is>
          <t>FILTER PAPER AND PAPERBOARD</t>
        </is>
      </c>
      <c r="E5254" s="3" t="n">
        <v>0.02</v>
      </c>
      <c r="F5254" s="3" t="n">
        <v>0</v>
      </c>
      <c r="G5254" s="3">
        <f>F5254-E5254</f>
        <v/>
      </c>
      <c r="H5254" s="4">
        <f>IF(E5254=0,"",F5254/E5254-1)</f>
        <v/>
      </c>
      <c r="I5254" t="inlineStr"/>
    </row>
    <row r="5255">
      <c r="A5255" t="inlineStr">
        <is>
          <t>Wood, paper &amp; printing</t>
        </is>
      </c>
      <c r="B5255" t="inlineStr">
        <is>
          <t>48</t>
        </is>
      </c>
      <c r="C5255" t="inlineStr">
        <is>
          <t>48064090</t>
        </is>
      </c>
      <c r="D5255" t="inlineStr">
        <is>
          <t>OTHERS (E.G. VELLUM)</t>
        </is>
      </c>
      <c r="E5255" s="3" t="n">
        <v>0</v>
      </c>
      <c r="F5255" s="3" t="n">
        <v>0</v>
      </c>
      <c r="G5255" s="3">
        <f>F5255-E5255</f>
        <v/>
      </c>
      <c r="H5255" s="4">
        <f>IF(E5255=0,"",F5255/E5255-1)</f>
        <v/>
      </c>
      <c r="I5255" t="inlineStr"/>
    </row>
    <row r="5256">
      <c r="A5256" t="inlineStr">
        <is>
          <t>Wood, paper &amp; printing</t>
        </is>
      </c>
      <c r="B5256" t="inlineStr">
        <is>
          <t>48</t>
        </is>
      </c>
      <c r="C5256" t="inlineStr">
        <is>
          <t>48070010</t>
        </is>
      </c>
      <c r="D5256" t="inlineStr">
        <is>
          <t>STRAW PAPER AND OTHER STRAW BORD,WON COVRD WITH PAPER OTHER THAN STRAW PAPER</t>
        </is>
      </c>
      <c r="E5256" s="3" t="n">
        <v>0</v>
      </c>
      <c r="F5256" s="3" t="n">
        <v>0</v>
      </c>
      <c r="G5256" s="3">
        <f>F5256-E5256</f>
        <v/>
      </c>
      <c r="H5256" s="4">
        <f>IF(E5256=0,"",F5256/E5256-1)</f>
        <v/>
      </c>
      <c r="I5256" t="inlineStr"/>
    </row>
    <row r="5257">
      <c r="A5257" t="inlineStr">
        <is>
          <t>Wood, paper &amp; printing</t>
        </is>
      </c>
      <c r="B5257" t="inlineStr">
        <is>
          <t>48</t>
        </is>
      </c>
      <c r="C5257" t="inlineStr">
        <is>
          <t>48084010</t>
        </is>
      </c>
      <c r="D5257" t="inlineStr">
        <is>
          <t>SACK KRAFT PAPER, CREPED OR CRINKLED, WHETHER OR NOT EMBOSSED OR PERFORATED</t>
        </is>
      </c>
      <c r="E5257" s="3" t="n">
        <v>0</v>
      </c>
      <c r="F5257" s="3" t="n">
        <v>0</v>
      </c>
      <c r="G5257" s="3">
        <f>F5257-E5257</f>
        <v/>
      </c>
      <c r="H5257" s="4">
        <f>IF(E5257=0,"",F5257/E5257-1)</f>
        <v/>
      </c>
      <c r="I5257" t="inlineStr"/>
    </row>
    <row r="5258">
      <c r="A5258" t="inlineStr">
        <is>
          <t>Wood, paper &amp; printing</t>
        </is>
      </c>
      <c r="B5258" t="inlineStr">
        <is>
          <t>48</t>
        </is>
      </c>
      <c r="C5258" t="inlineStr">
        <is>
          <t>48099000</t>
        </is>
      </c>
      <c r="D5258" t="inlineStr">
        <is>
          <t>OTHER COPYING OR TRANSFER PAPERS</t>
        </is>
      </c>
      <c r="E5258" s="3" t="n">
        <v>0</v>
      </c>
      <c r="F5258" s="3" t="n">
        <v>0</v>
      </c>
      <c r="G5258" s="3">
        <f>F5258-E5258</f>
        <v/>
      </c>
      <c r="H5258" s="4">
        <f>IF(E5258=0,"",F5258/E5258-1)</f>
        <v/>
      </c>
      <c r="I5258" t="inlineStr"/>
    </row>
    <row r="5259">
      <c r="A5259" t="inlineStr">
        <is>
          <t>Wood, paper &amp; printing</t>
        </is>
      </c>
      <c r="B5259" t="inlineStr">
        <is>
          <t>48</t>
        </is>
      </c>
      <c r="C5259" t="inlineStr">
        <is>
          <t>48101320</t>
        </is>
      </c>
      <c r="D5259" t="inlineStr">
        <is>
          <t>ART PAPER</t>
        </is>
      </c>
      <c r="E5259" s="3" t="n">
        <v>0</v>
      </c>
      <c r="F5259" s="3" t="n">
        <v>0</v>
      </c>
      <c r="G5259" s="3">
        <f>F5259-E5259</f>
        <v/>
      </c>
      <c r="H5259" s="4">
        <f>IF(E5259=0,"",F5259/E5259-1)</f>
        <v/>
      </c>
      <c r="I5259" t="inlineStr"/>
    </row>
    <row r="5260">
      <c r="A5260" t="inlineStr">
        <is>
          <t>Wood, paper &amp; printing</t>
        </is>
      </c>
      <c r="B5260" t="inlineStr">
        <is>
          <t>48</t>
        </is>
      </c>
      <c r="C5260" t="inlineStr">
        <is>
          <t>48101330</t>
        </is>
      </c>
      <c r="D5260" t="inlineStr">
        <is>
          <t>CHROME PAPER OR PAPERBOARD</t>
        </is>
      </c>
      <c r="E5260" s="3" t="n">
        <v>0.01</v>
      </c>
      <c r="F5260" s="3" t="n">
        <v>0</v>
      </c>
      <c r="G5260" s="3">
        <f>F5260-E5260</f>
        <v/>
      </c>
      <c r="H5260" s="4">
        <f>IF(E5260=0,"",F5260/E5260-1)</f>
        <v/>
      </c>
      <c r="I5260" t="inlineStr"/>
    </row>
    <row r="5261">
      <c r="A5261" t="inlineStr">
        <is>
          <t>Wood, paper &amp; printing</t>
        </is>
      </c>
      <c r="B5261" t="inlineStr">
        <is>
          <t>48</t>
        </is>
      </c>
      <c r="C5261" t="inlineStr">
        <is>
          <t>48101490</t>
        </is>
      </c>
      <c r="D5261" t="inlineStr">
        <is>
          <t>OTHERS-OF-PAPR/PAPRBOARD IN SHEETS WITH ONE SIDE&lt;435MM,OTHER SIDE&lt;297 MM IN UNFOLDED STATE</t>
        </is>
      </c>
      <c r="E5261" s="3" t="n">
        <v>0.21</v>
      </c>
      <c r="F5261" s="3" t="n">
        <v>0</v>
      </c>
      <c r="G5261" s="3">
        <f>F5261-E5261</f>
        <v/>
      </c>
      <c r="H5261" s="4">
        <f>IF(E5261=0,"",F5261/E5261-1)</f>
        <v/>
      </c>
      <c r="I5261" t="inlineStr"/>
    </row>
    <row r="5262">
      <c r="A5262" t="inlineStr">
        <is>
          <t>Wood, paper &amp; printing</t>
        </is>
      </c>
      <c r="B5262" t="inlineStr">
        <is>
          <t>48</t>
        </is>
      </c>
      <c r="C5262" t="inlineStr">
        <is>
          <t>48101910</t>
        </is>
      </c>
      <c r="D5262" t="inlineStr">
        <is>
          <t>IMITATION ART PAPER</t>
        </is>
      </c>
      <c r="E5262" s="3" t="n">
        <v>0.5600000000000001</v>
      </c>
      <c r="F5262" s="3" t="n">
        <v>0</v>
      </c>
      <c r="G5262" s="3">
        <f>F5262-E5262</f>
        <v/>
      </c>
      <c r="H5262" s="4">
        <f>IF(E5262=0,"",F5262/E5262-1)</f>
        <v/>
      </c>
      <c r="I5262" t="inlineStr"/>
    </row>
    <row r="5263">
      <c r="A5263" t="inlineStr">
        <is>
          <t>Wood, paper &amp; printing</t>
        </is>
      </c>
      <c r="B5263" t="inlineStr">
        <is>
          <t>48</t>
        </is>
      </c>
      <c r="C5263" t="inlineStr">
        <is>
          <t>48102200</t>
        </is>
      </c>
      <c r="D5263" t="inlineStr">
        <is>
          <t>LIGHT-WEIGHT COATED PAPER OTHR GRAPHC PRPS OUT OF TOTL FIBR CONTNT FIBR OBTND BY MCH PROCS&gt;10% BY WEIGHT</t>
        </is>
      </c>
      <c r="E5263" s="3" t="n">
        <v>0</v>
      </c>
      <c r="F5263" s="3" t="n">
        <v>0</v>
      </c>
      <c r="G5263" s="3">
        <f>F5263-E5263</f>
        <v/>
      </c>
      <c r="H5263" s="4">
        <f>IF(E5263=0,"",F5263/E5263-1)</f>
        <v/>
      </c>
      <c r="I5263" t="inlineStr"/>
    </row>
    <row r="5264">
      <c r="A5264" t="inlineStr">
        <is>
          <t>Wood, paper &amp; printing</t>
        </is>
      </c>
      <c r="B5264" t="inlineStr">
        <is>
          <t>48</t>
        </is>
      </c>
      <c r="C5264" t="inlineStr">
        <is>
          <t>48102900</t>
        </is>
      </c>
      <c r="D5264" t="inlineStr">
        <is>
          <t>OTHR PAPR AND PAPRBORD FR WRTNG ETC OF WHCH &gt;=10% BY WT OF TOTL FBRS CNTNT CNSSTS OF FIBRS OBTND BY A MCHNCL PRCSS</t>
        </is>
      </c>
      <c r="E5264" s="3" t="n">
        <v>0.18</v>
      </c>
      <c r="F5264" s="3" t="n">
        <v>0</v>
      </c>
      <c r="G5264" s="3">
        <f>F5264-E5264</f>
        <v/>
      </c>
      <c r="H5264" s="4">
        <f>IF(E5264=0,"",F5264/E5264-1)</f>
        <v/>
      </c>
      <c r="I5264" t="inlineStr"/>
    </row>
    <row r="5265">
      <c r="A5265" t="inlineStr">
        <is>
          <t>Wood, paper &amp; printing</t>
        </is>
      </c>
      <c r="B5265" t="inlineStr">
        <is>
          <t>48</t>
        </is>
      </c>
      <c r="C5265" t="inlineStr">
        <is>
          <t>48103910</t>
        </is>
      </c>
      <c r="D5265" t="inlineStr">
        <is>
          <t>INSULATING PAPER</t>
        </is>
      </c>
      <c r="E5265" s="3" t="n">
        <v>0</v>
      </c>
      <c r="F5265" s="3" t="n">
        <v>0</v>
      </c>
      <c r="G5265" s="3">
        <f>F5265-E5265</f>
        <v/>
      </c>
      <c r="H5265" s="4">
        <f>IF(E5265=0,"",F5265/E5265-1)</f>
        <v/>
      </c>
      <c r="I5265" t="inlineStr"/>
    </row>
    <row r="5266">
      <c r="A5266" t="inlineStr">
        <is>
          <t>Wood, paper &amp; printing</t>
        </is>
      </c>
      <c r="B5266" t="inlineStr">
        <is>
          <t>48</t>
        </is>
      </c>
      <c r="C5266" t="inlineStr">
        <is>
          <t>48119012</t>
        </is>
      </c>
      <c r="D5266" t="inlineStr">
        <is>
          <t>CHROMO AND ART PAPER COATED</t>
        </is>
      </c>
      <c r="E5266" s="3" t="n">
        <v>0</v>
      </c>
      <c r="F5266" s="3" t="n">
        <v>0</v>
      </c>
      <c r="G5266" s="3">
        <f>F5266-E5266</f>
        <v/>
      </c>
      <c r="H5266" s="4">
        <f>IF(E5266=0,"",F5266/E5266-1)</f>
        <v/>
      </c>
      <c r="I5266" t="inlineStr"/>
    </row>
    <row r="5267">
      <c r="A5267" t="inlineStr">
        <is>
          <t>Wood, paper &amp; printing</t>
        </is>
      </c>
      <c r="B5267" t="inlineStr">
        <is>
          <t>48</t>
        </is>
      </c>
      <c r="C5267" t="inlineStr">
        <is>
          <t>48119093</t>
        </is>
      </c>
      <c r="D5267" t="inlineStr">
        <is>
          <t>THERMAL PAPER FOR FAX MACHINES</t>
        </is>
      </c>
      <c r="E5267" s="3" t="n">
        <v>0</v>
      </c>
      <c r="F5267" s="3" t="n">
        <v>0</v>
      </c>
      <c r="G5267" s="3">
        <f>F5267-E5267</f>
        <v/>
      </c>
      <c r="H5267" s="4">
        <f>IF(E5267=0,"",F5267/E5267-1)</f>
        <v/>
      </c>
      <c r="I5267" t="inlineStr"/>
    </row>
    <row r="5268">
      <c r="A5268" t="inlineStr">
        <is>
          <t>Wood, paper &amp; printing</t>
        </is>
      </c>
      <c r="B5268" t="inlineStr">
        <is>
          <t>48</t>
        </is>
      </c>
      <c r="C5268" t="inlineStr">
        <is>
          <t>48120000</t>
        </is>
      </c>
      <c r="D5268" t="inlineStr">
        <is>
          <t>FILTER BLOCKS SLABS AND PLATS OF PAPR PULP</t>
        </is>
      </c>
      <c r="E5268" s="3" t="n">
        <v>0</v>
      </c>
      <c r="F5268" s="3" t="n">
        <v>0</v>
      </c>
      <c r="G5268" s="3">
        <f>F5268-E5268</f>
        <v/>
      </c>
      <c r="H5268" s="4">
        <f>IF(E5268=0,"",F5268/E5268-1)</f>
        <v/>
      </c>
      <c r="I5268" t="inlineStr"/>
    </row>
    <row r="5269">
      <c r="A5269" t="inlineStr">
        <is>
          <t>Wood, paper &amp; printing</t>
        </is>
      </c>
      <c r="B5269" t="inlineStr">
        <is>
          <t>48</t>
        </is>
      </c>
      <c r="C5269" t="inlineStr">
        <is>
          <t>48131000</t>
        </is>
      </c>
      <c r="D5269" t="inlineStr">
        <is>
          <t>PAPR IN THE FORM OF BOOKLETS OR TUBES</t>
        </is>
      </c>
      <c r="E5269" s="3" t="n">
        <v>0</v>
      </c>
      <c r="F5269" s="3" t="n">
        <v>0</v>
      </c>
      <c r="G5269" s="3">
        <f>F5269-E5269</f>
        <v/>
      </c>
      <c r="H5269" s="4">
        <f>IF(E5269=0,"",F5269/E5269-1)</f>
        <v/>
      </c>
      <c r="I5269" t="inlineStr"/>
    </row>
    <row r="5270">
      <c r="A5270" t="inlineStr">
        <is>
          <t>Wood, paper &amp; printing</t>
        </is>
      </c>
      <c r="B5270" t="inlineStr">
        <is>
          <t>48</t>
        </is>
      </c>
      <c r="C5270" t="inlineStr">
        <is>
          <t>48142000</t>
        </is>
      </c>
      <c r="D5270" t="inlineStr">
        <is>
          <t>WALPAPR AND SMLR WALCOVRNGS CONSTNG OF PAPR COATD/COVRD ON FACE SIDE WITH A GRAIND EMBOSD COLRD ETC/DECORATD LAYR OR</t>
        </is>
      </c>
      <c r="E5270" s="3" t="n">
        <v>0.02</v>
      </c>
      <c r="F5270" s="3" t="n">
        <v>0</v>
      </c>
      <c r="G5270" s="3">
        <f>F5270-E5270</f>
        <v/>
      </c>
      <c r="H5270" s="4">
        <f>IF(E5270=0,"",F5270/E5270-1)</f>
        <v/>
      </c>
      <c r="I5270" t="inlineStr"/>
    </row>
    <row r="5271">
      <c r="A5271" t="inlineStr">
        <is>
          <t>Wood, paper &amp; printing</t>
        </is>
      </c>
      <c r="B5271" t="inlineStr">
        <is>
          <t>48</t>
        </is>
      </c>
      <c r="C5271" t="inlineStr">
        <is>
          <t>48162090</t>
        </is>
      </c>
      <c r="D5271" t="inlineStr">
        <is>
          <t>OTHERS-OF-SELF COPY PAPER</t>
        </is>
      </c>
      <c r="E5271" s="3" t="n">
        <v>0</v>
      </c>
      <c r="F5271" s="3" t="n">
        <v>0</v>
      </c>
      <c r="G5271" s="3">
        <f>F5271-E5271</f>
        <v/>
      </c>
      <c r="H5271" s="4">
        <f>IF(E5271=0,"",F5271/E5271-1)</f>
        <v/>
      </c>
      <c r="I5271" t="inlineStr"/>
    </row>
    <row r="5272">
      <c r="A5272" t="inlineStr">
        <is>
          <t>Wood, paper &amp; printing</t>
        </is>
      </c>
      <c r="B5272" t="inlineStr">
        <is>
          <t>48</t>
        </is>
      </c>
      <c r="C5272" t="inlineStr">
        <is>
          <t>48169020</t>
        </is>
      </c>
      <c r="D5272" t="inlineStr">
        <is>
          <t>CALCULATNG MACH PAPR IN ROLLS AND STRIPS NT EXCEDNG 15 CM IN WIDTH</t>
        </is>
      </c>
      <c r="E5272" s="3" t="n">
        <v>0</v>
      </c>
      <c r="F5272" s="3" t="n">
        <v>0</v>
      </c>
      <c r="G5272" s="3">
        <f>F5272-E5272</f>
        <v/>
      </c>
      <c r="H5272" s="4">
        <f>IF(E5272=0,"",F5272/E5272-1)</f>
        <v/>
      </c>
      <c r="I5272" t="inlineStr"/>
    </row>
    <row r="5273">
      <c r="A5273" t="inlineStr">
        <is>
          <t>Wood, paper &amp; printing</t>
        </is>
      </c>
      <c r="B5273" t="inlineStr">
        <is>
          <t>48</t>
        </is>
      </c>
      <c r="C5273" t="inlineStr">
        <is>
          <t>48172000</t>
        </is>
      </c>
      <c r="D5273" t="inlineStr">
        <is>
          <t>LTR CRDS,PLN POSTCRDS AND CORSPNDNCE CRDS</t>
        </is>
      </c>
      <c r="E5273" s="3" t="n">
        <v>0</v>
      </c>
      <c r="F5273" s="3" t="n">
        <v>0</v>
      </c>
      <c r="G5273" s="3">
        <f>F5273-E5273</f>
        <v/>
      </c>
      <c r="H5273" s="4">
        <f>IF(E5273=0,"",F5273/E5273-1)</f>
        <v/>
      </c>
      <c r="I5273" t="inlineStr"/>
    </row>
    <row r="5274">
      <c r="A5274" t="inlineStr">
        <is>
          <t>Wood, paper &amp; printing</t>
        </is>
      </c>
      <c r="B5274" t="inlineStr">
        <is>
          <t>48</t>
        </is>
      </c>
      <c r="C5274" t="inlineStr">
        <is>
          <t>48173010</t>
        </is>
      </c>
      <c r="D5274" t="inlineStr">
        <is>
          <t>WRITING BLOCKS</t>
        </is>
      </c>
      <c r="E5274" s="3" t="n">
        <v>0</v>
      </c>
      <c r="F5274" s="3" t="n">
        <v>0</v>
      </c>
      <c r="G5274" s="3">
        <f>F5274-E5274</f>
        <v/>
      </c>
      <c r="H5274" s="4">
        <f>IF(E5274=0,"",F5274/E5274-1)</f>
        <v/>
      </c>
      <c r="I5274" t="inlineStr"/>
    </row>
    <row r="5275">
      <c r="A5275" t="inlineStr">
        <is>
          <t>Wood, paper &amp; printing</t>
        </is>
      </c>
      <c r="B5275" t="inlineStr">
        <is>
          <t>48</t>
        </is>
      </c>
      <c r="C5275" t="inlineStr">
        <is>
          <t>48173090</t>
        </is>
      </c>
      <c r="D5275" t="inlineStr">
        <is>
          <t>OTHR PAPR STATIONERY FR CORSPNDNCE CONTNG ONLY AN ASORTMNT OF PAPR STATIONRY</t>
        </is>
      </c>
      <c r="E5275" s="3" t="n">
        <v>0.03</v>
      </c>
      <c r="F5275" s="3" t="n">
        <v>0</v>
      </c>
      <c r="G5275" s="3">
        <f>F5275-E5275</f>
        <v/>
      </c>
      <c r="H5275" s="4">
        <f>IF(E5275=0,"",F5275/E5275-1)</f>
        <v/>
      </c>
      <c r="I5275" t="inlineStr"/>
    </row>
    <row r="5276">
      <c r="A5276" t="inlineStr">
        <is>
          <t>Wood, paper &amp; printing</t>
        </is>
      </c>
      <c r="B5276" t="inlineStr">
        <is>
          <t>48</t>
        </is>
      </c>
      <c r="C5276" t="inlineStr">
        <is>
          <t>48185000</t>
        </is>
      </c>
      <c r="D5276" t="inlineStr">
        <is>
          <t>ARTCLS OF APPAREL ANDCLOTHNG ACCESSORIES</t>
        </is>
      </c>
      <c r="E5276" s="3" t="n">
        <v>0.01</v>
      </c>
      <c r="F5276" s="3" t="n">
        <v>0</v>
      </c>
      <c r="G5276" s="3">
        <f>F5276-E5276</f>
        <v/>
      </c>
      <c r="H5276" s="4">
        <f>IF(E5276=0,"",F5276/E5276-1)</f>
        <v/>
      </c>
      <c r="I5276" t="inlineStr"/>
    </row>
    <row r="5277">
      <c r="A5277" t="inlineStr">
        <is>
          <t>Wood, paper &amp; printing</t>
        </is>
      </c>
      <c r="B5277" t="inlineStr">
        <is>
          <t>48</t>
        </is>
      </c>
      <c r="C5277" t="inlineStr">
        <is>
          <t>48192010</t>
        </is>
      </c>
      <c r="D5277" t="inlineStr">
        <is>
          <t>CARTNS/BOXES/CASES FOR PACKNG MATCH STICKSSTICKS</t>
        </is>
      </c>
      <c r="E5277" s="3" t="n">
        <v>0.13</v>
      </c>
      <c r="F5277" s="3" t="n">
        <v>0</v>
      </c>
      <c r="G5277" s="3">
        <f>F5277-E5277</f>
        <v/>
      </c>
      <c r="H5277" s="4">
        <f>IF(E5277=0,"",F5277/E5277-1)</f>
        <v/>
      </c>
      <c r="I5277" t="inlineStr"/>
    </row>
    <row r="5278">
      <c r="A5278" t="inlineStr">
        <is>
          <t>Wood, paper &amp; printing</t>
        </is>
      </c>
      <c r="B5278" t="inlineStr">
        <is>
          <t>48</t>
        </is>
      </c>
      <c r="C5278" t="inlineStr">
        <is>
          <t>48195010</t>
        </is>
      </c>
      <c r="D5278" t="inlineStr">
        <is>
          <t>OTHR PACKNG CONTNRS MADE OF CRRUGATED PAPER/PAPRBORD</t>
        </is>
      </c>
      <c r="E5278" s="3" t="n">
        <v>0</v>
      </c>
      <c r="F5278" s="3" t="n">
        <v>0</v>
      </c>
      <c r="G5278" s="3">
        <f>F5278-E5278</f>
        <v/>
      </c>
      <c r="H5278" s="4">
        <f>IF(E5278=0,"",F5278/E5278-1)</f>
        <v/>
      </c>
      <c r="I5278" t="inlineStr"/>
    </row>
    <row r="5279">
      <c r="A5279" t="inlineStr">
        <is>
          <t>Wood, paper &amp; printing</t>
        </is>
      </c>
      <c r="B5279" t="inlineStr">
        <is>
          <t>48</t>
        </is>
      </c>
      <c r="C5279" t="inlineStr">
        <is>
          <t>48196000</t>
        </is>
      </c>
      <c r="D5279" t="inlineStr">
        <is>
          <t>BOX FILES LETR TRAYS STORGE BOXS AND SIMLR ARTCLS USD IN OFFCS SHOPS OR THE LIKE</t>
        </is>
      </c>
      <c r="E5279" s="3" t="n">
        <v>0</v>
      </c>
      <c r="F5279" s="3" t="n">
        <v>0</v>
      </c>
      <c r="G5279" s="3">
        <f>F5279-E5279</f>
        <v/>
      </c>
      <c r="H5279" s="4">
        <f>IF(E5279=0,"",F5279/E5279-1)</f>
        <v/>
      </c>
      <c r="I5279" t="inlineStr"/>
    </row>
    <row r="5280">
      <c r="A5280" t="inlineStr">
        <is>
          <t>Wood, paper &amp; printing</t>
        </is>
      </c>
      <c r="B5280" t="inlineStr">
        <is>
          <t>48</t>
        </is>
      </c>
      <c r="C5280" t="inlineStr">
        <is>
          <t>48204000</t>
        </is>
      </c>
      <c r="D5280" t="inlineStr">
        <is>
          <t>MANIFOLD BUSINES FORMS,INTRLVD CRBN SETS</t>
        </is>
      </c>
      <c r="E5280" s="3" t="n">
        <v>0</v>
      </c>
      <c r="F5280" s="3" t="n">
        <v>0</v>
      </c>
      <c r="G5280" s="3">
        <f>F5280-E5280</f>
        <v/>
      </c>
      <c r="H5280" s="4">
        <f>IF(E5280=0,"",F5280/E5280-1)</f>
        <v/>
      </c>
      <c r="I5280" t="inlineStr"/>
    </row>
    <row r="5281">
      <c r="A5281" t="inlineStr">
        <is>
          <t>Wood, paper &amp; printing</t>
        </is>
      </c>
      <c r="B5281" t="inlineStr">
        <is>
          <t>48</t>
        </is>
      </c>
      <c r="C5281" t="inlineStr">
        <is>
          <t>48205000</t>
        </is>
      </c>
      <c r="D5281" t="inlineStr">
        <is>
          <t>ALBUMS FOR SAMPLS OR FOR COLLECTIONS</t>
        </is>
      </c>
      <c r="E5281" s="3" t="n">
        <v>0</v>
      </c>
      <c r="F5281" s="3" t="n">
        <v>0</v>
      </c>
      <c r="G5281" s="3">
        <f>F5281-E5281</f>
        <v/>
      </c>
      <c r="H5281" s="4">
        <f>IF(E5281=0,"",F5281/E5281-1)</f>
        <v/>
      </c>
      <c r="I5281" t="inlineStr"/>
    </row>
    <row r="5282">
      <c r="A5282" t="inlineStr">
        <is>
          <t>Wood, paper &amp; printing</t>
        </is>
      </c>
      <c r="B5282" t="inlineStr">
        <is>
          <t>48</t>
        </is>
      </c>
      <c r="C5282" t="inlineStr">
        <is>
          <t>48229010</t>
        </is>
      </c>
      <c r="D5282" t="inlineStr">
        <is>
          <t>PAPER TUBE OF ALL KINDS</t>
        </is>
      </c>
      <c r="E5282" s="3" t="n">
        <v>0.07000000000000001</v>
      </c>
      <c r="F5282" s="3" t="n">
        <v>0</v>
      </c>
      <c r="G5282" s="3">
        <f>F5282-E5282</f>
        <v/>
      </c>
      <c r="H5282" s="4">
        <f>IF(E5282=0,"",F5282/E5282-1)</f>
        <v/>
      </c>
      <c r="I5282" t="inlineStr"/>
    </row>
    <row r="5283">
      <c r="A5283" t="inlineStr">
        <is>
          <t>Wood, paper &amp; printing</t>
        </is>
      </c>
      <c r="B5283" t="inlineStr">
        <is>
          <t>48</t>
        </is>
      </c>
      <c r="C5283" t="inlineStr">
        <is>
          <t>48236100</t>
        </is>
      </c>
      <c r="D5283" t="inlineStr">
        <is>
          <t>OF BAMBOO</t>
        </is>
      </c>
      <c r="E5283" s="3" t="n">
        <v>0.04</v>
      </c>
      <c r="F5283" s="3" t="n">
        <v>0</v>
      </c>
      <c r="G5283" s="3">
        <f>F5283-E5283</f>
        <v/>
      </c>
      <c r="H5283" s="4">
        <f>IF(E5283=0,"",F5283/E5283-1)</f>
        <v/>
      </c>
      <c r="I5283" t="inlineStr"/>
    </row>
    <row r="5284">
      <c r="A5284" t="inlineStr">
        <is>
          <t>Wood, paper &amp; printing</t>
        </is>
      </c>
      <c r="B5284" t="inlineStr">
        <is>
          <t>48</t>
        </is>
      </c>
      <c r="C5284" t="inlineStr">
        <is>
          <t>48239011</t>
        </is>
      </c>
      <c r="D5284" t="inlineStr">
        <is>
          <t>BRAILLE PAPER</t>
        </is>
      </c>
      <c r="E5284" s="3" t="n">
        <v>0</v>
      </c>
      <c r="F5284" s="3" t="n">
        <v>0</v>
      </c>
      <c r="G5284" s="3">
        <f>F5284-E5284</f>
        <v/>
      </c>
      <c r="H5284" s="4">
        <f>IF(E5284=0,"",F5284/E5284-1)</f>
        <v/>
      </c>
      <c r="I5284" t="inlineStr"/>
    </row>
    <row r="5285">
      <c r="A5285" t="inlineStr">
        <is>
          <t>Wood, paper &amp; printing</t>
        </is>
      </c>
      <c r="B5285" t="inlineStr">
        <is>
          <t>48</t>
        </is>
      </c>
      <c r="C5285" t="inlineStr">
        <is>
          <t>48239012</t>
        </is>
      </c>
      <c r="D5285" t="inlineStr">
        <is>
          <t>CELLULOSE IN SOLE BOARD/SHEET</t>
        </is>
      </c>
      <c r="E5285" s="3" t="n">
        <v>0</v>
      </c>
      <c r="F5285" s="3" t="n">
        <v>0</v>
      </c>
      <c r="G5285" s="3">
        <f>F5285-E5285</f>
        <v/>
      </c>
      <c r="H5285" s="4">
        <f>IF(E5285=0,"",F5285/E5285-1)</f>
        <v/>
      </c>
      <c r="I5285" t="inlineStr"/>
    </row>
    <row r="5286">
      <c r="A5286" t="inlineStr">
        <is>
          <t>Wood, paper &amp; printing</t>
        </is>
      </c>
      <c r="B5286" t="inlineStr">
        <is>
          <t>48</t>
        </is>
      </c>
      <c r="C5286" t="inlineStr">
        <is>
          <t>48239016</t>
        </is>
      </c>
      <c r="D5286" t="inlineStr">
        <is>
          <t>PATTERNS OF PAPR FOR LEATHER FOOTWEAR/ GARMENTS/GOODS</t>
        </is>
      </c>
      <c r="E5286" s="3" t="n">
        <v>0</v>
      </c>
      <c r="F5286" s="3" t="n">
        <v>0</v>
      </c>
      <c r="G5286" s="3">
        <f>F5286-E5286</f>
        <v/>
      </c>
      <c r="H5286" s="4">
        <f>IF(E5286=0,"",F5286/E5286-1)</f>
        <v/>
      </c>
      <c r="I5286" t="inlineStr"/>
    </row>
    <row r="5287">
      <c r="A5287" t="inlineStr">
        <is>
          <t>Wood, paper &amp; printing</t>
        </is>
      </c>
      <c r="B5287" t="inlineStr">
        <is>
          <t>48</t>
        </is>
      </c>
      <c r="C5287" t="inlineStr">
        <is>
          <t>48239030</t>
        </is>
      </c>
      <c r="D5287" t="inlineStr">
        <is>
          <t>PLAIN OR EMBOSSED SEALS MADE OF PAPER LAMINATED PAPR OR PAPR GASKETS.</t>
        </is>
      </c>
      <c r="E5287" s="3" t="n">
        <v>0</v>
      </c>
      <c r="F5287" s="3" t="n">
        <v>0</v>
      </c>
      <c r="G5287" s="3">
        <f>F5287-E5287</f>
        <v/>
      </c>
      <c r="H5287" s="4">
        <f>IF(E5287=0,"",F5287/E5287-1)</f>
        <v/>
      </c>
      <c r="I5287" t="inlineStr"/>
    </row>
    <row r="5288">
      <c r="A5288" t="inlineStr">
        <is>
          <t>Wood, paper &amp; printing</t>
        </is>
      </c>
      <c r="B5288" t="inlineStr">
        <is>
          <t>49</t>
        </is>
      </c>
      <c r="C5288" t="inlineStr">
        <is>
          <t>49021010</t>
        </is>
      </c>
      <c r="D5288" t="inlineStr">
        <is>
          <t>NEWSPAPER</t>
        </is>
      </c>
      <c r="E5288" s="3" t="n">
        <v>0.01</v>
      </c>
      <c r="F5288" s="3" t="n">
        <v>0</v>
      </c>
      <c r="G5288" s="3">
        <f>F5288-E5288</f>
        <v/>
      </c>
      <c r="H5288" s="4">
        <f>IF(E5288=0,"",F5288/E5288-1)</f>
        <v/>
      </c>
      <c r="I5288" t="inlineStr"/>
    </row>
    <row r="5289">
      <c r="A5289" t="inlineStr">
        <is>
          <t>Wood, paper &amp; printing</t>
        </is>
      </c>
      <c r="B5289" t="inlineStr">
        <is>
          <t>49</t>
        </is>
      </c>
      <c r="C5289" t="inlineStr">
        <is>
          <t>49021020</t>
        </is>
      </c>
      <c r="D5289" t="inlineStr">
        <is>
          <t>JOURNALS AND PERIODICALS</t>
        </is>
      </c>
      <c r="E5289" s="3" t="n">
        <v>0</v>
      </c>
      <c r="F5289" s="3" t="n">
        <v>0</v>
      </c>
      <c r="G5289" s="3">
        <f>F5289-E5289</f>
        <v/>
      </c>
      <c r="H5289" s="4">
        <f>IF(E5289=0,"",F5289/E5289-1)</f>
        <v/>
      </c>
      <c r="I5289" t="inlineStr"/>
    </row>
    <row r="5290">
      <c r="A5290" t="inlineStr">
        <is>
          <t>Wood, paper &amp; printing</t>
        </is>
      </c>
      <c r="B5290" t="inlineStr">
        <is>
          <t>49</t>
        </is>
      </c>
      <c r="C5290" t="inlineStr">
        <is>
          <t>49059010</t>
        </is>
      </c>
      <c r="D5290" t="inlineStr">
        <is>
          <t>GEOGRAPHICAL, HYDROLOGICAL, ASTRONOMICAL MAPS OR CHARTS</t>
        </is>
      </c>
      <c r="E5290" s="3" t="n">
        <v>0</v>
      </c>
      <c r="F5290" s="3" t="n">
        <v>0</v>
      </c>
      <c r="G5290" s="3">
        <f>F5290-E5290</f>
        <v/>
      </c>
      <c r="H5290" s="4">
        <f>IF(E5290=0,"",F5290/E5290-1)</f>
        <v/>
      </c>
      <c r="I5290" t="inlineStr"/>
    </row>
    <row r="5291">
      <c r="A5291" t="inlineStr">
        <is>
          <t>Wood, paper &amp; printing</t>
        </is>
      </c>
      <c r="B5291" t="inlineStr">
        <is>
          <t>49</t>
        </is>
      </c>
      <c r="C5291" t="inlineStr">
        <is>
          <t>49059020</t>
        </is>
      </c>
      <c r="D5291" t="inlineStr">
        <is>
          <t>GLOBE</t>
        </is>
      </c>
      <c r="E5291" s="3" t="n">
        <v>0</v>
      </c>
      <c r="F5291" s="3" t="n">
        <v>0</v>
      </c>
      <c r="G5291" s="3">
        <f>F5291-E5291</f>
        <v/>
      </c>
      <c r="H5291" s="4">
        <f>IF(E5291=0,"",F5291/E5291-1)</f>
        <v/>
      </c>
      <c r="I5291" t="inlineStr"/>
    </row>
    <row r="5292">
      <c r="A5292" t="inlineStr">
        <is>
          <t>Wood, paper &amp; printing</t>
        </is>
      </c>
      <c r="B5292" t="inlineStr">
        <is>
          <t>49</t>
        </is>
      </c>
      <c r="C5292" t="inlineStr">
        <is>
          <t>49070090</t>
        </is>
      </c>
      <c r="D5292" t="inlineStr">
        <is>
          <t>OTHER TITL DOCUMT</t>
        </is>
      </c>
      <c r="E5292" s="3" t="n">
        <v>0</v>
      </c>
      <c r="F5292" s="3" t="n">
        <v>0</v>
      </c>
      <c r="G5292" s="3">
        <f>F5292-E5292</f>
        <v/>
      </c>
      <c r="H5292" s="4">
        <f>IF(E5292=0,"",F5292/E5292-1)</f>
        <v/>
      </c>
      <c r="I5292" t="inlineStr"/>
    </row>
    <row r="5293">
      <c r="A5293" t="inlineStr">
        <is>
          <t>Wood, paper &amp; printing</t>
        </is>
      </c>
      <c r="B5293" t="inlineStr">
        <is>
          <t>49</t>
        </is>
      </c>
      <c r="C5293" t="inlineStr">
        <is>
          <t>49090010</t>
        </is>
      </c>
      <c r="D5293" t="inlineStr">
        <is>
          <t>GREETINGS CARDS</t>
        </is>
      </c>
      <c r="E5293" s="3" t="n">
        <v>0.01</v>
      </c>
      <c r="F5293" s="3" t="n">
        <v>0</v>
      </c>
      <c r="G5293" s="3">
        <f>F5293-E5293</f>
        <v/>
      </c>
      <c r="H5293" s="4">
        <f>IF(E5293=0,"",F5293/E5293-1)</f>
        <v/>
      </c>
      <c r="I5293" t="inlineStr"/>
    </row>
    <row r="5294">
      <c r="A5294" t="inlineStr">
        <is>
          <t>Wood, paper &amp; printing</t>
        </is>
      </c>
      <c r="B5294" t="inlineStr">
        <is>
          <t>49</t>
        </is>
      </c>
      <c r="C5294" t="inlineStr">
        <is>
          <t>49090090</t>
        </is>
      </c>
      <c r="D5294" t="inlineStr">
        <is>
          <t>OTHERS-OF-PRNTD OR ILUSTRTD POSTCRDS PRNTD CRDS CNTNG GREETNGS MESAGE OR ANOUNCMNTS W/N ILSTRTD WITH ENVLPS OR TRIMNGS OR NO</t>
        </is>
      </c>
      <c r="E5294" s="3" t="n">
        <v>0.03</v>
      </c>
      <c r="F5294" s="3" t="n">
        <v>0</v>
      </c>
      <c r="G5294" s="3">
        <f>F5294-E5294</f>
        <v/>
      </c>
      <c r="H5294" s="4">
        <f>IF(E5294=0,"",F5294/E5294-1)</f>
        <v/>
      </c>
      <c r="I5294" t="inlineStr"/>
    </row>
    <row r="5295">
      <c r="A5295" t="inlineStr">
        <is>
          <t>Wood, paper &amp; printing</t>
        </is>
      </c>
      <c r="B5295" t="inlineStr">
        <is>
          <t>49</t>
        </is>
      </c>
      <c r="C5295" t="inlineStr">
        <is>
          <t>49111030</t>
        </is>
      </c>
      <c r="D5295" t="inlineStr">
        <is>
          <t>PRINTED INLAY CARDS ETC.</t>
        </is>
      </c>
      <c r="E5295" s="3" t="n">
        <v>0.04</v>
      </c>
      <c r="F5295" s="3" t="n">
        <v>0</v>
      </c>
      <c r="G5295" s="3">
        <f>F5295-E5295</f>
        <v/>
      </c>
      <c r="H5295" s="4">
        <f>IF(E5295=0,"",F5295/E5295-1)</f>
        <v/>
      </c>
      <c r="I5295" t="inlineStr"/>
    </row>
    <row r="5296">
      <c r="A5296" t="inlineStr">
        <is>
          <t>Wood, paper &amp; printing</t>
        </is>
      </c>
      <c r="B5296" t="inlineStr">
        <is>
          <t>49</t>
        </is>
      </c>
      <c r="C5296" t="inlineStr">
        <is>
          <t>49119920</t>
        </is>
      </c>
      <c r="D5296" t="inlineStr">
        <is>
          <t>PLAN/DRAWING FOR ENGG/INDUSTRY/COMMERCL/ SIMILAR PURPOSE PRODUCED BY COMPUTER/ SIMILAR DEVICE.</t>
        </is>
      </c>
      <c r="E5296" s="3" t="n">
        <v>0.01</v>
      </c>
      <c r="F5296" s="3" t="n">
        <v>0</v>
      </c>
      <c r="G5296" s="3">
        <f>F5296-E5296</f>
        <v/>
      </c>
      <c r="H5296" s="4">
        <f>IF(E5296=0,"",F5296/E5296-1)</f>
        <v/>
      </c>
      <c r="I5296" t="inlineStr"/>
    </row>
    <row r="5297">
      <c r="A5297" s="6" t="inlineStr">
        <is>
          <t>Instruments &amp; medical devices  —  223 lines</t>
        </is>
      </c>
      <c r="B5297" s="6" t="inlineStr"/>
      <c r="C5297" s="6" t="inlineStr"/>
      <c r="D5297" s="6" t="inlineStr"/>
      <c r="E5297" s="7" t="n">
        <v>1092.41</v>
      </c>
      <c r="F5297" s="7" t="n">
        <v>241.35</v>
      </c>
      <c r="G5297" s="7" t="n">
        <v>-851.0599999999999</v>
      </c>
      <c r="H5297" s="8" t="n">
        <v>-0.7790664677181642</v>
      </c>
      <c r="I5297" s="6" t="inlineStr"/>
    </row>
    <row r="5298">
      <c r="A5298" t="inlineStr">
        <is>
          <t>Instruments &amp; medical devices</t>
        </is>
      </c>
      <c r="B5298" t="inlineStr">
        <is>
          <t>90</t>
        </is>
      </c>
      <c r="C5298" t="inlineStr">
        <is>
          <t>90262000</t>
        </is>
      </c>
      <c r="D5298" t="inlineStr">
        <is>
          <t>INSTRMNTS AND APRTS FR MSRNG/CHKNG PRESSURE</t>
        </is>
      </c>
      <c r="E5298" s="3" t="n">
        <v>20.5</v>
      </c>
      <c r="F5298" s="3" t="n">
        <v>27.9</v>
      </c>
      <c r="G5298" s="3">
        <f>F5298-E5298</f>
        <v/>
      </c>
      <c r="H5298" s="4">
        <f>IF(E5298=0,"",F5298/E5298-1)</f>
        <v/>
      </c>
      <c r="I5298" t="inlineStr"/>
    </row>
    <row r="5299">
      <c r="A5299" t="inlineStr">
        <is>
          <t>Instruments &amp; medical devices</t>
        </is>
      </c>
      <c r="B5299" t="inlineStr">
        <is>
          <t>90</t>
        </is>
      </c>
      <c r="C5299" t="inlineStr">
        <is>
          <t>90011000</t>
        </is>
      </c>
      <c r="D5299" t="inlineStr">
        <is>
          <t>OPTCL FIBRS,OPTICAL FIBRE BUNDLES AND CABLES</t>
        </is>
      </c>
      <c r="E5299" s="3" t="n">
        <v>18.27</v>
      </c>
      <c r="F5299" s="3" t="n">
        <v>25.33</v>
      </c>
      <c r="G5299" s="3">
        <f>F5299-E5299</f>
        <v/>
      </c>
      <c r="H5299" s="4">
        <f>IF(E5299=0,"",F5299/E5299-1)</f>
        <v/>
      </c>
      <c r="I5299" t="inlineStr"/>
    </row>
    <row r="5300">
      <c r="A5300" t="inlineStr">
        <is>
          <t>Instruments &amp; medical devices</t>
        </is>
      </c>
      <c r="B5300" t="inlineStr">
        <is>
          <t>90</t>
        </is>
      </c>
      <c r="C5300" t="inlineStr">
        <is>
          <t>90328990</t>
        </is>
      </c>
      <c r="D5300" t="inlineStr">
        <is>
          <t>OTHR ATMTC RGLTNG/CNTRLNG INSTRMNTSANDAPPRTS</t>
        </is>
      </c>
      <c r="E5300" s="3" t="n">
        <v>15.93</v>
      </c>
      <c r="F5300" s="3" t="n">
        <v>23.8</v>
      </c>
      <c r="G5300" s="3">
        <f>F5300-E5300</f>
        <v/>
      </c>
      <c r="H5300" s="4">
        <f>IF(E5300=0,"",F5300/E5300-1)</f>
        <v/>
      </c>
      <c r="I5300" t="inlineStr"/>
    </row>
    <row r="5301">
      <c r="A5301" t="inlineStr">
        <is>
          <t>Instruments &amp; medical devices</t>
        </is>
      </c>
      <c r="B5301" t="inlineStr">
        <is>
          <t>90</t>
        </is>
      </c>
      <c r="C5301" t="inlineStr">
        <is>
          <t>90279090</t>
        </is>
      </c>
      <c r="D5301" t="inlineStr">
        <is>
          <t>OTHR PARTS AND ACCESSORS OF HDG 9027</t>
        </is>
      </c>
      <c r="E5301" s="3" t="n">
        <v>4.31</v>
      </c>
      <c r="F5301" s="3" t="n">
        <v>14.55</v>
      </c>
      <c r="G5301" s="3">
        <f>F5301-E5301</f>
        <v/>
      </c>
      <c r="H5301" s="4">
        <f>IF(E5301=0,"",F5301/E5301-1)</f>
        <v/>
      </c>
      <c r="I5301" t="inlineStr"/>
    </row>
    <row r="5302">
      <c r="A5302" t="inlineStr">
        <is>
          <t>Instruments &amp; medical devices</t>
        </is>
      </c>
      <c r="B5302" t="inlineStr">
        <is>
          <t>90</t>
        </is>
      </c>
      <c r="C5302" t="inlineStr">
        <is>
          <t>90261010</t>
        </is>
      </c>
      <c r="D5302" t="inlineStr">
        <is>
          <t>FLOW METERS (GAS)</t>
        </is>
      </c>
      <c r="E5302" s="3" t="n">
        <v>6.64</v>
      </c>
      <c r="F5302" s="3" t="n">
        <v>13.94</v>
      </c>
      <c r="G5302" s="3">
        <f>F5302-E5302</f>
        <v/>
      </c>
      <c r="H5302" s="4">
        <f>IF(E5302=0,"",F5302/E5302-1)</f>
        <v/>
      </c>
      <c r="I5302" t="inlineStr"/>
    </row>
    <row r="5303">
      <c r="A5303" t="inlineStr">
        <is>
          <t>Instruments &amp; medical devices</t>
        </is>
      </c>
      <c r="B5303" t="inlineStr">
        <is>
          <t>90</t>
        </is>
      </c>
      <c r="C5303" t="inlineStr">
        <is>
          <t>90183990</t>
        </is>
      </c>
      <c r="D5303" t="inlineStr">
        <is>
          <t>OTHERS-OF-CATHETERS AND THE LIKE; OTHER NEEDLES</t>
        </is>
      </c>
      <c r="E5303" s="3" t="n">
        <v>9.119999999999999</v>
      </c>
      <c r="F5303" s="3" t="n">
        <v>12.43</v>
      </c>
      <c r="G5303" s="3">
        <f>F5303-E5303</f>
        <v/>
      </c>
      <c r="H5303" s="4">
        <f>IF(E5303=0,"",F5303/E5303-1)</f>
        <v/>
      </c>
      <c r="I5303" t="inlineStr"/>
    </row>
    <row r="5304">
      <c r="A5304" t="inlineStr">
        <is>
          <t>Instruments &amp; medical devices</t>
        </is>
      </c>
      <c r="B5304" t="inlineStr">
        <is>
          <t>90</t>
        </is>
      </c>
      <c r="C5304" t="inlineStr">
        <is>
          <t>90211000</t>
        </is>
      </c>
      <c r="D5304" t="inlineStr">
        <is>
          <t>ORTHOPEAEDIC OR FRACTURE APPLIANCES</t>
        </is>
      </c>
      <c r="E5304" s="3" t="n">
        <v>5.28</v>
      </c>
      <c r="F5304" s="3" t="n">
        <v>7.96</v>
      </c>
      <c r="G5304" s="3">
        <f>F5304-E5304</f>
        <v/>
      </c>
      <c r="H5304" s="4">
        <f>IF(E5304=0,"",F5304/E5304-1)</f>
        <v/>
      </c>
      <c r="I5304" t="inlineStr"/>
    </row>
    <row r="5305">
      <c r="A5305" t="inlineStr">
        <is>
          <t>Instruments &amp; medical devices</t>
        </is>
      </c>
      <c r="B5305" t="inlineStr">
        <is>
          <t>90</t>
        </is>
      </c>
      <c r="C5305" t="inlineStr">
        <is>
          <t>90261090</t>
        </is>
      </c>
      <c r="D5305" t="inlineStr">
        <is>
          <t>OTHER INSTRUMENTS AND APPARATUS FOR MEASURING OR CHECKING THE FLOW</t>
        </is>
      </c>
      <c r="E5305" s="3" t="n">
        <v>3.45</v>
      </c>
      <c r="F5305" s="3" t="n">
        <v>7.09</v>
      </c>
      <c r="G5305" s="3">
        <f>F5305-E5305</f>
        <v/>
      </c>
      <c r="H5305" s="4">
        <f>IF(E5305=0,"",F5305/E5305-1)</f>
        <v/>
      </c>
      <c r="I5305" t="inlineStr"/>
    </row>
    <row r="5306">
      <c r="A5306" t="inlineStr">
        <is>
          <t>Instruments &amp; medical devices</t>
        </is>
      </c>
      <c r="B5306" t="inlineStr">
        <is>
          <t>90</t>
        </is>
      </c>
      <c r="C5306" t="inlineStr">
        <is>
          <t>90189099</t>
        </is>
      </c>
      <c r="D5306" t="inlineStr">
        <is>
          <t>OTHR SRGCL INSTRMNTS AND APPLNCS (INCL VTRNRY)</t>
        </is>
      </c>
      <c r="E5306" s="3" t="n">
        <v>5.63</v>
      </c>
      <c r="F5306" s="3" t="n">
        <v>5.87</v>
      </c>
      <c r="G5306" s="3">
        <f>F5306-E5306</f>
        <v/>
      </c>
      <c r="H5306" s="4">
        <f>IF(E5306=0,"",F5306/E5306-1)</f>
        <v/>
      </c>
      <c r="I5306" t="inlineStr"/>
    </row>
    <row r="5307">
      <c r="A5307" t="inlineStr">
        <is>
          <t>Instruments &amp; medical devices</t>
        </is>
      </c>
      <c r="B5307" t="inlineStr">
        <is>
          <t>90</t>
        </is>
      </c>
      <c r="C5307" t="inlineStr">
        <is>
          <t>90329000</t>
        </is>
      </c>
      <c r="D5307" t="inlineStr">
        <is>
          <t>PARTS AND ACCESSORIES OF INSTRMNTS OF 9032</t>
        </is>
      </c>
      <c r="E5307" s="3" t="n">
        <v>2.21</v>
      </c>
      <c r="F5307" s="3" t="n">
        <v>5.1</v>
      </c>
      <c r="G5307" s="3">
        <f>F5307-E5307</f>
        <v/>
      </c>
      <c r="H5307" s="4">
        <f>IF(E5307=0,"",F5307/E5307-1)</f>
        <v/>
      </c>
      <c r="I5307" t="inlineStr"/>
    </row>
    <row r="5308">
      <c r="A5308" t="inlineStr">
        <is>
          <t>Instruments &amp; medical devices</t>
        </is>
      </c>
      <c r="B5308" t="inlineStr">
        <is>
          <t>90</t>
        </is>
      </c>
      <c r="C5308" t="inlineStr">
        <is>
          <t>90271000</t>
        </is>
      </c>
      <c r="D5308" t="inlineStr">
        <is>
          <t>GAS OR SMOKE ANALYSIS APPARATUS</t>
        </is>
      </c>
      <c r="E5308" s="3" t="n">
        <v>2.24</v>
      </c>
      <c r="F5308" s="3" t="n">
        <v>4.54</v>
      </c>
      <c r="G5308" s="3">
        <f>F5308-E5308</f>
        <v/>
      </c>
      <c r="H5308" s="4">
        <f>IF(E5308=0,"",F5308/E5308-1)</f>
        <v/>
      </c>
      <c r="I5308" t="inlineStr"/>
    </row>
    <row r="5309">
      <c r="A5309" t="inlineStr">
        <is>
          <t>Instruments &amp; medical devices</t>
        </is>
      </c>
      <c r="B5309" t="inlineStr">
        <is>
          <t>90</t>
        </is>
      </c>
      <c r="C5309" t="inlineStr">
        <is>
          <t>90183930</t>
        </is>
      </c>
      <c r="D5309" t="inlineStr">
        <is>
          <t>CANNULAE</t>
        </is>
      </c>
      <c r="E5309" s="3" t="n">
        <v>5.22</v>
      </c>
      <c r="F5309" s="3" t="n">
        <v>4.15</v>
      </c>
      <c r="G5309" s="3">
        <f>F5309-E5309</f>
        <v/>
      </c>
      <c r="H5309" s="4">
        <f>IF(E5309=0,"",F5309/E5309-1)</f>
        <v/>
      </c>
      <c r="I5309" t="inlineStr"/>
    </row>
    <row r="5310">
      <c r="A5310" t="inlineStr">
        <is>
          <t>Instruments &amp; medical devices</t>
        </is>
      </c>
      <c r="B5310" t="inlineStr">
        <is>
          <t>90</t>
        </is>
      </c>
      <c r="C5310" t="inlineStr">
        <is>
          <t>90283010</t>
        </is>
      </c>
      <c r="D5310" t="inlineStr">
        <is>
          <t>ELECTRICITY METERS FR ALTERNATING CURRENT</t>
        </is>
      </c>
      <c r="E5310" s="3" t="n">
        <v>6.89</v>
      </c>
      <c r="F5310" s="3" t="n">
        <v>4.08</v>
      </c>
      <c r="G5310" s="3">
        <f>F5310-E5310</f>
        <v/>
      </c>
      <c r="H5310" s="4">
        <f>IF(E5310=0,"",F5310/E5310-1)</f>
        <v/>
      </c>
      <c r="I5310" t="inlineStr"/>
    </row>
    <row r="5311">
      <c r="A5311" t="inlineStr">
        <is>
          <t>Instruments &amp; medical devices</t>
        </is>
      </c>
      <c r="B5311" t="inlineStr">
        <is>
          <t>90</t>
        </is>
      </c>
      <c r="C5311" t="inlineStr">
        <is>
          <t>90318000</t>
        </is>
      </c>
      <c r="D5311" t="inlineStr">
        <is>
          <t>OTHR MSRNGANDCHCKNG INSTRMNTS,APPLNCSANDMCHNS</t>
        </is>
      </c>
      <c r="E5311" s="3" t="n">
        <v>3.61</v>
      </c>
      <c r="F5311" s="3" t="n">
        <v>3.98</v>
      </c>
      <c r="G5311" s="3">
        <f>F5311-E5311</f>
        <v/>
      </c>
      <c r="H5311" s="4">
        <f>IF(E5311=0,"",F5311/E5311-1)</f>
        <v/>
      </c>
      <c r="I5311" t="inlineStr"/>
    </row>
    <row r="5312">
      <c r="A5312" t="inlineStr">
        <is>
          <t>Instruments &amp; medical devices</t>
        </is>
      </c>
      <c r="B5312" t="inlineStr">
        <is>
          <t>90</t>
        </is>
      </c>
      <c r="C5312" t="inlineStr">
        <is>
          <t>90258090</t>
        </is>
      </c>
      <c r="D5312" t="inlineStr">
        <is>
          <t>OTHER SIMILAR FLOATING INSTRUMENTS</t>
        </is>
      </c>
      <c r="E5312" s="3" t="n">
        <v>1.44</v>
      </c>
      <c r="F5312" s="3" t="n">
        <v>3.78</v>
      </c>
      <c r="G5312" s="3">
        <f>F5312-E5312</f>
        <v/>
      </c>
      <c r="H5312" s="4">
        <f>IF(E5312=0,"",F5312/E5312-1)</f>
        <v/>
      </c>
      <c r="I5312" t="inlineStr"/>
    </row>
    <row r="5313">
      <c r="A5313" t="inlineStr">
        <is>
          <t>Instruments &amp; medical devices</t>
        </is>
      </c>
      <c r="B5313" t="inlineStr">
        <is>
          <t>90</t>
        </is>
      </c>
      <c r="C5313" t="inlineStr">
        <is>
          <t>90269000</t>
        </is>
      </c>
      <c r="D5313" t="inlineStr">
        <is>
          <t>PRTSANDACCSSRS OF INSRMNTS/APPRTS OF HDG9026</t>
        </is>
      </c>
      <c r="E5313" s="3" t="n">
        <v>2.37</v>
      </c>
      <c r="F5313" s="3" t="n">
        <v>3.77</v>
      </c>
      <c r="G5313" s="3">
        <f>F5313-E5313</f>
        <v/>
      </c>
      <c r="H5313" s="4">
        <f>IF(E5313=0,"",F5313/E5313-1)</f>
        <v/>
      </c>
      <c r="I5313" t="inlineStr"/>
    </row>
    <row r="5314">
      <c r="A5314" t="inlineStr">
        <is>
          <t>Instruments &amp; medical devices</t>
        </is>
      </c>
      <c r="B5314" t="inlineStr">
        <is>
          <t>90</t>
        </is>
      </c>
      <c r="C5314" t="inlineStr">
        <is>
          <t>90213900</t>
        </is>
      </c>
      <c r="D5314" t="inlineStr">
        <is>
          <t>OTHERS-OF-OTHERS-OF-ORTHPDC APLNCS,ARTFCL PRTS OF TH BODY;HRNGAIDS AND OTHR APLNCS WHCH ARE WRN/CRRD/ IMPLNTD IN THE BODY TO C</t>
        </is>
      </c>
      <c r="E5314" s="3" t="n">
        <v>4.92</v>
      </c>
      <c r="F5314" s="3" t="n">
        <v>3.27</v>
      </c>
      <c r="G5314" s="3">
        <f>F5314-E5314</f>
        <v/>
      </c>
      <c r="H5314" s="4">
        <f>IF(E5314=0,"",F5314/E5314-1)</f>
        <v/>
      </c>
      <c r="I5314" t="inlineStr"/>
    </row>
    <row r="5315">
      <c r="A5315" t="inlineStr">
        <is>
          <t>Instruments &amp; medical devices</t>
        </is>
      </c>
      <c r="B5315" t="inlineStr">
        <is>
          <t>90</t>
        </is>
      </c>
      <c r="C5315" t="inlineStr">
        <is>
          <t>90261020</t>
        </is>
      </c>
      <c r="D5315" t="inlineStr">
        <is>
          <t>GAUGS LVL(LVL INDICATORS AND LVL REGULATORS)</t>
        </is>
      </c>
      <c r="E5315" s="3" t="n">
        <v>1.79</v>
      </c>
      <c r="F5315" s="3" t="n">
        <v>3.01</v>
      </c>
      <c r="G5315" s="3">
        <f>F5315-E5315</f>
        <v/>
      </c>
      <c r="H5315" s="4">
        <f>IF(E5315=0,"",F5315/E5315-1)</f>
        <v/>
      </c>
      <c r="I5315" t="inlineStr"/>
    </row>
    <row r="5316">
      <c r="A5316" t="inlineStr">
        <is>
          <t>Instruments &amp; medical devices</t>
        </is>
      </c>
      <c r="B5316" t="inlineStr">
        <is>
          <t>91</t>
        </is>
      </c>
      <c r="C5316" t="inlineStr">
        <is>
          <t>91021100</t>
        </is>
      </c>
      <c r="D5316" t="inlineStr">
        <is>
          <t>WRST-WTCHS,ELECTRLY OPERATED,W/N INCRPRTNG STOP-WTCH FCLTY WITH MCHNCL DISPLAY ONLY</t>
        </is>
      </c>
      <c r="E5316" s="3" t="n">
        <v>1.43</v>
      </c>
      <c r="F5316" s="3" t="n">
        <v>2.82</v>
      </c>
      <c r="G5316" s="3">
        <f>F5316-E5316</f>
        <v/>
      </c>
      <c r="H5316" s="4">
        <f>IF(E5316=0,"",F5316/E5316-1)</f>
        <v/>
      </c>
      <c r="I5316" t="inlineStr"/>
    </row>
    <row r="5317">
      <c r="A5317" t="inlineStr">
        <is>
          <t>Instruments &amp; medical devices</t>
        </is>
      </c>
      <c r="B5317" t="inlineStr">
        <is>
          <t>90</t>
        </is>
      </c>
      <c r="C5317" t="inlineStr">
        <is>
          <t>90189032</t>
        </is>
      </c>
      <c r="D5317" t="inlineStr">
        <is>
          <t>BLOOD TRANSFUSION APPARATUS INCL PLASTIC CONTAINER / BAGS</t>
        </is>
      </c>
      <c r="E5317" s="3" t="n">
        <v>1.98</v>
      </c>
      <c r="F5317" s="3" t="n">
        <v>2.69</v>
      </c>
      <c r="G5317" s="3">
        <f>F5317-E5317</f>
        <v/>
      </c>
      <c r="H5317" s="4">
        <f>IF(E5317=0,"",F5317/E5317-1)</f>
        <v/>
      </c>
      <c r="I5317" t="inlineStr"/>
    </row>
    <row r="5318">
      <c r="A5318" t="inlineStr">
        <is>
          <t>Instruments &amp; medical devices</t>
        </is>
      </c>
      <c r="B5318" t="inlineStr">
        <is>
          <t>90</t>
        </is>
      </c>
      <c r="C5318" t="inlineStr">
        <is>
          <t>90303310</t>
        </is>
      </c>
      <c r="D5318" t="inlineStr">
        <is>
          <t>AMMETERS, VOLT METERS AND WATT METERS</t>
        </is>
      </c>
      <c r="E5318" s="3" t="n">
        <v>1.54</v>
      </c>
      <c r="F5318" s="3" t="n">
        <v>2.65</v>
      </c>
      <c r="G5318" s="3">
        <f>F5318-E5318</f>
        <v/>
      </c>
      <c r="H5318" s="4">
        <f>IF(E5318=0,"",F5318/E5318-1)</f>
        <v/>
      </c>
      <c r="I5318" t="inlineStr"/>
    </row>
    <row r="5319">
      <c r="A5319" t="inlineStr">
        <is>
          <t>Instruments &amp; medical devices</t>
        </is>
      </c>
      <c r="B5319" t="inlineStr">
        <is>
          <t>90</t>
        </is>
      </c>
      <c r="C5319" t="inlineStr">
        <is>
          <t>90278990</t>
        </is>
      </c>
      <c r="D5319" t="inlineStr">
        <is>
          <t>OTHERS-OF-OTHERS-OF-INSTRUMENTS AND APPARATUS FOR PHYSICAL OR CHEMICAL ANALYSIS (FOR EXAMPLE, POLARIMETERS, REFRACTOMETERS, SP</t>
        </is>
      </c>
      <c r="E5319" s="3" t="n">
        <v>1.37</v>
      </c>
      <c r="F5319" s="3" t="n">
        <v>2.53</v>
      </c>
      <c r="G5319" s="3">
        <f>F5319-E5319</f>
        <v/>
      </c>
      <c r="H5319" s="4">
        <f>IF(E5319=0,"",F5319/E5319-1)</f>
        <v/>
      </c>
      <c r="I5319" t="inlineStr"/>
    </row>
    <row r="5320">
      <c r="A5320" t="inlineStr">
        <is>
          <t>Instruments &amp; medical devices</t>
        </is>
      </c>
      <c r="B5320" t="inlineStr">
        <is>
          <t>90</t>
        </is>
      </c>
      <c r="C5320" t="inlineStr">
        <is>
          <t>90321090</t>
        </is>
      </c>
      <c r="D5320" t="inlineStr">
        <is>
          <t>THERMOSTATS FR OTHR MACHNRY</t>
        </is>
      </c>
      <c r="E5320" s="3" t="n">
        <v>2.49</v>
      </c>
      <c r="F5320" s="3" t="n">
        <v>2.51</v>
      </c>
      <c r="G5320" s="3">
        <f>F5320-E5320</f>
        <v/>
      </c>
      <c r="H5320" s="4">
        <f>IF(E5320=0,"",F5320/E5320-1)</f>
        <v/>
      </c>
      <c r="I5320" t="inlineStr"/>
    </row>
    <row r="5321">
      <c r="A5321" t="inlineStr">
        <is>
          <t>Instruments &amp; medical devices</t>
        </is>
      </c>
      <c r="B5321" t="inlineStr">
        <is>
          <t>90</t>
        </is>
      </c>
      <c r="C5321" t="inlineStr">
        <is>
          <t>90273010</t>
        </is>
      </c>
      <c r="D5321" t="inlineStr">
        <is>
          <t>SPECTROMETERS</t>
        </is>
      </c>
      <c r="E5321" s="3" t="n">
        <v>1.05</v>
      </c>
      <c r="F5321" s="3" t="n">
        <v>2.42</v>
      </c>
      <c r="G5321" s="3">
        <f>F5321-E5321</f>
        <v/>
      </c>
      <c r="H5321" s="4">
        <f>IF(E5321=0,"",F5321/E5321-1)</f>
        <v/>
      </c>
      <c r="I5321" t="inlineStr"/>
    </row>
    <row r="5322">
      <c r="A5322" t="inlineStr">
        <is>
          <t>Instruments &amp; medical devices</t>
        </is>
      </c>
      <c r="B5322" t="inlineStr">
        <is>
          <t>90</t>
        </is>
      </c>
      <c r="C5322" t="inlineStr">
        <is>
          <t>90219090</t>
        </is>
      </c>
      <c r="D5322" t="inlineStr">
        <is>
          <t>OTHERS-OF-OTHER APPLIANCESOF HEADING 9021</t>
        </is>
      </c>
      <c r="E5322" s="3" t="n">
        <v>1.27</v>
      </c>
      <c r="F5322" s="3" t="n">
        <v>2.29</v>
      </c>
      <c r="G5322" s="3">
        <f>F5322-E5322</f>
        <v/>
      </c>
      <c r="H5322" s="4">
        <f>IF(E5322=0,"",F5322/E5322-1)</f>
        <v/>
      </c>
      <c r="I5322" t="inlineStr"/>
    </row>
    <row r="5323">
      <c r="A5323" t="inlineStr">
        <is>
          <t>Instruments &amp; medical devices</t>
        </is>
      </c>
      <c r="B5323" t="inlineStr">
        <is>
          <t>90</t>
        </is>
      </c>
      <c r="C5323" t="inlineStr">
        <is>
          <t>90303390</t>
        </is>
      </c>
      <c r="D5323" t="inlineStr">
        <is>
          <t>OTHERS-OF-OTHER, WITHOUT A RECORDING DEVICE:</t>
        </is>
      </c>
      <c r="E5323" s="3" t="n">
        <v>1.25</v>
      </c>
      <c r="F5323" s="3" t="n">
        <v>2.14</v>
      </c>
      <c r="G5323" s="3">
        <f>F5323-E5323</f>
        <v/>
      </c>
      <c r="H5323" s="4">
        <f>IF(E5323=0,"",F5323/E5323-1)</f>
        <v/>
      </c>
      <c r="I5323" t="inlineStr"/>
    </row>
    <row r="5324">
      <c r="A5324" t="inlineStr">
        <is>
          <t>Instruments &amp; medical devices</t>
        </is>
      </c>
      <c r="B5324" t="inlineStr">
        <is>
          <t>90</t>
        </is>
      </c>
      <c r="C5324" t="inlineStr">
        <is>
          <t>90259000</t>
        </is>
      </c>
      <c r="D5324" t="inlineStr">
        <is>
          <t>PARTS AND ACCSSRS OF INSTRUMENTS OF HDG 9025</t>
        </is>
      </c>
      <c r="E5324" s="3" t="n">
        <v>0.83</v>
      </c>
      <c r="F5324" s="3" t="n">
        <v>1.97</v>
      </c>
      <c r="G5324" s="3">
        <f>F5324-E5324</f>
        <v/>
      </c>
      <c r="H5324" s="4">
        <f>IF(E5324=0,"",F5324/E5324-1)</f>
        <v/>
      </c>
      <c r="I5324" t="inlineStr"/>
    </row>
    <row r="5325">
      <c r="A5325" t="inlineStr">
        <is>
          <t>Instruments &amp; medical devices</t>
        </is>
      </c>
      <c r="B5325" t="inlineStr">
        <is>
          <t>90</t>
        </is>
      </c>
      <c r="C5325" t="inlineStr">
        <is>
          <t>90181990</t>
        </is>
      </c>
      <c r="D5325" t="inlineStr">
        <is>
          <t>OTHR ELCTRO-DIAGNOSTC APPRTS</t>
        </is>
      </c>
      <c r="E5325" s="3" t="n">
        <v>0.97</v>
      </c>
      <c r="F5325" s="3" t="n">
        <v>1.94</v>
      </c>
      <c r="G5325" s="3">
        <f>F5325-E5325</f>
        <v/>
      </c>
      <c r="H5325" s="4">
        <f>IF(E5325=0,"",F5325/E5325-1)</f>
        <v/>
      </c>
      <c r="I5325" t="inlineStr"/>
    </row>
    <row r="5326">
      <c r="A5326" t="inlineStr">
        <is>
          <t>Instruments &amp; medical devices</t>
        </is>
      </c>
      <c r="B5326" t="inlineStr">
        <is>
          <t>90</t>
        </is>
      </c>
      <c r="C5326" t="inlineStr">
        <is>
          <t>90268090</t>
        </is>
      </c>
      <c r="D5326" t="inlineStr">
        <is>
          <t>OTHR INSTRMNTS AND APRTS FR MSRNG,CHKNG OR AUTMTCLLY CNTRLNG THE FLOW,DPTH,PRSR ETC</t>
        </is>
      </c>
      <c r="E5326" s="3" t="n">
        <v>1.47</v>
      </c>
      <c r="F5326" s="3" t="n">
        <v>1.74</v>
      </c>
      <c r="G5326" s="3">
        <f>F5326-E5326</f>
        <v/>
      </c>
      <c r="H5326" s="4">
        <f>IF(E5326=0,"",F5326/E5326-1)</f>
        <v/>
      </c>
      <c r="I5326" t="inlineStr"/>
    </row>
    <row r="5327">
      <c r="A5327" t="inlineStr">
        <is>
          <t>Instruments &amp; medical devices</t>
        </is>
      </c>
      <c r="B5327" t="inlineStr">
        <is>
          <t>90</t>
        </is>
      </c>
      <c r="C5327" t="inlineStr">
        <is>
          <t>90273090</t>
        </is>
      </c>
      <c r="D5327" t="inlineStr">
        <is>
          <t>OTHERS-OF-SPECTROMETERS,SPECTROPHOTOMETERS ANDSPECTOGRAPHS USING OPTICAL RADIATION</t>
        </is>
      </c>
      <c r="E5327" s="3" t="n">
        <v>0.09</v>
      </c>
      <c r="F5327" s="3" t="n">
        <v>1.7</v>
      </c>
      <c r="G5327" s="3">
        <f>F5327-E5327</f>
        <v/>
      </c>
      <c r="H5327" s="4">
        <f>IF(E5327=0,"",F5327/E5327-1)</f>
        <v/>
      </c>
      <c r="I5327" t="inlineStr"/>
    </row>
    <row r="5328">
      <c r="A5328" t="inlineStr">
        <is>
          <t>Instruments &amp; medical devices</t>
        </is>
      </c>
      <c r="B5328" t="inlineStr">
        <is>
          <t>90</t>
        </is>
      </c>
      <c r="C5328" t="inlineStr">
        <is>
          <t>90330000</t>
        </is>
      </c>
      <c r="D5328" t="inlineStr">
        <is>
          <t>PRTS AND ACCESSORIES FR MACHINES,APPLIANCES,INSTRUMENTS/APPARATUS OF CHAPTER 90,NES</t>
        </is>
      </c>
      <c r="E5328" s="3" t="n">
        <v>1.46</v>
      </c>
      <c r="F5328" s="3" t="n">
        <v>1.7</v>
      </c>
      <c r="G5328" s="3">
        <f>F5328-E5328</f>
        <v/>
      </c>
      <c r="H5328" s="4">
        <f>IF(E5328=0,"",F5328/E5328-1)</f>
        <v/>
      </c>
      <c r="I5328" t="inlineStr"/>
    </row>
    <row r="5329">
      <c r="A5329" t="inlineStr">
        <is>
          <t>Instruments &amp; medical devices</t>
        </is>
      </c>
      <c r="B5329" t="inlineStr">
        <is>
          <t>90</t>
        </is>
      </c>
      <c r="C5329" t="inlineStr">
        <is>
          <t>90183100</t>
        </is>
      </c>
      <c r="D5329" t="inlineStr">
        <is>
          <t>SYRINGES,W/N WITH NEEDLES</t>
        </is>
      </c>
      <c r="E5329" s="3" t="n">
        <v>0.78</v>
      </c>
      <c r="F5329" s="3" t="n">
        <v>1.5</v>
      </c>
      <c r="G5329" s="3">
        <f>F5329-E5329</f>
        <v/>
      </c>
      <c r="H5329" s="4">
        <f>IF(E5329=0,"",F5329/E5329-1)</f>
        <v/>
      </c>
      <c r="I5329" t="inlineStr"/>
    </row>
    <row r="5330">
      <c r="A5330" t="inlineStr">
        <is>
          <t>Instruments &amp; medical devices</t>
        </is>
      </c>
      <c r="B5330" t="inlineStr">
        <is>
          <t>90</t>
        </is>
      </c>
      <c r="C5330" t="inlineStr">
        <is>
          <t>90192090</t>
        </is>
      </c>
      <c r="D5330" t="inlineStr">
        <is>
          <t>OTHERS-OF-OZONE THRPY,OXYGN THRPY,AROSL THRPY,ARTFCLRESPIRATION/OTHER THERAPEUTIC RSPRTN APRTS</t>
        </is>
      </c>
      <c r="E5330" s="3" t="n">
        <v>1.6</v>
      </c>
      <c r="F5330" s="3" t="n">
        <v>1.37</v>
      </c>
      <c r="G5330" s="3">
        <f>F5330-E5330</f>
        <v/>
      </c>
      <c r="H5330" s="4">
        <f>IF(E5330=0,"",F5330/E5330-1)</f>
        <v/>
      </c>
      <c r="I5330" t="inlineStr"/>
    </row>
    <row r="5331">
      <c r="A5331" t="inlineStr">
        <is>
          <t>Instruments &amp; medical devices</t>
        </is>
      </c>
      <c r="B5331" t="inlineStr">
        <is>
          <t>90</t>
        </is>
      </c>
      <c r="C5331" t="inlineStr">
        <is>
          <t>90189029</t>
        </is>
      </c>
      <c r="D5331" t="inlineStr">
        <is>
          <t>OTHR SURGICAL TOOLS</t>
        </is>
      </c>
      <c r="E5331" s="3" t="n">
        <v>0.25</v>
      </c>
      <c r="F5331" s="3" t="n">
        <v>1.25</v>
      </c>
      <c r="G5331" s="3">
        <f>F5331-E5331</f>
        <v/>
      </c>
      <c r="H5331" s="4">
        <f>IF(E5331=0,"",F5331/E5331-1)</f>
        <v/>
      </c>
      <c r="I5331" t="inlineStr"/>
    </row>
    <row r="5332">
      <c r="A5332" t="inlineStr">
        <is>
          <t>Instruments &amp; medical devices</t>
        </is>
      </c>
      <c r="B5332" t="inlineStr">
        <is>
          <t>90</t>
        </is>
      </c>
      <c r="C5332" t="inlineStr">
        <is>
          <t>90312000</t>
        </is>
      </c>
      <c r="D5332" t="inlineStr">
        <is>
          <t>TEST BENCHES</t>
        </is>
      </c>
      <c r="E5332" s="3" t="n">
        <v>1.36</v>
      </c>
      <c r="F5332" s="3" t="n">
        <v>1.25</v>
      </c>
      <c r="G5332" s="3">
        <f>F5332-E5332</f>
        <v/>
      </c>
      <c r="H5332" s="4">
        <f>IF(E5332=0,"",F5332/E5332-1)</f>
        <v/>
      </c>
      <c r="I5332" t="inlineStr"/>
    </row>
    <row r="5333">
      <c r="A5333" t="inlineStr">
        <is>
          <t>Instruments &amp; medical devices</t>
        </is>
      </c>
      <c r="B5333" t="inlineStr">
        <is>
          <t>90</t>
        </is>
      </c>
      <c r="C5333" t="inlineStr">
        <is>
          <t>90183920</t>
        </is>
      </c>
      <c r="D5333" t="inlineStr">
        <is>
          <t>CARDIAC CATHETERS</t>
        </is>
      </c>
      <c r="E5333" s="3" t="n">
        <v>0.82</v>
      </c>
      <c r="F5333" s="3" t="n">
        <v>1.19</v>
      </c>
      <c r="G5333" s="3">
        <f>F5333-E5333</f>
        <v/>
      </c>
      <c r="H5333" s="4">
        <f>IF(E5333=0,"",F5333/E5333-1)</f>
        <v/>
      </c>
      <c r="I5333" t="inlineStr"/>
    </row>
    <row r="5334">
      <c r="A5334" t="inlineStr">
        <is>
          <t>Instruments &amp; medical devices</t>
        </is>
      </c>
      <c r="B5334" t="inlineStr">
        <is>
          <t>90</t>
        </is>
      </c>
      <c r="C5334" t="inlineStr">
        <is>
          <t>90319000</t>
        </is>
      </c>
      <c r="D5334" t="inlineStr">
        <is>
          <t>PARTS AND ACCESSORIES OF INSTRMNTS OF 9031</t>
        </is>
      </c>
      <c r="E5334" s="3" t="n">
        <v>0.99</v>
      </c>
      <c r="F5334" s="3" t="n">
        <v>1.16</v>
      </c>
      <c r="G5334" s="3">
        <f>F5334-E5334</f>
        <v/>
      </c>
      <c r="H5334" s="4">
        <f>IF(E5334=0,"",F5334/E5334-1)</f>
        <v/>
      </c>
      <c r="I5334" t="inlineStr"/>
    </row>
    <row r="5335">
      <c r="A5335" t="inlineStr">
        <is>
          <t>Instruments &amp; medical devices</t>
        </is>
      </c>
      <c r="B5335" t="inlineStr">
        <is>
          <t>90</t>
        </is>
      </c>
      <c r="C5335" t="inlineStr">
        <is>
          <t>90183910</t>
        </is>
      </c>
      <c r="D5335" t="inlineStr">
        <is>
          <t>CATHETERS (FOR URINE,STOOL)</t>
        </is>
      </c>
      <c r="E5335" s="3" t="n">
        <v>0.95</v>
      </c>
      <c r="F5335" s="3" t="n">
        <v>1.09</v>
      </c>
      <c r="G5335" s="3">
        <f>F5335-E5335</f>
        <v/>
      </c>
      <c r="H5335" s="4">
        <f>IF(E5335=0,"",F5335/E5335-1)</f>
        <v/>
      </c>
      <c r="I5335" t="inlineStr"/>
    </row>
    <row r="5336">
      <c r="A5336" t="inlineStr">
        <is>
          <t>Instruments &amp; medical devices</t>
        </is>
      </c>
      <c r="B5336" t="inlineStr">
        <is>
          <t>90</t>
        </is>
      </c>
      <c r="C5336" t="inlineStr">
        <is>
          <t>90328910</t>
        </is>
      </c>
      <c r="D5336" t="inlineStr">
        <is>
          <t>ELCTRNC AUTOMATIC REGULATORS(CONTROLLERS)</t>
        </is>
      </c>
      <c r="E5336" s="3" t="n">
        <v>1</v>
      </c>
      <c r="F5336" s="3" t="n">
        <v>1</v>
      </c>
      <c r="G5336" s="3">
        <f>F5336-E5336</f>
        <v/>
      </c>
      <c r="H5336" s="4">
        <f>IF(E5336=0,"",F5336/E5336-1)</f>
        <v/>
      </c>
      <c r="I5336" t="inlineStr"/>
    </row>
    <row r="5337">
      <c r="A5337" t="inlineStr">
        <is>
          <t>Instruments &amp; medical devices</t>
        </is>
      </c>
      <c r="B5337" t="inlineStr">
        <is>
          <t>90</t>
        </is>
      </c>
      <c r="C5337" t="inlineStr">
        <is>
          <t>90230090</t>
        </is>
      </c>
      <c r="D5337" t="inlineStr">
        <is>
          <t>OTHR DEMONSTRATION AIDS</t>
        </is>
      </c>
      <c r="E5337" s="3" t="n">
        <v>1.9</v>
      </c>
      <c r="F5337" s="3" t="n">
        <v>0.99</v>
      </c>
      <c r="G5337" s="3">
        <f>F5337-E5337</f>
        <v/>
      </c>
      <c r="H5337" s="4">
        <f>IF(E5337=0,"",F5337/E5337-1)</f>
        <v/>
      </c>
      <c r="I5337" t="inlineStr"/>
    </row>
    <row r="5338">
      <c r="A5338" t="inlineStr">
        <is>
          <t>Instruments &amp; medical devices</t>
        </is>
      </c>
      <c r="B5338" t="inlineStr">
        <is>
          <t>90</t>
        </is>
      </c>
      <c r="C5338" t="inlineStr">
        <is>
          <t>90221900</t>
        </is>
      </c>
      <c r="D5338" t="inlineStr">
        <is>
          <t>APRTAS BSD ON USE OF X-RAYS,FOR OTHR USE INCL RADIOGRAPHY/RADIOTHERAPY APPARATUS</t>
        </is>
      </c>
      <c r="E5338" s="3" t="n">
        <v>0</v>
      </c>
      <c r="F5338" s="3" t="n">
        <v>0.97</v>
      </c>
      <c r="G5338" s="3">
        <f>F5338-E5338</f>
        <v/>
      </c>
      <c r="H5338" s="4">
        <f>IF(E5338=0,"",F5338/E5338-1)</f>
        <v/>
      </c>
      <c r="I5338" t="inlineStr"/>
    </row>
    <row r="5339">
      <c r="A5339" t="inlineStr">
        <is>
          <t>Instruments &amp; medical devices</t>
        </is>
      </c>
      <c r="B5339" t="inlineStr">
        <is>
          <t>90</t>
        </is>
      </c>
      <c r="C5339" t="inlineStr">
        <is>
          <t>90248099</t>
        </is>
      </c>
      <c r="D5339" t="inlineStr">
        <is>
          <t>OTHERS-OF-OTHER MACHINES AND APPLIANCES :</t>
        </is>
      </c>
      <c r="E5339" s="3" t="n">
        <v>0.8</v>
      </c>
      <c r="F5339" s="3" t="n">
        <v>0.97</v>
      </c>
      <c r="G5339" s="3">
        <f>F5339-E5339</f>
        <v/>
      </c>
      <c r="H5339" s="4">
        <f>IF(E5339=0,"",F5339/E5339-1)</f>
        <v/>
      </c>
      <c r="I5339" t="inlineStr"/>
    </row>
    <row r="5340">
      <c r="A5340" t="inlineStr">
        <is>
          <t>Instruments &amp; medical devices</t>
        </is>
      </c>
      <c r="B5340" t="inlineStr">
        <is>
          <t>90</t>
        </is>
      </c>
      <c r="C5340" t="inlineStr">
        <is>
          <t>90275090</t>
        </is>
      </c>
      <c r="D5340" t="inlineStr">
        <is>
          <t>OTHERS-OF-OTHER INSTRUMENTS AND APPARATUS USING OPTICAL RADIATIONS (UV, VISIBLE, IR) :</t>
        </is>
      </c>
      <c r="E5340" s="3" t="n">
        <v>0.19</v>
      </c>
      <c r="F5340" s="3" t="n">
        <v>0.9</v>
      </c>
      <c r="G5340" s="3">
        <f>F5340-E5340</f>
        <v/>
      </c>
      <c r="H5340" s="4">
        <f>IF(E5340=0,"",F5340/E5340-1)</f>
        <v/>
      </c>
      <c r="I5340" t="inlineStr"/>
    </row>
    <row r="5341">
      <c r="A5341" t="inlineStr">
        <is>
          <t>Instruments &amp; medical devices</t>
        </is>
      </c>
      <c r="B5341" t="inlineStr">
        <is>
          <t>90</t>
        </is>
      </c>
      <c r="C5341" t="inlineStr">
        <is>
          <t>90189019</t>
        </is>
      </c>
      <c r="D5341" t="inlineStr">
        <is>
          <t>OTHR DIAGONOSTICS INSTRUMENTS</t>
        </is>
      </c>
      <c r="E5341" s="3" t="n">
        <v>0.32</v>
      </c>
      <c r="F5341" s="3" t="n">
        <v>0.85</v>
      </c>
      <c r="G5341" s="3">
        <f>F5341-E5341</f>
        <v/>
      </c>
      <c r="H5341" s="4">
        <f>IF(E5341=0,"",F5341/E5341-1)</f>
        <v/>
      </c>
      <c r="I5341" t="inlineStr"/>
    </row>
    <row r="5342">
      <c r="A5342" t="inlineStr">
        <is>
          <t>Instruments &amp; medical devices</t>
        </is>
      </c>
      <c r="B5342" t="inlineStr">
        <is>
          <t>90</t>
        </is>
      </c>
      <c r="C5342" t="inlineStr">
        <is>
          <t>90249000</t>
        </is>
      </c>
      <c r="D5342" t="inlineStr">
        <is>
          <t>PARTS AND ACCESSORIES OF MCHNS OFHDG 9024</t>
        </is>
      </c>
      <c r="E5342" s="3" t="n">
        <v>0.77</v>
      </c>
      <c r="F5342" s="3" t="n">
        <v>0.8100000000000001</v>
      </c>
      <c r="G5342" s="3">
        <f>F5342-E5342</f>
        <v/>
      </c>
      <c r="H5342" s="4">
        <f>IF(E5342=0,"",F5342/E5342-1)</f>
        <v/>
      </c>
      <c r="I5342" t="inlineStr"/>
    </row>
    <row r="5343">
      <c r="A5343" t="inlineStr">
        <is>
          <t>Instruments &amp; medical devices</t>
        </is>
      </c>
      <c r="B5343" t="inlineStr">
        <is>
          <t>90</t>
        </is>
      </c>
      <c r="C5343" t="inlineStr">
        <is>
          <t>90221490</t>
        </is>
      </c>
      <c r="D5343" t="inlineStr">
        <is>
          <t>OTHER X-RAY MCHNS FR MEDCL USES</t>
        </is>
      </c>
      <c r="E5343" s="3" t="n">
        <v>1.02</v>
      </c>
      <c r="F5343" s="3" t="n">
        <v>0.8</v>
      </c>
      <c r="G5343" s="3">
        <f>F5343-E5343</f>
        <v/>
      </c>
      <c r="H5343" s="4">
        <f>IF(E5343=0,"",F5343/E5343-1)</f>
        <v/>
      </c>
      <c r="I5343" t="inlineStr"/>
    </row>
    <row r="5344">
      <c r="A5344" t="inlineStr">
        <is>
          <t>Instruments &amp; medical devices</t>
        </is>
      </c>
      <c r="B5344" t="inlineStr">
        <is>
          <t>90</t>
        </is>
      </c>
      <c r="C5344" t="inlineStr">
        <is>
          <t>90314900</t>
        </is>
      </c>
      <c r="D5344" t="inlineStr">
        <is>
          <t>OTHR OPTCL INSTRMENTS AND APPLIANCES</t>
        </is>
      </c>
      <c r="E5344" s="3" t="n">
        <v>0.37</v>
      </c>
      <c r="F5344" s="3" t="n">
        <v>0.79</v>
      </c>
      <c r="G5344" s="3">
        <f>F5344-E5344</f>
        <v/>
      </c>
      <c r="H5344" s="4">
        <f>IF(E5344=0,"",F5344/E5344-1)</f>
        <v/>
      </c>
      <c r="I5344" t="inlineStr"/>
    </row>
    <row r="5345">
      <c r="A5345" t="inlineStr">
        <is>
          <t>Instruments &amp; medical devices</t>
        </is>
      </c>
      <c r="B5345" t="inlineStr">
        <is>
          <t>90</t>
        </is>
      </c>
      <c r="C5345" t="inlineStr">
        <is>
          <t>90251990</t>
        </is>
      </c>
      <c r="D5345" t="inlineStr">
        <is>
          <t>OTHERS-OF-OTHR THRMOMTRS NT COMBND WTH OTHR INSTRMNTV</t>
        </is>
      </c>
      <c r="E5345" s="3" t="n">
        <v>0.22</v>
      </c>
      <c r="F5345" s="3" t="n">
        <v>0.76</v>
      </c>
      <c r="G5345" s="3">
        <f>F5345-E5345</f>
        <v/>
      </c>
      <c r="H5345" s="4">
        <f>IF(E5345=0,"",F5345/E5345-1)</f>
        <v/>
      </c>
      <c r="I5345" t="inlineStr"/>
    </row>
    <row r="5346">
      <c r="A5346" t="inlineStr">
        <is>
          <t>Instruments &amp; medical devices</t>
        </is>
      </c>
      <c r="B5346" t="inlineStr">
        <is>
          <t>90</t>
        </is>
      </c>
      <c r="C5346" t="inlineStr">
        <is>
          <t>90184900</t>
        </is>
      </c>
      <c r="D5346" t="inlineStr">
        <is>
          <t>OTHR INSTRMNTS AND APLNCS,USD IN DNTL SCINCE</t>
        </is>
      </c>
      <c r="E5346" s="3" t="n">
        <v>0.71</v>
      </c>
      <c r="F5346" s="3" t="n">
        <v>0.74</v>
      </c>
      <c r="G5346" s="3">
        <f>F5346-E5346</f>
        <v/>
      </c>
      <c r="H5346" s="4">
        <f>IF(E5346=0,"",F5346/E5346-1)</f>
        <v/>
      </c>
      <c r="I5346" t="inlineStr"/>
    </row>
    <row r="5347">
      <c r="A5347" t="inlineStr">
        <is>
          <t>Instruments &amp; medical devices</t>
        </is>
      </c>
      <c r="B5347" t="inlineStr">
        <is>
          <t>90</t>
        </is>
      </c>
      <c r="C5347" t="inlineStr">
        <is>
          <t>90189022</t>
        </is>
      </c>
      <c r="D5347" t="inlineStr">
        <is>
          <t>SURGICAL KNIVES,SCISS0RS AND BLADE</t>
        </is>
      </c>
      <c r="E5347" s="3" t="n">
        <v>0.64</v>
      </c>
      <c r="F5347" s="3" t="n">
        <v>0.74</v>
      </c>
      <c r="G5347" s="3">
        <f>F5347-E5347</f>
        <v/>
      </c>
      <c r="H5347" s="4">
        <f>IF(E5347=0,"",F5347/E5347-1)</f>
        <v/>
      </c>
      <c r="I5347" t="inlineStr"/>
    </row>
    <row r="5348">
      <c r="A5348" t="inlineStr">
        <is>
          <t>Instruments &amp; medical devices</t>
        </is>
      </c>
      <c r="B5348" t="inlineStr">
        <is>
          <t>90</t>
        </is>
      </c>
      <c r="C5348" t="inlineStr">
        <is>
          <t>90189094</t>
        </is>
      </c>
      <c r="D5348" t="inlineStr">
        <is>
          <t>DEFIBRILLATORS</t>
        </is>
      </c>
      <c r="E5348" s="3" t="n">
        <v>0.3</v>
      </c>
      <c r="F5348" s="3" t="n">
        <v>0.72</v>
      </c>
      <c r="G5348" s="3">
        <f>F5348-E5348</f>
        <v/>
      </c>
      <c r="H5348" s="4">
        <f>IF(E5348=0,"",F5348/E5348-1)</f>
        <v/>
      </c>
      <c r="I5348" t="inlineStr"/>
    </row>
    <row r="5349">
      <c r="A5349" t="inlineStr">
        <is>
          <t>Instruments &amp; medical devices</t>
        </is>
      </c>
      <c r="B5349" t="inlineStr">
        <is>
          <t>90</t>
        </is>
      </c>
      <c r="C5349" t="inlineStr">
        <is>
          <t>90173029</t>
        </is>
      </c>
      <c r="D5349" t="inlineStr">
        <is>
          <t>OTHR GAUGES</t>
        </is>
      </c>
      <c r="E5349" s="3" t="n">
        <v>0.2</v>
      </c>
      <c r="F5349" s="3" t="n">
        <v>0.71</v>
      </c>
      <c r="G5349" s="3">
        <f>F5349-E5349</f>
        <v/>
      </c>
      <c r="H5349" s="4">
        <f>IF(E5349=0,"",F5349/E5349-1)</f>
        <v/>
      </c>
      <c r="I5349" t="inlineStr"/>
    </row>
    <row r="5350">
      <c r="A5350" t="inlineStr">
        <is>
          <t>Instruments &amp; medical devices</t>
        </is>
      </c>
      <c r="B5350" t="inlineStr">
        <is>
          <t>90</t>
        </is>
      </c>
      <c r="C5350" t="inlineStr">
        <is>
          <t>90213100</t>
        </is>
      </c>
      <c r="D5350" t="inlineStr">
        <is>
          <t>ARTIFICIAL JOINTS</t>
        </is>
      </c>
      <c r="E5350" s="3" t="n">
        <v>0.42</v>
      </c>
      <c r="F5350" s="3" t="n">
        <v>0.71</v>
      </c>
      <c r="G5350" s="3">
        <f>F5350-E5350</f>
        <v/>
      </c>
      <c r="H5350" s="4">
        <f>IF(E5350=0,"",F5350/E5350-1)</f>
        <v/>
      </c>
      <c r="I5350" t="inlineStr"/>
    </row>
    <row r="5351">
      <c r="A5351" t="inlineStr">
        <is>
          <t>Instruments &amp; medical devices</t>
        </is>
      </c>
      <c r="B5351" t="inlineStr">
        <is>
          <t>90</t>
        </is>
      </c>
      <c r="C5351" t="inlineStr">
        <is>
          <t>90181100</t>
        </is>
      </c>
      <c r="D5351" t="inlineStr">
        <is>
          <t>ELECTRO-CARDIOGRAPHS</t>
        </is>
      </c>
      <c r="E5351" s="3" t="n">
        <v>0.21</v>
      </c>
      <c r="F5351" s="3" t="n">
        <v>0.7</v>
      </c>
      <c r="G5351" s="3">
        <f>F5351-E5351</f>
        <v/>
      </c>
      <c r="H5351" s="4">
        <f>IF(E5351=0,"",F5351/E5351-1)</f>
        <v/>
      </c>
      <c r="I5351" t="inlineStr"/>
    </row>
    <row r="5352">
      <c r="A5352" t="inlineStr">
        <is>
          <t>Instruments &amp; medical devices</t>
        </is>
      </c>
      <c r="B5352" t="inlineStr">
        <is>
          <t>90</t>
        </is>
      </c>
      <c r="C5352" t="inlineStr">
        <is>
          <t>90189011</t>
        </is>
      </c>
      <c r="D5352" t="inlineStr">
        <is>
          <t>BLOOD PRSR INSTRUMENTS(SPHYGMOMANOMETERS)</t>
        </is>
      </c>
      <c r="E5352" s="3" t="n">
        <v>0.35</v>
      </c>
      <c r="F5352" s="3" t="n">
        <v>0.62</v>
      </c>
      <c r="G5352" s="3">
        <f>F5352-E5352</f>
        <v/>
      </c>
      <c r="H5352" s="4">
        <f>IF(E5352=0,"",F5352/E5352-1)</f>
        <v/>
      </c>
      <c r="I5352" t="inlineStr"/>
    </row>
    <row r="5353">
      <c r="A5353" t="inlineStr">
        <is>
          <t>Instruments &amp; medical devices</t>
        </is>
      </c>
      <c r="B5353" t="inlineStr">
        <is>
          <t>90</t>
        </is>
      </c>
      <c r="C5353" t="inlineStr">
        <is>
          <t>90185090</t>
        </is>
      </c>
      <c r="D5353" t="inlineStr">
        <is>
          <t>OPHTHALMIC SURGICAL INSTRMNT AND APPLIANCES</t>
        </is>
      </c>
      <c r="E5353" s="3" t="n">
        <v>0.05</v>
      </c>
      <c r="F5353" s="3" t="n">
        <v>0.61</v>
      </c>
      <c r="G5353" s="3">
        <f>F5353-E5353</f>
        <v/>
      </c>
      <c r="H5353" s="4">
        <f>IF(E5353=0,"",F5353/E5353-1)</f>
        <v/>
      </c>
      <c r="I5353" t="inlineStr"/>
    </row>
    <row r="5354">
      <c r="A5354" t="inlineStr">
        <is>
          <t>Instruments &amp; medical devices</t>
        </is>
      </c>
      <c r="B5354" t="inlineStr">
        <is>
          <t>90</t>
        </is>
      </c>
      <c r="C5354" t="inlineStr">
        <is>
          <t>90192010</t>
        </is>
      </c>
      <c r="D5354" t="inlineStr">
        <is>
          <t>OXYGEN THERAPY APPARATUS</t>
        </is>
      </c>
      <c r="E5354" s="3" t="n">
        <v>0.32</v>
      </c>
      <c r="F5354" s="3" t="n">
        <v>0.55</v>
      </c>
      <c r="G5354" s="3">
        <f>F5354-E5354</f>
        <v/>
      </c>
      <c r="H5354" s="4">
        <f>IF(E5354=0,"",F5354/E5354-1)</f>
        <v/>
      </c>
      <c r="I5354" t="inlineStr"/>
    </row>
    <row r="5355">
      <c r="A5355" t="inlineStr">
        <is>
          <t>Instruments &amp; medical devices</t>
        </is>
      </c>
      <c r="B5355" t="inlineStr">
        <is>
          <t>90</t>
        </is>
      </c>
      <c r="C5355" t="inlineStr">
        <is>
          <t>90230010</t>
        </is>
      </c>
      <c r="D5355" t="inlineStr">
        <is>
          <t>TEACHING AIDS</t>
        </is>
      </c>
      <c r="E5355" s="3" t="n">
        <v>0.57</v>
      </c>
      <c r="F5355" s="3" t="n">
        <v>0.55</v>
      </c>
      <c r="G5355" s="3">
        <f>F5355-E5355</f>
        <v/>
      </c>
      <c r="H5355" s="4">
        <f>IF(E5355=0,"",F5355/E5355-1)</f>
        <v/>
      </c>
      <c r="I5355" t="inlineStr"/>
    </row>
    <row r="5356">
      <c r="A5356" t="inlineStr">
        <is>
          <t>Instruments &amp; medical devices</t>
        </is>
      </c>
      <c r="B5356" t="inlineStr">
        <is>
          <t>90</t>
        </is>
      </c>
      <c r="C5356" t="inlineStr">
        <is>
          <t>90251190</t>
        </is>
      </c>
      <c r="D5356" t="inlineStr">
        <is>
          <t>OTHERS-OF-THERMOMETERS,LIQUID-FILLED,FOR DIRECT RDNG</t>
        </is>
      </c>
      <c r="E5356" s="3" t="n">
        <v>0.31</v>
      </c>
      <c r="F5356" s="3" t="n">
        <v>0.54</v>
      </c>
      <c r="G5356" s="3">
        <f>F5356-E5356</f>
        <v/>
      </c>
      <c r="H5356" s="4">
        <f>IF(E5356=0,"",F5356/E5356-1)</f>
        <v/>
      </c>
      <c r="I5356" t="inlineStr"/>
    </row>
    <row r="5357">
      <c r="A5357" t="inlineStr">
        <is>
          <t>Instruments &amp; medical devices</t>
        </is>
      </c>
      <c r="B5357" t="inlineStr">
        <is>
          <t>90</t>
        </is>
      </c>
      <c r="C5357" t="inlineStr">
        <is>
          <t>90289010</t>
        </is>
      </c>
      <c r="D5357" t="inlineStr">
        <is>
          <t>PARTS AND ACCESSORIES OF ELECTRICITY METER</t>
        </is>
      </c>
      <c r="E5357" s="3" t="n">
        <v>0.91</v>
      </c>
      <c r="F5357" s="3" t="n">
        <v>0.52</v>
      </c>
      <c r="G5357" s="3">
        <f>F5357-E5357</f>
        <v/>
      </c>
      <c r="H5357" s="4">
        <f>IF(E5357=0,"",F5357/E5357-1)</f>
        <v/>
      </c>
      <c r="I5357" t="inlineStr"/>
    </row>
    <row r="5358">
      <c r="A5358" t="inlineStr">
        <is>
          <t>Instruments &amp; medical devices</t>
        </is>
      </c>
      <c r="B5358" t="inlineStr">
        <is>
          <t>90</t>
        </is>
      </c>
      <c r="C5358" t="inlineStr">
        <is>
          <t>90183290</t>
        </is>
      </c>
      <c r="D5358" t="inlineStr">
        <is>
          <t>OTHR TUBULAR METAL NEEDLES</t>
        </is>
      </c>
      <c r="E5358" s="3" t="n">
        <v>1.25</v>
      </c>
      <c r="F5358" s="3" t="n">
        <v>0.51</v>
      </c>
      <c r="G5358" s="3">
        <f>F5358-E5358</f>
        <v/>
      </c>
      <c r="H5358" s="4">
        <f>IF(E5358=0,"",F5358/E5358-1)</f>
        <v/>
      </c>
      <c r="I5358" t="inlineStr"/>
    </row>
    <row r="5359">
      <c r="A5359" t="inlineStr">
        <is>
          <t>Instruments &amp; medical devices</t>
        </is>
      </c>
      <c r="B5359" t="inlineStr">
        <is>
          <t>90</t>
        </is>
      </c>
      <c r="C5359" t="inlineStr">
        <is>
          <t>90328100</t>
        </is>
      </c>
      <c r="D5359" t="inlineStr">
        <is>
          <t>HYDRAULIC/PNEUMATIC INSTRUMNTS AND APPARATUS</t>
        </is>
      </c>
      <c r="E5359" s="3" t="n">
        <v>1.14</v>
      </c>
      <c r="F5359" s="3" t="n">
        <v>0.51</v>
      </c>
      <c r="G5359" s="3">
        <f>F5359-E5359</f>
        <v/>
      </c>
      <c r="H5359" s="4">
        <f>IF(E5359=0,"",F5359/E5359-1)</f>
        <v/>
      </c>
      <c r="I5359" t="inlineStr"/>
    </row>
    <row r="5360">
      <c r="A5360" t="inlineStr">
        <is>
          <t>Instruments &amp; medical devices</t>
        </is>
      </c>
      <c r="B5360" t="inlineStr">
        <is>
          <t>90</t>
        </is>
      </c>
      <c r="C5360" t="inlineStr">
        <is>
          <t>90049090</t>
        </is>
      </c>
      <c r="D5360" t="inlineStr">
        <is>
          <t>0THERS</t>
        </is>
      </c>
      <c r="E5360" s="3" t="n">
        <v>0.34</v>
      </c>
      <c r="F5360" s="3" t="n">
        <v>0.48</v>
      </c>
      <c r="G5360" s="3">
        <f>F5360-E5360</f>
        <v/>
      </c>
      <c r="H5360" s="4">
        <f>IF(E5360=0,"",F5360/E5360-1)</f>
        <v/>
      </c>
      <c r="I5360" t="inlineStr"/>
    </row>
    <row r="5361">
      <c r="A5361" t="inlineStr">
        <is>
          <t>Instruments &amp; medical devices</t>
        </is>
      </c>
      <c r="B5361" t="inlineStr">
        <is>
          <t>90</t>
        </is>
      </c>
      <c r="C5361" t="inlineStr">
        <is>
          <t>90172010</t>
        </is>
      </c>
      <c r="D5361" t="inlineStr">
        <is>
          <t>DRWNG AND MRKNG OUT INSTRMNTS;PANTOGRAPH</t>
        </is>
      </c>
      <c r="E5361" s="3" t="n">
        <v>0.39</v>
      </c>
      <c r="F5361" s="3" t="n">
        <v>0.46</v>
      </c>
      <c r="G5361" s="3">
        <f>F5361-E5361</f>
        <v/>
      </c>
      <c r="H5361" s="4">
        <f>IF(E5361=0,"",F5361/E5361-1)</f>
        <v/>
      </c>
      <c r="I5361" t="inlineStr"/>
    </row>
    <row r="5362">
      <c r="A5362" t="inlineStr">
        <is>
          <t>Instruments &amp; medical devices</t>
        </is>
      </c>
      <c r="B5362" t="inlineStr">
        <is>
          <t>90</t>
        </is>
      </c>
      <c r="C5362" t="inlineStr">
        <is>
          <t>90160010</t>
        </is>
      </c>
      <c r="D5362" t="inlineStr">
        <is>
          <t>ELECTRIC BALANCES</t>
        </is>
      </c>
      <c r="E5362" s="3" t="n">
        <v>0.18</v>
      </c>
      <c r="F5362" s="3" t="n">
        <v>0.44</v>
      </c>
      <c r="G5362" s="3">
        <f>F5362-E5362</f>
        <v/>
      </c>
      <c r="H5362" s="4">
        <f>IF(E5362=0,"",F5362/E5362-1)</f>
        <v/>
      </c>
      <c r="I5362" t="inlineStr"/>
    </row>
    <row r="5363">
      <c r="A5363" t="inlineStr">
        <is>
          <t>Instruments &amp; medical devices</t>
        </is>
      </c>
      <c r="B5363" t="inlineStr">
        <is>
          <t>90</t>
        </is>
      </c>
      <c r="C5363" t="inlineStr">
        <is>
          <t>90248091</t>
        </is>
      </c>
      <c r="D5363" t="inlineStr">
        <is>
          <t>FOR TESTING HARDNESS</t>
        </is>
      </c>
      <c r="E5363" s="3" t="n">
        <v>0.1</v>
      </c>
      <c r="F5363" s="3" t="n">
        <v>0.43</v>
      </c>
      <c r="G5363" s="3">
        <f>F5363-E5363</f>
        <v/>
      </c>
      <c r="H5363" s="4">
        <f>IF(E5363=0,"",F5363/E5363-1)</f>
        <v/>
      </c>
      <c r="I5363" t="inlineStr"/>
    </row>
    <row r="5364">
      <c r="A5364" t="inlineStr">
        <is>
          <t>Instruments &amp; medical devices</t>
        </is>
      </c>
      <c r="B5364" t="inlineStr">
        <is>
          <t>90</t>
        </is>
      </c>
      <c r="C5364" t="inlineStr">
        <is>
          <t>90183220</t>
        </is>
      </c>
      <c r="D5364" t="inlineStr">
        <is>
          <t>TUBULAR METAL NEEDLES</t>
        </is>
      </c>
      <c r="E5364" s="3" t="n">
        <v>0.46</v>
      </c>
      <c r="F5364" s="3" t="n">
        <v>0.4</v>
      </c>
      <c r="G5364" s="3">
        <f>F5364-E5364</f>
        <v/>
      </c>
      <c r="H5364" s="4">
        <f>IF(E5364=0,"",F5364/E5364-1)</f>
        <v/>
      </c>
      <c r="I5364" t="inlineStr"/>
    </row>
    <row r="5365">
      <c r="A5365" t="inlineStr">
        <is>
          <t>Instruments &amp; medical devices</t>
        </is>
      </c>
      <c r="B5365" t="inlineStr">
        <is>
          <t>90</t>
        </is>
      </c>
      <c r="C5365" t="inlineStr">
        <is>
          <t>90229090</t>
        </is>
      </c>
      <c r="D5365" t="inlineStr">
        <is>
          <t>OTHERS-OF-OTHER, INCLUDING PARTS AND ACCESSORIES :</t>
        </is>
      </c>
      <c r="E5365" s="3" t="n">
        <v>0.39</v>
      </c>
      <c r="F5365" s="3" t="n">
        <v>0.38</v>
      </c>
      <c r="G5365" s="3">
        <f>F5365-E5365</f>
        <v/>
      </c>
      <c r="H5365" s="4">
        <f>IF(E5365=0,"",F5365/E5365-1)</f>
        <v/>
      </c>
      <c r="I5365" t="inlineStr"/>
    </row>
    <row r="5366">
      <c r="A5366" t="inlineStr">
        <is>
          <t>Instruments &amp; medical devices</t>
        </is>
      </c>
      <c r="B5366" t="inlineStr">
        <is>
          <t>90</t>
        </is>
      </c>
      <c r="C5366" t="inlineStr">
        <is>
          <t>90272000</t>
        </is>
      </c>
      <c r="D5366" t="inlineStr">
        <is>
          <t>CHROMATOGRAPHS AND ELECTROPHORESIS INSTRMNT</t>
        </is>
      </c>
      <c r="E5366" s="3" t="n">
        <v>0</v>
      </c>
      <c r="F5366" s="3" t="n">
        <v>0.38</v>
      </c>
      <c r="G5366" s="3">
        <f>F5366-E5366</f>
        <v/>
      </c>
      <c r="H5366" s="4">
        <f>IF(E5366=0,"",F5366/E5366-1)</f>
        <v/>
      </c>
      <c r="I5366" t="inlineStr"/>
    </row>
    <row r="5367">
      <c r="A5367" t="inlineStr">
        <is>
          <t>Instruments &amp; medical devices</t>
        </is>
      </c>
      <c r="B5367" t="inlineStr">
        <is>
          <t>90</t>
        </is>
      </c>
      <c r="C5367" t="inlineStr">
        <is>
          <t>90212100</t>
        </is>
      </c>
      <c r="D5367" t="inlineStr">
        <is>
          <t>ARTIFICIAL TEETH</t>
        </is>
      </c>
      <c r="E5367" s="3" t="n">
        <v>0.07000000000000001</v>
      </c>
      <c r="F5367" s="3" t="n">
        <v>0.34</v>
      </c>
      <c r="G5367" s="3">
        <f>F5367-E5367</f>
        <v/>
      </c>
      <c r="H5367" s="4">
        <f>IF(E5367=0,"",F5367/E5367-1)</f>
        <v/>
      </c>
      <c r="I5367" t="inlineStr"/>
    </row>
    <row r="5368">
      <c r="A5368" t="inlineStr">
        <is>
          <t>Instruments &amp; medical devices</t>
        </is>
      </c>
      <c r="B5368" t="inlineStr">
        <is>
          <t>90</t>
        </is>
      </c>
      <c r="C5368" t="inlineStr">
        <is>
          <t>90191010</t>
        </is>
      </c>
      <c r="D5368" t="inlineStr">
        <is>
          <t>MECHANO-THERAPY APPLIANCES</t>
        </is>
      </c>
      <c r="E5368" s="3" t="n">
        <v>0.08</v>
      </c>
      <c r="F5368" s="3" t="n">
        <v>0.33</v>
      </c>
      <c r="G5368" s="3">
        <f>F5368-E5368</f>
        <v/>
      </c>
      <c r="H5368" s="4">
        <f>IF(E5368=0,"",F5368/E5368-1)</f>
        <v/>
      </c>
      <c r="I5368" t="inlineStr"/>
    </row>
    <row r="5369">
      <c r="A5369" t="inlineStr">
        <is>
          <t>Instruments &amp; medical devices</t>
        </is>
      </c>
      <c r="B5369" t="inlineStr">
        <is>
          <t>90</t>
        </is>
      </c>
      <c r="C5369" t="inlineStr">
        <is>
          <t>90181290</t>
        </is>
      </c>
      <c r="D5369" t="inlineStr">
        <is>
          <t>OTHR ELECTRO-DIAGNOSTC APARATUS</t>
        </is>
      </c>
      <c r="E5369" s="3" t="n">
        <v>0.3</v>
      </c>
      <c r="F5369" s="3" t="n">
        <v>0.32</v>
      </c>
      <c r="G5369" s="3">
        <f>F5369-E5369</f>
        <v/>
      </c>
      <c r="H5369" s="4">
        <f>IF(E5369=0,"",F5369/E5369-1)</f>
        <v/>
      </c>
      <c r="I5369" t="inlineStr"/>
    </row>
    <row r="5370">
      <c r="A5370" t="inlineStr">
        <is>
          <t>Instruments &amp; medical devices</t>
        </is>
      </c>
      <c r="B5370" t="inlineStr">
        <is>
          <t>90</t>
        </is>
      </c>
      <c r="C5370" t="inlineStr">
        <is>
          <t>90311000</t>
        </is>
      </c>
      <c r="D5370" t="inlineStr">
        <is>
          <t>MACHINES FOR BALANCING MECHANICAL PARTS</t>
        </is>
      </c>
      <c r="E5370" s="3" t="n">
        <v>1.36</v>
      </c>
      <c r="F5370" s="3" t="n">
        <v>0.31</v>
      </c>
      <c r="G5370" s="3">
        <f>F5370-E5370</f>
        <v/>
      </c>
      <c r="H5370" s="4">
        <f>IF(E5370=0,"",F5370/E5370-1)</f>
        <v/>
      </c>
      <c r="I5370" t="inlineStr"/>
    </row>
    <row r="5371">
      <c r="A5371" t="inlineStr">
        <is>
          <t>Instruments &amp; medical devices</t>
        </is>
      </c>
      <c r="B5371" t="inlineStr">
        <is>
          <t>90</t>
        </is>
      </c>
      <c r="C5371" t="inlineStr">
        <is>
          <t>90214090</t>
        </is>
      </c>
      <c r="D5371" t="inlineStr">
        <is>
          <t>OTHERS-OF-HEARING AIDS,EXCL PARTS AND ACCESSORIES</t>
        </is>
      </c>
      <c r="E5371" s="3" t="n">
        <v>0.45</v>
      </c>
      <c r="F5371" s="3" t="n">
        <v>0.3</v>
      </c>
      <c r="G5371" s="3">
        <f>F5371-E5371</f>
        <v/>
      </c>
      <c r="H5371" s="4">
        <f>IF(E5371=0,"",F5371/E5371-1)</f>
        <v/>
      </c>
      <c r="I5371" t="inlineStr"/>
    </row>
    <row r="5372">
      <c r="A5372" t="inlineStr">
        <is>
          <t>Instruments &amp; medical devices</t>
        </is>
      </c>
      <c r="B5372" t="inlineStr">
        <is>
          <t>90</t>
        </is>
      </c>
      <c r="C5372" t="inlineStr">
        <is>
          <t>90173022</t>
        </is>
      </c>
      <c r="D5372" t="inlineStr">
        <is>
          <t>GAUGES,RING</t>
        </is>
      </c>
      <c r="E5372" s="3" t="n">
        <v>0.2</v>
      </c>
      <c r="F5372" s="3" t="n">
        <v>0.29</v>
      </c>
      <c r="G5372" s="3">
        <f>F5372-E5372</f>
        <v/>
      </c>
      <c r="H5372" s="4">
        <f>IF(E5372=0,"",F5372/E5372-1)</f>
        <v/>
      </c>
      <c r="I5372" t="inlineStr"/>
    </row>
    <row r="5373">
      <c r="A5373" t="inlineStr">
        <is>
          <t>Instruments &amp; medical devices</t>
        </is>
      </c>
      <c r="B5373" t="inlineStr">
        <is>
          <t>90</t>
        </is>
      </c>
      <c r="C5373" t="inlineStr">
        <is>
          <t>90241000</t>
        </is>
      </c>
      <c r="D5373" t="inlineStr">
        <is>
          <t>MACHINES AND APPLIANCES FOR TESTING METALS</t>
        </is>
      </c>
      <c r="E5373" s="3" t="n">
        <v>0.45</v>
      </c>
      <c r="F5373" s="3" t="n">
        <v>0.28</v>
      </c>
      <c r="G5373" s="3">
        <f>F5373-E5373</f>
        <v/>
      </c>
      <c r="H5373" s="4">
        <f>IF(E5373=0,"",F5373/E5373-1)</f>
        <v/>
      </c>
      <c r="I5373" t="inlineStr"/>
    </row>
    <row r="5374">
      <c r="A5374" t="inlineStr">
        <is>
          <t>Instruments &amp; medical devices</t>
        </is>
      </c>
      <c r="B5374" t="inlineStr">
        <is>
          <t>90</t>
        </is>
      </c>
      <c r="C5374" t="inlineStr">
        <is>
          <t>90105000</t>
        </is>
      </c>
      <c r="D5374" t="inlineStr">
        <is>
          <t>OTHR APRTS AND EQPMNT FR PHOTOGRPHC(INCL CINEMATOGRPHC)LBRTRS,NEGATOSCOPES</t>
        </is>
      </c>
      <c r="E5374" s="3" t="n">
        <v>0</v>
      </c>
      <c r="F5374" s="3" t="n">
        <v>0.24</v>
      </c>
      <c r="G5374" s="3">
        <f>F5374-E5374</f>
        <v/>
      </c>
      <c r="H5374" s="4">
        <f>IF(E5374=0,"",F5374/E5374-1)</f>
        <v/>
      </c>
      <c r="I5374" t="inlineStr"/>
    </row>
    <row r="5375">
      <c r="A5375" t="inlineStr">
        <is>
          <t>Instruments &amp; medical devices</t>
        </is>
      </c>
      <c r="B5375" t="inlineStr">
        <is>
          <t>90</t>
        </is>
      </c>
      <c r="C5375" t="inlineStr">
        <is>
          <t>90248010</t>
        </is>
      </c>
      <c r="D5375" t="inlineStr">
        <is>
          <t>FOR TESTING TEXTILES, PAPER AND PAPERBOARD</t>
        </is>
      </c>
      <c r="E5375" s="3" t="n">
        <v>0.07000000000000001</v>
      </c>
      <c r="F5375" s="3" t="n">
        <v>0.24</v>
      </c>
      <c r="G5375" s="3">
        <f>F5375-E5375</f>
        <v/>
      </c>
      <c r="H5375" s="4">
        <f>IF(E5375=0,"",F5375/E5375-1)</f>
        <v/>
      </c>
      <c r="I5375" t="inlineStr"/>
    </row>
    <row r="5376">
      <c r="A5376" t="inlineStr">
        <is>
          <t>Instruments &amp; medical devices</t>
        </is>
      </c>
      <c r="B5376" t="inlineStr">
        <is>
          <t>90</t>
        </is>
      </c>
      <c r="C5376" t="inlineStr">
        <is>
          <t>90118000</t>
        </is>
      </c>
      <c r="D5376" t="inlineStr">
        <is>
          <t>OTHER MICROSCOPES</t>
        </is>
      </c>
      <c r="E5376" s="3" t="n">
        <v>0.1</v>
      </c>
      <c r="F5376" s="3" t="n">
        <v>0.23</v>
      </c>
      <c r="G5376" s="3">
        <f>F5376-E5376</f>
        <v/>
      </c>
      <c r="H5376" s="4">
        <f>IF(E5376=0,"",F5376/E5376-1)</f>
        <v/>
      </c>
      <c r="I5376" t="inlineStr"/>
    </row>
    <row r="5377">
      <c r="A5377" t="inlineStr">
        <is>
          <t>Instruments &amp; medical devices</t>
        </is>
      </c>
      <c r="B5377" t="inlineStr">
        <is>
          <t>90</t>
        </is>
      </c>
      <c r="C5377" t="inlineStr">
        <is>
          <t>90303100</t>
        </is>
      </c>
      <c r="D5377" t="inlineStr">
        <is>
          <t>MULTIMETERS</t>
        </is>
      </c>
      <c r="E5377" s="3" t="n">
        <v>0.22</v>
      </c>
      <c r="F5377" s="3" t="n">
        <v>0.23</v>
      </c>
      <c r="G5377" s="3">
        <f>F5377-E5377</f>
        <v/>
      </c>
      <c r="H5377" s="4">
        <f>IF(E5377=0,"",F5377/E5377-1)</f>
        <v/>
      </c>
      <c r="I5377" t="inlineStr"/>
    </row>
    <row r="5378">
      <c r="A5378" t="inlineStr">
        <is>
          <t>Instruments &amp; medical devices</t>
        </is>
      </c>
      <c r="B5378" t="inlineStr">
        <is>
          <t>91</t>
        </is>
      </c>
      <c r="C5378" t="inlineStr">
        <is>
          <t>91070000</t>
        </is>
      </c>
      <c r="D5378" t="inlineStr">
        <is>
          <t>TIME SWITCHES WITH CLOCK OR WATCH MOVEMENTOR WITH SYNCHRONOUS MOTOR</t>
        </is>
      </c>
      <c r="E5378" s="3" t="n">
        <v>0.15</v>
      </c>
      <c r="F5378" s="3" t="n">
        <v>0.23</v>
      </c>
      <c r="G5378" s="3">
        <f>F5378-E5378</f>
        <v/>
      </c>
      <c r="H5378" s="4">
        <f>IF(E5378=0,"",F5378/E5378-1)</f>
        <v/>
      </c>
      <c r="I5378" t="inlineStr"/>
    </row>
    <row r="5379">
      <c r="A5379" t="inlineStr">
        <is>
          <t>Instruments &amp; medical devices</t>
        </is>
      </c>
      <c r="B5379" t="inlineStr">
        <is>
          <t>90</t>
        </is>
      </c>
      <c r="C5379" t="inlineStr">
        <is>
          <t>90173010</t>
        </is>
      </c>
      <c r="D5379" t="inlineStr">
        <is>
          <t>CALIPERS AND MICROMETERS</t>
        </is>
      </c>
      <c r="E5379" s="3" t="n">
        <v>0.73</v>
      </c>
      <c r="F5379" s="3" t="n">
        <v>0.22</v>
      </c>
      <c r="G5379" s="3">
        <f>F5379-E5379</f>
        <v/>
      </c>
      <c r="H5379" s="4">
        <f>IF(E5379=0,"",F5379/E5379-1)</f>
        <v/>
      </c>
      <c r="I5379" t="inlineStr"/>
    </row>
    <row r="5380">
      <c r="A5380" t="inlineStr">
        <is>
          <t>Instruments &amp; medical devices</t>
        </is>
      </c>
      <c r="B5380" t="inlineStr">
        <is>
          <t>90</t>
        </is>
      </c>
      <c r="C5380" t="inlineStr">
        <is>
          <t>90251920</t>
        </is>
      </c>
      <c r="D5380" t="inlineStr">
        <is>
          <t>PYROMETERS (INCL RADIATION PYROMETER)</t>
        </is>
      </c>
      <c r="E5380" s="3" t="n">
        <v>0.03</v>
      </c>
      <c r="F5380" s="3" t="n">
        <v>0.22</v>
      </c>
      <c r="G5380" s="3">
        <f>F5380-E5380</f>
        <v/>
      </c>
      <c r="H5380" s="4">
        <f>IF(E5380=0,"",F5380/E5380-1)</f>
        <v/>
      </c>
      <c r="I5380" t="inlineStr"/>
    </row>
    <row r="5381">
      <c r="A5381" t="inlineStr">
        <is>
          <t>Instruments &amp; medical devices</t>
        </is>
      </c>
      <c r="B5381" t="inlineStr">
        <is>
          <t>90</t>
        </is>
      </c>
      <c r="C5381" t="inlineStr">
        <is>
          <t>90189023</t>
        </is>
      </c>
      <c r="D5381" t="inlineStr">
        <is>
          <t>SRGCL FRCPS,FRCP CLMPS,CLIPS,NDLE HOLDERS,INTRODUCERS,CEPHALOTRIBE BONE HOLDING AND OTHER HOLDING INSTRUMENT</t>
        </is>
      </c>
      <c r="E5381" s="3" t="n">
        <v>0.03</v>
      </c>
      <c r="F5381" s="3" t="n">
        <v>0.2</v>
      </c>
      <c r="G5381" s="3">
        <f>F5381-E5381</f>
        <v/>
      </c>
      <c r="H5381" s="4">
        <f>IF(E5381=0,"",F5381/E5381-1)</f>
        <v/>
      </c>
      <c r="I5381" t="inlineStr"/>
    </row>
    <row r="5382">
      <c r="A5382" t="inlineStr">
        <is>
          <t>Instruments &amp; medical devices</t>
        </is>
      </c>
      <c r="B5382" t="inlineStr">
        <is>
          <t>90</t>
        </is>
      </c>
      <c r="C5382" t="inlineStr">
        <is>
          <t>90178090</t>
        </is>
      </c>
      <c r="D5382" t="inlineStr">
        <is>
          <t>OTHR MSRNG/CHCKNG INSTRMNTS(VERNIR ETC)</t>
        </is>
      </c>
      <c r="E5382" s="3" t="n">
        <v>0.01</v>
      </c>
      <c r="F5382" s="3" t="n">
        <v>0.19</v>
      </c>
      <c r="G5382" s="3">
        <f>F5382-E5382</f>
        <v/>
      </c>
      <c r="H5382" s="4">
        <f>IF(E5382=0,"",F5382/E5382-1)</f>
        <v/>
      </c>
      <c r="I5382" t="inlineStr"/>
    </row>
    <row r="5383">
      <c r="A5383" t="inlineStr">
        <is>
          <t>Instruments &amp; medical devices</t>
        </is>
      </c>
      <c r="B5383" t="inlineStr">
        <is>
          <t>90</t>
        </is>
      </c>
      <c r="C5383" t="inlineStr">
        <is>
          <t>90158090</t>
        </is>
      </c>
      <c r="D5383" t="inlineStr">
        <is>
          <t>OTHERS-OF-OTHER INSTRUMENTS AND APPLIANCES:</t>
        </is>
      </c>
      <c r="E5383" s="3" t="n">
        <v>1.46</v>
      </c>
      <c r="F5383" s="3" t="n">
        <v>0.18</v>
      </c>
      <c r="G5383" s="3">
        <f>F5383-E5383</f>
        <v/>
      </c>
      <c r="H5383" s="4">
        <f>IF(E5383=0,"",F5383/E5383-1)</f>
        <v/>
      </c>
      <c r="I5383" t="inlineStr"/>
    </row>
    <row r="5384">
      <c r="A5384" t="inlineStr">
        <is>
          <t>Instruments &amp; medical devices</t>
        </is>
      </c>
      <c r="B5384" t="inlineStr">
        <is>
          <t>90</t>
        </is>
      </c>
      <c r="C5384" t="inlineStr">
        <is>
          <t>90172020</t>
        </is>
      </c>
      <c r="D5384" t="inlineStr">
        <is>
          <t>MATHEMATICAL CALCULATING INSTRUMENTS; SLIDE RULES,DISC CALCULATORS AND THE LIKE</t>
        </is>
      </c>
      <c r="E5384" s="3" t="n">
        <v>0.09</v>
      </c>
      <c r="F5384" s="3" t="n">
        <v>0.17</v>
      </c>
      <c r="G5384" s="3">
        <f>F5384-E5384</f>
        <v/>
      </c>
      <c r="H5384" s="4">
        <f>IF(E5384=0,"",F5384/E5384-1)</f>
        <v/>
      </c>
      <c r="I5384" t="inlineStr"/>
    </row>
    <row r="5385">
      <c r="A5385" t="inlineStr">
        <is>
          <t>Instruments &amp; medical devices</t>
        </is>
      </c>
      <c r="B5385" t="inlineStr">
        <is>
          <t>90</t>
        </is>
      </c>
      <c r="C5385" t="inlineStr">
        <is>
          <t>90173021</t>
        </is>
      </c>
      <c r="D5385" t="inlineStr">
        <is>
          <t>GAUGES,PLUG</t>
        </is>
      </c>
      <c r="E5385" s="3" t="n">
        <v>0.23</v>
      </c>
      <c r="F5385" s="3" t="n">
        <v>0.16</v>
      </c>
      <c r="G5385" s="3">
        <f>F5385-E5385</f>
        <v/>
      </c>
      <c r="H5385" s="4">
        <f>IF(E5385=0,"",F5385/E5385-1)</f>
        <v/>
      </c>
      <c r="I5385" t="inlineStr"/>
    </row>
    <row r="5386">
      <c r="A5386" t="inlineStr">
        <is>
          <t>Instruments &amp; medical devices</t>
        </is>
      </c>
      <c r="B5386" t="inlineStr">
        <is>
          <t>90</t>
        </is>
      </c>
      <c r="C5386" t="inlineStr">
        <is>
          <t>90221410</t>
        </is>
      </c>
      <c r="D5386" t="inlineStr">
        <is>
          <t>X-RAY GENERATORS AND APPARATUS (NON-PORTABLE)</t>
        </is>
      </c>
      <c r="E5386" s="3" t="n">
        <v>0.37</v>
      </c>
      <c r="F5386" s="3" t="n">
        <v>0.15</v>
      </c>
      <c r="G5386" s="3">
        <f>F5386-E5386</f>
        <v/>
      </c>
      <c r="H5386" s="4">
        <f>IF(E5386=0,"",F5386/E5386-1)</f>
        <v/>
      </c>
      <c r="I5386" t="inlineStr"/>
    </row>
    <row r="5387">
      <c r="A5387" t="inlineStr">
        <is>
          <t>Instruments &amp; medical devices</t>
        </is>
      </c>
      <c r="B5387" t="inlineStr">
        <is>
          <t>90</t>
        </is>
      </c>
      <c r="C5387" t="inlineStr">
        <is>
          <t>90148090</t>
        </is>
      </c>
      <c r="D5387" t="inlineStr">
        <is>
          <t>OTHERS-OF-OTHER INSTRUMENTS AND APPLIANCES :</t>
        </is>
      </c>
      <c r="E5387" s="3" t="n">
        <v>0.15</v>
      </c>
      <c r="F5387" s="3" t="n">
        <v>0.14</v>
      </c>
      <c r="G5387" s="3">
        <f>F5387-E5387</f>
        <v/>
      </c>
      <c r="H5387" s="4">
        <f>IF(E5387=0,"",F5387/E5387-1)</f>
        <v/>
      </c>
      <c r="I5387" t="inlineStr"/>
    </row>
    <row r="5388">
      <c r="A5388" t="inlineStr">
        <is>
          <t>Instruments &amp; medical devices</t>
        </is>
      </c>
      <c r="B5388" t="inlineStr">
        <is>
          <t>90</t>
        </is>
      </c>
      <c r="C5388" t="inlineStr">
        <is>
          <t>90172090</t>
        </is>
      </c>
      <c r="D5388" t="inlineStr">
        <is>
          <t>OTHER INSTRUMENTS</t>
        </is>
      </c>
      <c r="E5388" s="3" t="n">
        <v>0.11</v>
      </c>
      <c r="F5388" s="3" t="n">
        <v>0.14</v>
      </c>
      <c r="G5388" s="3">
        <f>F5388-E5388</f>
        <v/>
      </c>
      <c r="H5388" s="4">
        <f>IF(E5388=0,"",F5388/E5388-1)</f>
        <v/>
      </c>
      <c r="I5388" t="inlineStr"/>
    </row>
    <row r="5389">
      <c r="A5389" t="inlineStr">
        <is>
          <t>Instruments &amp; medical devices</t>
        </is>
      </c>
      <c r="B5389" t="inlineStr">
        <is>
          <t>90</t>
        </is>
      </c>
      <c r="C5389" t="inlineStr">
        <is>
          <t>90178010</t>
        </is>
      </c>
      <c r="D5389" t="inlineStr">
        <is>
          <t>MEASURING RODS AND TAPES</t>
        </is>
      </c>
      <c r="E5389" s="3" t="n">
        <v>0.18</v>
      </c>
      <c r="F5389" s="3" t="n">
        <v>0.14</v>
      </c>
      <c r="G5389" s="3">
        <f>F5389-E5389</f>
        <v/>
      </c>
      <c r="H5389" s="4">
        <f>IF(E5389=0,"",F5389/E5389-1)</f>
        <v/>
      </c>
      <c r="I5389" t="inlineStr"/>
    </row>
    <row r="5390">
      <c r="A5390" t="inlineStr">
        <is>
          <t>Instruments &amp; medical devices</t>
        </is>
      </c>
      <c r="B5390" t="inlineStr">
        <is>
          <t>90</t>
        </is>
      </c>
      <c r="C5390" t="inlineStr">
        <is>
          <t>90221420</t>
        </is>
      </c>
      <c r="D5390" t="inlineStr">
        <is>
          <t>X-RAY EXMNTN/TRTMNT TBLS,CHRS AND THE LIKE</t>
        </is>
      </c>
      <c r="E5390" s="3" t="n">
        <v>0.02</v>
      </c>
      <c r="F5390" s="3" t="n">
        <v>0.14</v>
      </c>
      <c r="G5390" s="3">
        <f>F5390-E5390</f>
        <v/>
      </c>
      <c r="H5390" s="4">
        <f>IF(E5390=0,"",F5390/E5390-1)</f>
        <v/>
      </c>
      <c r="I5390" t="inlineStr"/>
    </row>
    <row r="5391">
      <c r="A5391" t="inlineStr">
        <is>
          <t>Instruments &amp; medical devices</t>
        </is>
      </c>
      <c r="B5391" t="inlineStr">
        <is>
          <t>90</t>
        </is>
      </c>
      <c r="C5391" t="inlineStr">
        <is>
          <t>90303200</t>
        </is>
      </c>
      <c r="D5391" t="inlineStr">
        <is>
          <t>MULTIMETERS WITH A RECORDING DEVICE</t>
        </is>
      </c>
      <c r="E5391" s="3" t="n">
        <v>0.3</v>
      </c>
      <c r="F5391" s="3" t="n">
        <v>0.14</v>
      </c>
      <c r="G5391" s="3">
        <f>F5391-E5391</f>
        <v/>
      </c>
      <c r="H5391" s="4">
        <f>IF(E5391=0,"",F5391/E5391-1)</f>
        <v/>
      </c>
      <c r="I5391" t="inlineStr"/>
    </row>
    <row r="5392">
      <c r="A5392" t="inlineStr">
        <is>
          <t>Instruments &amp; medical devices</t>
        </is>
      </c>
      <c r="B5392" t="inlineStr">
        <is>
          <t>90</t>
        </is>
      </c>
      <c r="C5392" t="inlineStr">
        <is>
          <t>90309090</t>
        </is>
      </c>
      <c r="D5392" t="inlineStr">
        <is>
          <t>OTHER PARTS AND ACCESSORIES</t>
        </is>
      </c>
      <c r="E5392" s="3" t="n">
        <v>0.52</v>
      </c>
      <c r="F5392" s="3" t="n">
        <v>0.14</v>
      </c>
      <c r="G5392" s="3">
        <f>F5392-E5392</f>
        <v/>
      </c>
      <c r="H5392" s="4">
        <f>IF(E5392=0,"",F5392/E5392-1)</f>
        <v/>
      </c>
      <c r="I5392" t="inlineStr"/>
    </row>
    <row r="5393">
      <c r="A5393" t="inlineStr">
        <is>
          <t>Instruments &amp; medical devices</t>
        </is>
      </c>
      <c r="B5393" t="inlineStr">
        <is>
          <t>90</t>
        </is>
      </c>
      <c r="C5393" t="inlineStr">
        <is>
          <t>90181910</t>
        </is>
      </c>
      <c r="D5393" t="inlineStr">
        <is>
          <t>ELECTRO-ENAPHALOGRAPHS</t>
        </is>
      </c>
      <c r="E5393" s="3" t="n">
        <v>0.04</v>
      </c>
      <c r="F5393" s="3" t="n">
        <v>0.13</v>
      </c>
      <c r="G5393" s="3">
        <f>F5393-E5393</f>
        <v/>
      </c>
      <c r="H5393" s="4">
        <f>IF(E5393=0,"",F5393/E5393-1)</f>
        <v/>
      </c>
      <c r="I5393" t="inlineStr"/>
    </row>
    <row r="5394">
      <c r="A5394" t="inlineStr">
        <is>
          <t>Instruments &amp; medical devices</t>
        </is>
      </c>
      <c r="B5394" t="inlineStr">
        <is>
          <t>90</t>
        </is>
      </c>
      <c r="C5394" t="inlineStr">
        <is>
          <t>90200000</t>
        </is>
      </c>
      <c r="D5394" t="inlineStr">
        <is>
          <t>OTHR BRTHNG APLNCS AND GAS MSKS,EXCL PRTCTV MSKS HVNG NTHR MCHNCL PRTS NR RPLCBL FLTRS</t>
        </is>
      </c>
      <c r="E5394" s="3" t="n">
        <v>0.05</v>
      </c>
      <c r="F5394" s="3" t="n">
        <v>0.13</v>
      </c>
      <c r="G5394" s="3">
        <f>F5394-E5394</f>
        <v/>
      </c>
      <c r="H5394" s="4">
        <f>IF(E5394=0,"",F5394/E5394-1)</f>
        <v/>
      </c>
      <c r="I5394" t="inlineStr"/>
    </row>
    <row r="5395">
      <c r="A5395" t="inlineStr">
        <is>
          <t>Instruments &amp; medical devices</t>
        </is>
      </c>
      <c r="B5395" t="inlineStr">
        <is>
          <t>90</t>
        </is>
      </c>
      <c r="C5395" t="inlineStr">
        <is>
          <t>90303900</t>
        </is>
      </c>
      <c r="D5395" t="inlineStr">
        <is>
          <t>OTHER, WITH A RECORDING DEVICE</t>
        </is>
      </c>
      <c r="E5395" s="3" t="n">
        <v>0.18</v>
      </c>
      <c r="F5395" s="3" t="n">
        <v>0.13</v>
      </c>
      <c r="G5395" s="3">
        <f>F5395-E5395</f>
        <v/>
      </c>
      <c r="H5395" s="4">
        <f>IF(E5395=0,"",F5395/E5395-1)</f>
        <v/>
      </c>
      <c r="I5395" t="inlineStr"/>
    </row>
    <row r="5396">
      <c r="A5396" t="inlineStr">
        <is>
          <t>Instruments &amp; medical devices</t>
        </is>
      </c>
      <c r="B5396" t="inlineStr">
        <is>
          <t>90</t>
        </is>
      </c>
      <c r="C5396" t="inlineStr">
        <is>
          <t>90158020</t>
        </is>
      </c>
      <c r="D5396" t="inlineStr">
        <is>
          <t>METEOROLOGICAL INSTRUMENTS</t>
        </is>
      </c>
      <c r="E5396" s="3" t="n">
        <v>0.04</v>
      </c>
      <c r="F5396" s="3" t="n">
        <v>0.12</v>
      </c>
      <c r="G5396" s="3">
        <f>F5396-E5396</f>
        <v/>
      </c>
      <c r="H5396" s="4">
        <f>IF(E5396=0,"",F5396/E5396-1)</f>
        <v/>
      </c>
      <c r="I5396" t="inlineStr"/>
    </row>
    <row r="5397">
      <c r="A5397" t="inlineStr">
        <is>
          <t>Instruments &amp; medical devices</t>
        </is>
      </c>
      <c r="B5397" t="inlineStr">
        <is>
          <t>90</t>
        </is>
      </c>
      <c r="C5397" t="inlineStr">
        <is>
          <t>90212900</t>
        </is>
      </c>
      <c r="D5397" t="inlineStr">
        <is>
          <t>OTHER(DENTAL FITTINGS)</t>
        </is>
      </c>
      <c r="E5397" s="3" t="n">
        <v>0.02</v>
      </c>
      <c r="F5397" s="3" t="n">
        <v>0.12</v>
      </c>
      <c r="G5397" s="3">
        <f>F5397-E5397</f>
        <v/>
      </c>
      <c r="H5397" s="4">
        <f>IF(E5397=0,"",F5397/E5397-1)</f>
        <v/>
      </c>
      <c r="I5397" t="inlineStr"/>
    </row>
    <row r="5398">
      <c r="A5398" t="inlineStr">
        <is>
          <t>Instruments &amp; medical devices</t>
        </is>
      </c>
      <c r="B5398" t="inlineStr">
        <is>
          <t>90</t>
        </is>
      </c>
      <c r="C5398" t="inlineStr">
        <is>
          <t>90275020</t>
        </is>
      </c>
      <c r="D5398" t="inlineStr">
        <is>
          <t>REFRACTOMETERS</t>
        </is>
      </c>
      <c r="E5398" s="3" t="n">
        <v>0.01</v>
      </c>
      <c r="F5398" s="3" t="n">
        <v>0.09</v>
      </c>
      <c r="G5398" s="3">
        <f>F5398-E5398</f>
        <v/>
      </c>
      <c r="H5398" s="4">
        <f>IF(E5398=0,"",F5398/E5398-1)</f>
        <v/>
      </c>
      <c r="I5398" t="inlineStr"/>
    </row>
    <row r="5399">
      <c r="A5399" t="inlineStr">
        <is>
          <t>Instruments &amp; medical devices</t>
        </is>
      </c>
      <c r="B5399" t="inlineStr">
        <is>
          <t>90</t>
        </is>
      </c>
      <c r="C5399" t="inlineStr">
        <is>
          <t>90308990</t>
        </is>
      </c>
      <c r="D5399" t="inlineStr">
        <is>
          <t>OTHERS-OF-OTHER INSTRUMENTS AND APPARATUS</t>
        </is>
      </c>
      <c r="E5399" s="3" t="n">
        <v>0.51</v>
      </c>
      <c r="F5399" s="3" t="n">
        <v>0.09</v>
      </c>
      <c r="G5399" s="3">
        <f>F5399-E5399</f>
        <v/>
      </c>
      <c r="H5399" s="4">
        <f>IF(E5399=0,"",F5399/E5399-1)</f>
        <v/>
      </c>
      <c r="I5399" t="inlineStr"/>
    </row>
    <row r="5400">
      <c r="A5400" t="inlineStr">
        <is>
          <t>Instruments &amp; medical devices</t>
        </is>
      </c>
      <c r="B5400" t="inlineStr">
        <is>
          <t>90</t>
        </is>
      </c>
      <c r="C5400" t="inlineStr">
        <is>
          <t>90041000</t>
        </is>
      </c>
      <c r="D5400" t="inlineStr">
        <is>
          <t>SUNGLASSES</t>
        </is>
      </c>
      <c r="E5400" s="3" t="n">
        <v>601.48</v>
      </c>
      <c r="F5400" s="3" t="n">
        <v>0.08</v>
      </c>
      <c r="G5400" s="3">
        <f>F5400-E5400</f>
        <v/>
      </c>
      <c r="H5400" s="4">
        <f>IF(E5400=0,"",F5400/E5400-1)</f>
        <v/>
      </c>
      <c r="I5400" t="inlineStr"/>
    </row>
    <row r="5401">
      <c r="A5401" t="inlineStr">
        <is>
          <t>Instruments &amp; medical devices</t>
        </is>
      </c>
      <c r="B5401" t="inlineStr">
        <is>
          <t>90</t>
        </is>
      </c>
      <c r="C5401" t="inlineStr">
        <is>
          <t>90132000</t>
        </is>
      </c>
      <c r="D5401" t="inlineStr">
        <is>
          <t>LASERS,OTHER THAN LASER DIODES</t>
        </is>
      </c>
      <c r="E5401" s="3" t="n">
        <v>0.06</v>
      </c>
      <c r="F5401" s="3" t="n">
        <v>0.08</v>
      </c>
      <c r="G5401" s="3">
        <f>F5401-E5401</f>
        <v/>
      </c>
      <c r="H5401" s="4">
        <f>IF(E5401=0,"",F5401/E5401-1)</f>
        <v/>
      </c>
      <c r="I5401" t="inlineStr"/>
    </row>
    <row r="5402">
      <c r="A5402" t="inlineStr">
        <is>
          <t>Instruments &amp; medical devices</t>
        </is>
      </c>
      <c r="B5402" t="inlineStr">
        <is>
          <t>90</t>
        </is>
      </c>
      <c r="C5402" t="inlineStr">
        <is>
          <t>90158030</t>
        </is>
      </c>
      <c r="D5402" t="inlineStr">
        <is>
          <t>GEOPHYSICAL INSTRUMENTS</t>
        </is>
      </c>
      <c r="E5402" s="3" t="n">
        <v>0.01</v>
      </c>
      <c r="F5402" s="3" t="n">
        <v>0.08</v>
      </c>
      <c r="G5402" s="3">
        <f>F5402-E5402</f>
        <v/>
      </c>
      <c r="H5402" s="4">
        <f>IF(E5402=0,"",F5402/E5402-1)</f>
        <v/>
      </c>
      <c r="I5402" t="inlineStr"/>
    </row>
    <row r="5403">
      <c r="A5403" t="inlineStr">
        <is>
          <t>Instruments &amp; medical devices</t>
        </is>
      </c>
      <c r="B5403" t="inlineStr">
        <is>
          <t>90</t>
        </is>
      </c>
      <c r="C5403" t="inlineStr">
        <is>
          <t>90273020</t>
        </is>
      </c>
      <c r="D5403" t="inlineStr">
        <is>
          <t>SPECTRO-PHOTOMETERS</t>
        </is>
      </c>
      <c r="E5403" s="3" t="n">
        <v>0.16</v>
      </c>
      <c r="F5403" s="3" t="n">
        <v>0.08</v>
      </c>
      <c r="G5403" s="3">
        <f>F5403-E5403</f>
        <v/>
      </c>
      <c r="H5403" s="4">
        <f>IF(E5403=0,"",F5403/E5403-1)</f>
        <v/>
      </c>
      <c r="I5403" t="inlineStr"/>
    </row>
    <row r="5404">
      <c r="A5404" t="inlineStr">
        <is>
          <t>Instruments &amp; medical devices</t>
        </is>
      </c>
      <c r="B5404" t="inlineStr">
        <is>
          <t>90</t>
        </is>
      </c>
      <c r="C5404" t="inlineStr">
        <is>
          <t>90281000</t>
        </is>
      </c>
      <c r="D5404" t="inlineStr">
        <is>
          <t>GAS METERS</t>
        </is>
      </c>
      <c r="E5404" s="3" t="n">
        <v>0.02</v>
      </c>
      <c r="F5404" s="3" t="n">
        <v>0.08</v>
      </c>
      <c r="G5404" s="3">
        <f>F5404-E5404</f>
        <v/>
      </c>
      <c r="H5404" s="4">
        <f>IF(E5404=0,"",F5404/E5404-1)</f>
        <v/>
      </c>
      <c r="I5404" t="inlineStr"/>
    </row>
    <row r="5405">
      <c r="A5405" t="inlineStr">
        <is>
          <t>Instruments &amp; medical devices</t>
        </is>
      </c>
      <c r="B5405" t="inlineStr">
        <is>
          <t>90</t>
        </is>
      </c>
      <c r="C5405" t="inlineStr">
        <is>
          <t>90160020</t>
        </is>
      </c>
      <c r="D5405" t="inlineStr">
        <is>
          <t>OTHER BALANCES</t>
        </is>
      </c>
      <c r="E5405" s="3" t="n">
        <v>0.02</v>
      </c>
      <c r="F5405" s="3" t="n">
        <v>0.07000000000000001</v>
      </c>
      <c r="G5405" s="3">
        <f>F5405-E5405</f>
        <v/>
      </c>
      <c r="H5405" s="4">
        <f>IF(E5405=0,"",F5405/E5405-1)</f>
        <v/>
      </c>
      <c r="I5405" t="inlineStr"/>
    </row>
    <row r="5406">
      <c r="A5406" t="inlineStr">
        <is>
          <t>Instruments &amp; medical devices</t>
        </is>
      </c>
      <c r="B5406" t="inlineStr">
        <is>
          <t>90</t>
        </is>
      </c>
      <c r="C5406" t="inlineStr">
        <is>
          <t>90191090</t>
        </is>
      </c>
      <c r="D5406" t="inlineStr">
        <is>
          <t>OTHERS-OF-MCHNO-THRPY APLNCS;MASSAGE APPARATUSPSYCHOLOGICAL APTITUDE-TESTING APPARATUS</t>
        </is>
      </c>
      <c r="E5406" s="3" t="n">
        <v>0.48</v>
      </c>
      <c r="F5406" s="3" t="n">
        <v>0.07000000000000001</v>
      </c>
      <c r="G5406" s="3">
        <f>F5406-E5406</f>
        <v/>
      </c>
      <c r="H5406" s="4">
        <f>IF(E5406=0,"",F5406/E5406-1)</f>
        <v/>
      </c>
      <c r="I5406" t="inlineStr"/>
    </row>
    <row r="5407">
      <c r="A5407" t="inlineStr">
        <is>
          <t>Instruments &amp; medical devices</t>
        </is>
      </c>
      <c r="B5407" t="inlineStr">
        <is>
          <t>90</t>
        </is>
      </c>
      <c r="C5407" t="inlineStr">
        <is>
          <t>90258010</t>
        </is>
      </c>
      <c r="D5407" t="inlineStr">
        <is>
          <t>HYDROMETERS AND SIMILAR FLOATING INSTRUMENTS</t>
        </is>
      </c>
      <c r="E5407" s="3" t="n">
        <v>0.02</v>
      </c>
      <c r="F5407" s="3" t="n">
        <v>0.07000000000000001</v>
      </c>
      <c r="G5407" s="3">
        <f>F5407-E5407</f>
        <v/>
      </c>
      <c r="H5407" s="4">
        <f>IF(E5407=0,"",F5407/E5407-1)</f>
        <v/>
      </c>
      <c r="I5407" t="inlineStr"/>
    </row>
    <row r="5408">
      <c r="A5408" t="inlineStr">
        <is>
          <t>Instruments &amp; medical devices</t>
        </is>
      </c>
      <c r="B5408" t="inlineStr">
        <is>
          <t>90</t>
        </is>
      </c>
      <c r="C5408" t="inlineStr">
        <is>
          <t>90303340</t>
        </is>
      </c>
      <c r="D5408" t="inlineStr">
        <is>
          <t>FREQUENCY MEASURING APPARATUS</t>
        </is>
      </c>
      <c r="E5408" s="3" t="n">
        <v>0</v>
      </c>
      <c r="F5408" s="3" t="n">
        <v>0.07000000000000001</v>
      </c>
      <c r="G5408" s="3">
        <f>F5408-E5408</f>
        <v/>
      </c>
      <c r="H5408" s="4">
        <f>IF(E5408=0,"",F5408/E5408-1)</f>
        <v/>
      </c>
      <c r="I5408" t="inlineStr"/>
    </row>
    <row r="5409">
      <c r="A5409" t="inlineStr">
        <is>
          <t>Instruments &amp; medical devices</t>
        </is>
      </c>
      <c r="B5409" t="inlineStr">
        <is>
          <t>90</t>
        </is>
      </c>
      <c r="C5409" t="inlineStr">
        <is>
          <t>90189041</t>
        </is>
      </c>
      <c r="D5409" t="inlineStr">
        <is>
          <t>ANAESTHETIC EQUIPMENT</t>
        </is>
      </c>
      <c r="E5409" s="3" t="n">
        <v>0.07000000000000001</v>
      </c>
      <c r="F5409" s="3" t="n">
        <v>0.06</v>
      </c>
      <c r="G5409" s="3">
        <f>F5409-E5409</f>
        <v/>
      </c>
      <c r="H5409" s="4">
        <f>IF(E5409=0,"",F5409/E5409-1)</f>
        <v/>
      </c>
      <c r="I5409" t="inlineStr"/>
    </row>
    <row r="5410">
      <c r="A5410" t="inlineStr">
        <is>
          <t>Instruments &amp; medical devices</t>
        </is>
      </c>
      <c r="B5410" t="inlineStr">
        <is>
          <t>90</t>
        </is>
      </c>
      <c r="C5410" t="inlineStr">
        <is>
          <t>90251110</t>
        </is>
      </c>
      <c r="D5410" t="inlineStr">
        <is>
          <t>CLINICAL THERMOMETER</t>
        </is>
      </c>
      <c r="E5410" s="3" t="n">
        <v>0.02</v>
      </c>
      <c r="F5410" s="3" t="n">
        <v>0.06</v>
      </c>
      <c r="G5410" s="3">
        <f>F5410-E5410</f>
        <v/>
      </c>
      <c r="H5410" s="4">
        <f>IF(E5410=0,"",F5410/E5410-1)</f>
        <v/>
      </c>
      <c r="I5410" t="inlineStr"/>
    </row>
    <row r="5411">
      <c r="A5411" t="inlineStr">
        <is>
          <t>Instruments &amp; medical devices</t>
        </is>
      </c>
      <c r="B5411" t="inlineStr">
        <is>
          <t>90</t>
        </is>
      </c>
      <c r="C5411" t="inlineStr">
        <is>
          <t>90283090</t>
        </is>
      </c>
      <c r="D5411" t="inlineStr">
        <is>
          <t>OTHR ELECTRICITY METERS</t>
        </is>
      </c>
      <c r="E5411" s="3" t="n">
        <v>0.5</v>
      </c>
      <c r="F5411" s="3" t="n">
        <v>0.06</v>
      </c>
      <c r="G5411" s="3">
        <f>F5411-E5411</f>
        <v/>
      </c>
      <c r="H5411" s="4">
        <f>IF(E5411=0,"",F5411/E5411-1)</f>
        <v/>
      </c>
      <c r="I5411" t="inlineStr"/>
    </row>
    <row r="5412">
      <c r="A5412" t="inlineStr">
        <is>
          <t>Instruments &amp; medical devices</t>
        </is>
      </c>
      <c r="B5412" t="inlineStr">
        <is>
          <t>90</t>
        </is>
      </c>
      <c r="C5412" t="inlineStr">
        <is>
          <t>90049010</t>
        </is>
      </c>
      <c r="D5412" t="inlineStr">
        <is>
          <t>PASSIVE NIGHT VISSI0N G0GGLES</t>
        </is>
      </c>
      <c r="E5412" s="3" t="n">
        <v>0.01</v>
      </c>
      <c r="F5412" s="3" t="n">
        <v>0.05</v>
      </c>
      <c r="G5412" s="3">
        <f>F5412-E5412</f>
        <v/>
      </c>
      <c r="H5412" s="4">
        <f>IF(E5412=0,"",F5412/E5412-1)</f>
        <v/>
      </c>
      <c r="I5412" t="inlineStr"/>
    </row>
    <row r="5413">
      <c r="A5413" t="inlineStr">
        <is>
          <t>Instruments &amp; medical devices</t>
        </is>
      </c>
      <c r="B5413" t="inlineStr">
        <is>
          <t>90</t>
        </is>
      </c>
      <c r="C5413" t="inlineStr">
        <is>
          <t>90282000</t>
        </is>
      </c>
      <c r="D5413" t="inlineStr">
        <is>
          <t>LIQUID METERS</t>
        </is>
      </c>
      <c r="E5413" s="3" t="n">
        <v>0.09</v>
      </c>
      <c r="F5413" s="3" t="n">
        <v>0.05</v>
      </c>
      <c r="G5413" s="3">
        <f>F5413-E5413</f>
        <v/>
      </c>
      <c r="H5413" s="4">
        <f>IF(E5413=0,"",F5413/E5413-1)</f>
        <v/>
      </c>
      <c r="I5413" t="inlineStr"/>
    </row>
    <row r="5414">
      <c r="A5414" t="inlineStr">
        <is>
          <t>Instruments &amp; medical devices</t>
        </is>
      </c>
      <c r="B5414" t="inlineStr">
        <is>
          <t>90</t>
        </is>
      </c>
      <c r="C5414" t="inlineStr">
        <is>
          <t>90292090</t>
        </is>
      </c>
      <c r="D5414" t="inlineStr">
        <is>
          <t>OTHR SPEED INDCATORS AND TACHOMETERS</t>
        </is>
      </c>
      <c r="E5414" s="3" t="n">
        <v>0.02</v>
      </c>
      <c r="F5414" s="3" t="n">
        <v>0.05</v>
      </c>
      <c r="G5414" s="3">
        <f>F5414-E5414</f>
        <v/>
      </c>
      <c r="H5414" s="4">
        <f>IF(E5414=0,"",F5414/E5414-1)</f>
        <v/>
      </c>
      <c r="I5414" t="inlineStr"/>
    </row>
    <row r="5415">
      <c r="A5415" t="inlineStr">
        <is>
          <t>Instruments &amp; medical devices</t>
        </is>
      </c>
      <c r="B5415" t="inlineStr">
        <is>
          <t>90</t>
        </is>
      </c>
      <c r="C5415" t="inlineStr">
        <is>
          <t>90322010</t>
        </is>
      </c>
      <c r="D5415" t="inlineStr">
        <is>
          <t>MANOSTATS FR RFRGTNG AND AIR-CNDNG MACHNRY</t>
        </is>
      </c>
      <c r="E5415" s="3" t="n">
        <v>0.02</v>
      </c>
      <c r="F5415" s="3" t="n">
        <v>0.05</v>
      </c>
      <c r="G5415" s="3">
        <f>F5415-E5415</f>
        <v/>
      </c>
      <c r="H5415" s="4">
        <f>IF(E5415=0,"",F5415/E5415-1)</f>
        <v/>
      </c>
      <c r="I5415" t="inlineStr"/>
    </row>
    <row r="5416">
      <c r="A5416" t="inlineStr">
        <is>
          <t>Instruments &amp; medical devices</t>
        </is>
      </c>
      <c r="B5416" t="inlineStr">
        <is>
          <t>90</t>
        </is>
      </c>
      <c r="C5416" t="inlineStr">
        <is>
          <t>90021100</t>
        </is>
      </c>
      <c r="D5416" t="inlineStr">
        <is>
          <t>OBJECTIVE LENSES FOR CAMERAL,PROJECTORS OR PHOTOGRAPHIC ENLARGERS OR REDUCERS</t>
        </is>
      </c>
      <c r="E5416" s="3" t="n">
        <v>0</v>
      </c>
      <c r="F5416" s="3" t="n">
        <v>0.04</v>
      </c>
      <c r="G5416" s="3">
        <f>F5416-E5416</f>
        <v/>
      </c>
      <c r="H5416" s="4">
        <f>IF(E5416=0,"",F5416/E5416-1)</f>
        <v/>
      </c>
      <c r="I5416" t="inlineStr"/>
    </row>
    <row r="5417">
      <c r="A5417" t="inlineStr">
        <is>
          <t>Instruments &amp; medical devices</t>
        </is>
      </c>
      <c r="B5417" t="inlineStr">
        <is>
          <t>90</t>
        </is>
      </c>
      <c r="C5417" t="inlineStr">
        <is>
          <t>90119000</t>
        </is>
      </c>
      <c r="D5417" t="inlineStr">
        <is>
          <t>PARTS AND ACCESSORIES OF HDG 9011</t>
        </is>
      </c>
      <c r="E5417" s="3" t="n">
        <v>0.01</v>
      </c>
      <c r="F5417" s="3" t="n">
        <v>0.04</v>
      </c>
      <c r="G5417" s="3">
        <f>F5417-E5417</f>
        <v/>
      </c>
      <c r="H5417" s="4">
        <f>IF(E5417=0,"",F5417/E5417-1)</f>
        <v/>
      </c>
      <c r="I5417" t="inlineStr"/>
    </row>
    <row r="5418">
      <c r="A5418" t="inlineStr">
        <is>
          <t>Instruments &amp; medical devices</t>
        </is>
      </c>
      <c r="B5418" t="inlineStr">
        <is>
          <t>90</t>
        </is>
      </c>
      <c r="C5418" t="inlineStr">
        <is>
          <t>90189098</t>
        </is>
      </c>
      <c r="D5418" t="inlineStr">
        <is>
          <t>APPARATUS FOR NERVE STIMULATION</t>
        </is>
      </c>
      <c r="E5418" s="3" t="n">
        <v>0.01</v>
      </c>
      <c r="F5418" s="3" t="n">
        <v>0.04</v>
      </c>
      <c r="G5418" s="3">
        <f>F5418-E5418</f>
        <v/>
      </c>
      <c r="H5418" s="4">
        <f>IF(E5418=0,"",F5418/E5418-1)</f>
        <v/>
      </c>
      <c r="I5418" t="inlineStr"/>
    </row>
    <row r="5419">
      <c r="A5419" t="inlineStr">
        <is>
          <t>Instruments &amp; medical devices</t>
        </is>
      </c>
      <c r="B5419" t="inlineStr">
        <is>
          <t>90</t>
        </is>
      </c>
      <c r="C5419" t="inlineStr">
        <is>
          <t>90278930</t>
        </is>
      </c>
      <c r="D5419" t="inlineStr">
        <is>
          <t>INSTRUMENTS AND APPARATUS FOR MEASURING THE SURFCE OR INTERFACIAL TENSION OF LIQDS</t>
        </is>
      </c>
      <c r="E5419" s="3" t="n">
        <v>0.02</v>
      </c>
      <c r="F5419" s="3" t="n">
        <v>0.04</v>
      </c>
      <c r="G5419" s="3">
        <f>F5419-E5419</f>
        <v/>
      </c>
      <c r="H5419" s="4">
        <f>IF(E5419=0,"",F5419/E5419-1)</f>
        <v/>
      </c>
      <c r="I5419" t="inlineStr"/>
    </row>
    <row r="5420">
      <c r="A5420" t="inlineStr">
        <is>
          <t>Instruments &amp; medical devices</t>
        </is>
      </c>
      <c r="B5420" t="inlineStr">
        <is>
          <t>91</t>
        </is>
      </c>
      <c r="C5420" t="inlineStr">
        <is>
          <t>91069000</t>
        </is>
      </c>
      <c r="D5420" t="inlineStr">
        <is>
          <t>OTHER TIME RCORDING APPRTS</t>
        </is>
      </c>
      <c r="E5420" s="3" t="n">
        <v>0.01</v>
      </c>
      <c r="F5420" s="3" t="n">
        <v>0.04</v>
      </c>
      <c r="G5420" s="3">
        <f>F5420-E5420</f>
        <v/>
      </c>
      <c r="H5420" s="4">
        <f>IF(E5420=0,"",F5420/E5420-1)</f>
        <v/>
      </c>
      <c r="I5420" t="inlineStr"/>
    </row>
    <row r="5421">
      <c r="A5421" t="inlineStr">
        <is>
          <t>Instruments &amp; medical devices</t>
        </is>
      </c>
      <c r="B5421" t="inlineStr">
        <is>
          <t>90</t>
        </is>
      </c>
      <c r="C5421" t="inlineStr">
        <is>
          <t>90149000</t>
        </is>
      </c>
      <c r="D5421" t="inlineStr">
        <is>
          <t>PARTS AND ACCESSORIES OF COMPASSES; OTHER NAVIGATIONAL INSTRUMENTS</t>
        </is>
      </c>
      <c r="E5421" s="3" t="n">
        <v>0.09</v>
      </c>
      <c r="F5421" s="3" t="n">
        <v>0.03</v>
      </c>
      <c r="G5421" s="3">
        <f>F5421-E5421</f>
        <v/>
      </c>
      <c r="H5421" s="4">
        <f>IF(E5421=0,"",F5421/E5421-1)</f>
        <v/>
      </c>
      <c r="I5421" t="inlineStr"/>
    </row>
    <row r="5422">
      <c r="A5422" t="inlineStr">
        <is>
          <t>Instruments &amp; medical devices</t>
        </is>
      </c>
      <c r="B5422" t="inlineStr">
        <is>
          <t>90</t>
        </is>
      </c>
      <c r="C5422" t="inlineStr">
        <is>
          <t>90189012</t>
        </is>
      </c>
      <c r="D5422" t="inlineStr">
        <is>
          <t>STETHOSCOPES</t>
        </is>
      </c>
      <c r="E5422" s="3" t="n">
        <v>0</v>
      </c>
      <c r="F5422" s="3" t="n">
        <v>0.03</v>
      </c>
      <c r="G5422" s="3">
        <f>F5422-E5422</f>
        <v/>
      </c>
      <c r="H5422" s="4">
        <f>IF(E5422=0,"",F5422/E5422-1)</f>
        <v/>
      </c>
      <c r="I5422" t="inlineStr"/>
    </row>
    <row r="5423">
      <c r="A5423" t="inlineStr">
        <is>
          <t>Instruments &amp; medical devices</t>
        </is>
      </c>
      <c r="B5423" t="inlineStr">
        <is>
          <t>90</t>
        </is>
      </c>
      <c r="C5423" t="inlineStr">
        <is>
          <t>90189044</t>
        </is>
      </c>
      <c r="D5423" t="inlineStr">
        <is>
          <t>ENDOSCOPES</t>
        </is>
      </c>
      <c r="E5423" s="3" t="n">
        <v>0.04</v>
      </c>
      <c r="F5423" s="3" t="n">
        <v>0.03</v>
      </c>
      <c r="G5423" s="3">
        <f>F5423-E5423</f>
        <v/>
      </c>
      <c r="H5423" s="4">
        <f>IF(E5423=0,"",F5423/E5423-1)</f>
        <v/>
      </c>
      <c r="I5423" t="inlineStr"/>
    </row>
    <row r="5424">
      <c r="A5424" t="inlineStr">
        <is>
          <t>Instruments &amp; medical devices</t>
        </is>
      </c>
      <c r="B5424" t="inlineStr">
        <is>
          <t>90</t>
        </is>
      </c>
      <c r="C5424" t="inlineStr">
        <is>
          <t>90309010</t>
        </is>
      </c>
      <c r="D5424" t="inlineStr">
        <is>
          <t>PARTS AND ACCESSORIES OF METERS AND COUNTERS</t>
        </is>
      </c>
      <c r="E5424" s="3" t="n">
        <v>0</v>
      </c>
      <c r="F5424" s="3" t="n">
        <v>0.03</v>
      </c>
      <c r="G5424" s="3">
        <f>F5424-E5424</f>
        <v/>
      </c>
      <c r="H5424" s="4">
        <f>IF(E5424=0,"",F5424/E5424-1)</f>
        <v/>
      </c>
      <c r="I5424" t="inlineStr"/>
    </row>
    <row r="5425">
      <c r="A5425" t="inlineStr">
        <is>
          <t>Instruments &amp; medical devices</t>
        </is>
      </c>
      <c r="B5425" t="inlineStr">
        <is>
          <t>91</t>
        </is>
      </c>
      <c r="C5425" t="inlineStr">
        <is>
          <t>91059990</t>
        </is>
      </c>
      <c r="D5425" t="inlineStr">
        <is>
          <t>OTHERS-OF-OTHER CLOCKS NES</t>
        </is>
      </c>
      <c r="E5425" s="3" t="n">
        <v>0.02</v>
      </c>
      <c r="F5425" s="3" t="n">
        <v>0.03</v>
      </c>
      <c r="G5425" s="3">
        <f>F5425-E5425</f>
        <v/>
      </c>
      <c r="H5425" s="4">
        <f>IF(E5425=0,"",F5425/E5425-1)</f>
        <v/>
      </c>
      <c r="I5425" t="inlineStr"/>
    </row>
    <row r="5426">
      <c r="A5426" t="inlineStr">
        <is>
          <t>Instruments &amp; medical devices</t>
        </is>
      </c>
      <c r="B5426" t="inlineStr">
        <is>
          <t>90</t>
        </is>
      </c>
      <c r="C5426" t="inlineStr">
        <is>
          <t>90031100</t>
        </is>
      </c>
      <c r="D5426" t="inlineStr">
        <is>
          <t>FRAMES AND MOUNTINGS OF PLASTICS</t>
        </is>
      </c>
      <c r="E5426" s="3" t="n">
        <v>0</v>
      </c>
      <c r="F5426" s="3" t="n">
        <v>0.02</v>
      </c>
      <c r="G5426" s="3">
        <f>F5426-E5426</f>
        <v/>
      </c>
      <c r="H5426" s="4">
        <f>IF(E5426=0,"",F5426/E5426-1)</f>
        <v/>
      </c>
      <c r="I5426" t="inlineStr"/>
    </row>
    <row r="5427">
      <c r="A5427" t="inlineStr">
        <is>
          <t>Instruments &amp; medical devices</t>
        </is>
      </c>
      <c r="B5427" t="inlineStr">
        <is>
          <t>90</t>
        </is>
      </c>
      <c r="C5427" t="inlineStr">
        <is>
          <t>90031900</t>
        </is>
      </c>
      <c r="D5427" t="inlineStr">
        <is>
          <t>FRAMES AND MOUNTINGS OF OTHER MATERIALS</t>
        </is>
      </c>
      <c r="E5427" s="3" t="n">
        <v>0</v>
      </c>
      <c r="F5427" s="3" t="n">
        <v>0.02</v>
      </c>
      <c r="G5427" s="3">
        <f>F5427-E5427</f>
        <v/>
      </c>
      <c r="H5427" s="4">
        <f>IF(E5427=0,"",F5427/E5427-1)</f>
        <v/>
      </c>
      <c r="I5427" t="inlineStr"/>
    </row>
    <row r="5428">
      <c r="A5428" t="inlineStr">
        <is>
          <t>Instruments &amp; medical devices</t>
        </is>
      </c>
      <c r="B5428" t="inlineStr">
        <is>
          <t>90</t>
        </is>
      </c>
      <c r="C5428" t="inlineStr">
        <is>
          <t>90059090</t>
        </is>
      </c>
      <c r="D5428" t="inlineStr">
        <is>
          <t>OTHR PARTS AND ACCESSORIES HDNG 9005</t>
        </is>
      </c>
      <c r="E5428" s="3" t="n">
        <v>0.02</v>
      </c>
      <c r="F5428" s="3" t="n">
        <v>0.02</v>
      </c>
      <c r="G5428" s="3">
        <f>F5428-E5428</f>
        <v/>
      </c>
      <c r="H5428" s="4">
        <f>IF(E5428=0,"",F5428/E5428-1)</f>
        <v/>
      </c>
      <c r="I5428" t="inlineStr"/>
    </row>
    <row r="5429">
      <c r="A5429" t="inlineStr">
        <is>
          <t>Instruments &amp; medical devices</t>
        </is>
      </c>
      <c r="B5429" t="inlineStr">
        <is>
          <t>90</t>
        </is>
      </c>
      <c r="C5429" t="inlineStr">
        <is>
          <t>90160090</t>
        </is>
      </c>
      <c r="D5429" t="inlineStr">
        <is>
          <t>PARTS OF BALANCES (EXCLUDING WEIGHTS)</t>
        </is>
      </c>
      <c r="E5429" s="3" t="n">
        <v>0.02</v>
      </c>
      <c r="F5429" s="3" t="n">
        <v>0.02</v>
      </c>
      <c r="G5429" s="3">
        <f>F5429-E5429</f>
        <v/>
      </c>
      <c r="H5429" s="4">
        <f>IF(E5429=0,"",F5429/E5429-1)</f>
        <v/>
      </c>
      <c r="I5429" t="inlineStr"/>
    </row>
    <row r="5430">
      <c r="A5430" t="inlineStr">
        <is>
          <t>Instruments &amp; medical devices</t>
        </is>
      </c>
      <c r="B5430" t="inlineStr">
        <is>
          <t>90</t>
        </is>
      </c>
      <c r="C5430" t="inlineStr">
        <is>
          <t>90221300</t>
        </is>
      </c>
      <c r="D5430" t="inlineStr">
        <is>
          <t>OTHER APPARATUS FOR DENTAL USES</t>
        </is>
      </c>
      <c r="E5430" s="3" t="n">
        <v>0</v>
      </c>
      <c r="F5430" s="3" t="n">
        <v>0.02</v>
      </c>
      <c r="G5430" s="3">
        <f>F5430-E5430</f>
        <v/>
      </c>
      <c r="H5430" s="4">
        <f>IF(E5430=0,"",F5430/E5430-1)</f>
        <v/>
      </c>
      <c r="I5430" t="inlineStr"/>
    </row>
    <row r="5431">
      <c r="A5431" t="inlineStr">
        <is>
          <t>Instruments &amp; medical devices</t>
        </is>
      </c>
      <c r="B5431" t="inlineStr">
        <is>
          <t>90</t>
        </is>
      </c>
      <c r="C5431" t="inlineStr">
        <is>
          <t>90222100</t>
        </is>
      </c>
      <c r="D5431" t="inlineStr">
        <is>
          <t>APPRTS BSD ON USE OF ALPHA,BTA/GMA RADTNS OR MEDICAL, SURGICAL,DENTAL/VETERINARY USEINCL RADIOGRAPHY/RADIOTHERAPY APP</t>
        </is>
      </c>
      <c r="E5431" s="3" t="n">
        <v>0</v>
      </c>
      <c r="F5431" s="3" t="n">
        <v>0.02</v>
      </c>
      <c r="G5431" s="3">
        <f>F5431-E5431</f>
        <v/>
      </c>
      <c r="H5431" s="4">
        <f>IF(E5431=0,"",F5431/E5431-1)</f>
        <v/>
      </c>
      <c r="I5431" t="inlineStr"/>
    </row>
    <row r="5432">
      <c r="A5432" t="inlineStr">
        <is>
          <t>Instruments &amp; medical devices</t>
        </is>
      </c>
      <c r="B5432" t="inlineStr">
        <is>
          <t>90</t>
        </is>
      </c>
      <c r="C5432" t="inlineStr">
        <is>
          <t>90275010</t>
        </is>
      </c>
      <c r="D5432" t="inlineStr">
        <is>
          <t>PHOTOMETERS</t>
        </is>
      </c>
      <c r="E5432" s="3" t="n">
        <v>0.02</v>
      </c>
      <c r="F5432" s="3" t="n">
        <v>0.02</v>
      </c>
      <c r="G5432" s="3">
        <f>F5432-E5432</f>
        <v/>
      </c>
      <c r="H5432" s="4">
        <f>IF(E5432=0,"",F5432/E5432-1)</f>
        <v/>
      </c>
      <c r="I5432" t="inlineStr"/>
    </row>
    <row r="5433">
      <c r="A5433" t="inlineStr">
        <is>
          <t>Instruments &amp; medical devices</t>
        </is>
      </c>
      <c r="B5433" t="inlineStr">
        <is>
          <t>90</t>
        </is>
      </c>
      <c r="C5433" t="inlineStr">
        <is>
          <t>90279010</t>
        </is>
      </c>
      <c r="D5433" t="inlineStr">
        <is>
          <t>MICROTOMES</t>
        </is>
      </c>
      <c r="E5433" s="3" t="n">
        <v>0</v>
      </c>
      <c r="F5433" s="3" t="n">
        <v>0.02</v>
      </c>
      <c r="G5433" s="3">
        <f>F5433-E5433</f>
        <v/>
      </c>
      <c r="H5433" s="4">
        <f>IF(E5433=0,"",F5433/E5433-1)</f>
        <v/>
      </c>
      <c r="I5433" t="inlineStr"/>
    </row>
    <row r="5434">
      <c r="A5434" t="inlineStr">
        <is>
          <t>Instruments &amp; medical devices</t>
        </is>
      </c>
      <c r="B5434" t="inlineStr">
        <is>
          <t>90</t>
        </is>
      </c>
      <c r="C5434" t="inlineStr">
        <is>
          <t>90291090</t>
        </is>
      </c>
      <c r="D5434" t="inlineStr">
        <is>
          <t>OTHERS-OF-REVOLUTION COUNTERS,PRODUCTION COUNTERS,TAXIMETRS,MILEOMETTS,PEDOMETRS AND THE LIKE</t>
        </is>
      </c>
      <c r="E5434" s="3" t="n">
        <v>0.05</v>
      </c>
      <c r="F5434" s="3" t="n">
        <v>0.02</v>
      </c>
      <c r="G5434" s="3">
        <f>F5434-E5434</f>
        <v/>
      </c>
      <c r="H5434" s="4">
        <f>IF(E5434=0,"",F5434/E5434-1)</f>
        <v/>
      </c>
      <c r="I5434" t="inlineStr"/>
    </row>
    <row r="5435">
      <c r="A5435" t="inlineStr">
        <is>
          <t>Instruments &amp; medical devices</t>
        </is>
      </c>
      <c r="B5435" t="inlineStr">
        <is>
          <t>90</t>
        </is>
      </c>
      <c r="C5435" t="inlineStr">
        <is>
          <t>90292010</t>
        </is>
      </c>
      <c r="D5435" t="inlineStr">
        <is>
          <t>TACHOMETERS,NON-ELECTRICAL</t>
        </is>
      </c>
      <c r="E5435" s="3" t="n">
        <v>0.02</v>
      </c>
      <c r="F5435" s="3" t="n">
        <v>0.02</v>
      </c>
      <c r="G5435" s="3">
        <f>F5435-E5435</f>
        <v/>
      </c>
      <c r="H5435" s="4">
        <f>IF(E5435=0,"",F5435/E5435-1)</f>
        <v/>
      </c>
      <c r="I5435" t="inlineStr"/>
    </row>
    <row r="5436">
      <c r="A5436" t="inlineStr">
        <is>
          <t>Instruments &amp; medical devices</t>
        </is>
      </c>
      <c r="B5436" t="inlineStr">
        <is>
          <t>90</t>
        </is>
      </c>
      <c r="C5436" t="inlineStr">
        <is>
          <t>90303350</t>
        </is>
      </c>
      <c r="D5436" t="inlineStr">
        <is>
          <t>MAGAR METER</t>
        </is>
      </c>
      <c r="E5436" s="3" t="n">
        <v>0.01</v>
      </c>
      <c r="F5436" s="3" t="n">
        <v>0.02</v>
      </c>
      <c r="G5436" s="3">
        <f>F5436-E5436</f>
        <v/>
      </c>
      <c r="H5436" s="4">
        <f>IF(E5436=0,"",F5436/E5436-1)</f>
        <v/>
      </c>
      <c r="I5436" t="inlineStr"/>
    </row>
    <row r="5437">
      <c r="A5437" t="inlineStr">
        <is>
          <t>Instruments &amp; medical devices</t>
        </is>
      </c>
      <c r="B5437" t="inlineStr">
        <is>
          <t>90</t>
        </is>
      </c>
      <c r="C5437" t="inlineStr">
        <is>
          <t>90321010</t>
        </is>
      </c>
      <c r="D5437" t="inlineStr">
        <is>
          <t>THERMOSTATS FR RFRGTNG AND AIR-CNDNG MACHNRY</t>
        </is>
      </c>
      <c r="E5437" s="3" t="n">
        <v>0</v>
      </c>
      <c r="F5437" s="3" t="n">
        <v>0.02</v>
      </c>
      <c r="G5437" s="3">
        <f>F5437-E5437</f>
        <v/>
      </c>
      <c r="H5437" s="4">
        <f>IF(E5437=0,"",F5437/E5437-1)</f>
        <v/>
      </c>
      <c r="I5437" t="inlineStr"/>
    </row>
    <row r="5438">
      <c r="A5438" t="inlineStr">
        <is>
          <t>Instruments &amp; medical devices</t>
        </is>
      </c>
      <c r="B5438" t="inlineStr">
        <is>
          <t>90</t>
        </is>
      </c>
      <c r="C5438" t="inlineStr">
        <is>
          <t>90322090</t>
        </is>
      </c>
      <c r="D5438" t="inlineStr">
        <is>
          <t>MANOSTATS FR OTHR MACHNRY</t>
        </is>
      </c>
      <c r="E5438" s="3" t="n">
        <v>0.11</v>
      </c>
      <c r="F5438" s="3" t="n">
        <v>0.02</v>
      </c>
      <c r="G5438" s="3">
        <f>F5438-E5438</f>
        <v/>
      </c>
      <c r="H5438" s="4">
        <f>IF(E5438=0,"",F5438/E5438-1)</f>
        <v/>
      </c>
      <c r="I5438" t="inlineStr"/>
    </row>
    <row r="5439">
      <c r="A5439" t="inlineStr">
        <is>
          <t>Instruments &amp; medical devices</t>
        </is>
      </c>
      <c r="B5439" t="inlineStr">
        <is>
          <t>90</t>
        </is>
      </c>
      <c r="C5439" t="inlineStr">
        <is>
          <t>90019090</t>
        </is>
      </c>
      <c r="D5439" t="inlineStr">
        <is>
          <t>OTHERS-OF-PRISMS,MIRRORS AND OTHR OPTCL ELMNTS,UNMNTD</t>
        </is>
      </c>
      <c r="E5439" s="3" t="n">
        <v>0.02</v>
      </c>
      <c r="F5439" s="3" t="n">
        <v>0.01</v>
      </c>
      <c r="G5439" s="3">
        <f>F5439-E5439</f>
        <v/>
      </c>
      <c r="H5439" s="4">
        <f>IF(E5439=0,"",F5439/E5439-1)</f>
        <v/>
      </c>
      <c r="I5439" t="inlineStr"/>
    </row>
    <row r="5440">
      <c r="A5440" t="inlineStr">
        <is>
          <t>Instruments &amp; medical devices</t>
        </is>
      </c>
      <c r="B5440" t="inlineStr">
        <is>
          <t>90</t>
        </is>
      </c>
      <c r="C5440" t="inlineStr">
        <is>
          <t>90022000</t>
        </is>
      </c>
      <c r="D5440" t="inlineStr">
        <is>
          <t>OPTICAL FILTERS</t>
        </is>
      </c>
      <c r="E5440" s="3" t="n">
        <v>0</v>
      </c>
      <c r="F5440" s="3" t="n">
        <v>0.01</v>
      </c>
      <c r="G5440" s="3">
        <f>F5440-E5440</f>
        <v/>
      </c>
      <c r="H5440" s="4">
        <f>IF(E5440=0,"",F5440/E5440-1)</f>
        <v/>
      </c>
      <c r="I5440" t="inlineStr"/>
    </row>
    <row r="5441">
      <c r="A5441" t="inlineStr">
        <is>
          <t>Instruments &amp; medical devices</t>
        </is>
      </c>
      <c r="B5441" t="inlineStr">
        <is>
          <t>90</t>
        </is>
      </c>
      <c r="C5441" t="inlineStr">
        <is>
          <t>90058090</t>
        </is>
      </c>
      <c r="D5441" t="inlineStr">
        <is>
          <t>OTHERS-OF-OTHER INSTRUMENTS :</t>
        </is>
      </c>
      <c r="E5441" s="3" t="n">
        <v>0</v>
      </c>
      <c r="F5441" s="3" t="n">
        <v>0.01</v>
      </c>
      <c r="G5441" s="3">
        <f>F5441-E5441</f>
        <v/>
      </c>
      <c r="H5441" s="4">
        <f>IF(E5441=0,"",F5441/E5441-1)</f>
        <v/>
      </c>
      <c r="I5441" t="inlineStr"/>
    </row>
    <row r="5442">
      <c r="A5442" t="inlineStr">
        <is>
          <t>Instruments &amp; medical devices</t>
        </is>
      </c>
      <c r="B5442" t="inlineStr">
        <is>
          <t>90</t>
        </is>
      </c>
      <c r="C5442" t="inlineStr">
        <is>
          <t>90069900</t>
        </is>
      </c>
      <c r="D5442" t="inlineStr">
        <is>
          <t>OTHER PARTS AND ACCESSORIES OF HDG 9006</t>
        </is>
      </c>
      <c r="E5442" s="3" t="n">
        <v>0</v>
      </c>
      <c r="F5442" s="3" t="n">
        <v>0.01</v>
      </c>
      <c r="G5442" s="3">
        <f>F5442-E5442</f>
        <v/>
      </c>
      <c r="H5442" s="4">
        <f>IF(E5442=0,"",F5442/E5442-1)</f>
        <v/>
      </c>
      <c r="I5442" t="inlineStr"/>
    </row>
    <row r="5443">
      <c r="A5443" t="inlineStr">
        <is>
          <t>Instruments &amp; medical devices</t>
        </is>
      </c>
      <c r="B5443" t="inlineStr">
        <is>
          <t>90</t>
        </is>
      </c>
      <c r="C5443" t="inlineStr">
        <is>
          <t>90079100</t>
        </is>
      </c>
      <c r="D5443" t="inlineStr">
        <is>
          <t>PRTS AND ACCESSORS FR CINAMATOGRPHC CAMERAS</t>
        </is>
      </c>
      <c r="E5443" s="3" t="n">
        <v>0</v>
      </c>
      <c r="F5443" s="3" t="n">
        <v>0.01</v>
      </c>
      <c r="G5443" s="3">
        <f>F5443-E5443</f>
        <v/>
      </c>
      <c r="H5443" s="4">
        <f>IF(E5443=0,"",F5443/E5443-1)</f>
        <v/>
      </c>
      <c r="I5443" t="inlineStr"/>
    </row>
    <row r="5444">
      <c r="A5444" t="inlineStr">
        <is>
          <t>Instruments &amp; medical devices</t>
        </is>
      </c>
      <c r="B5444" t="inlineStr">
        <is>
          <t>90</t>
        </is>
      </c>
      <c r="C5444" t="inlineStr">
        <is>
          <t>90141000</t>
        </is>
      </c>
      <c r="D5444" t="inlineStr">
        <is>
          <t>DRECTION FINDING COMPASSES</t>
        </is>
      </c>
      <c r="E5444" s="3" t="n">
        <v>0.02</v>
      </c>
      <c r="F5444" s="3" t="n">
        <v>0.01</v>
      </c>
      <c r="G5444" s="3">
        <f>F5444-E5444</f>
        <v/>
      </c>
      <c r="H5444" s="4">
        <f>IF(E5444=0,"",F5444/E5444-1)</f>
        <v/>
      </c>
      <c r="I5444" t="inlineStr"/>
    </row>
    <row r="5445">
      <c r="A5445" t="inlineStr">
        <is>
          <t>Instruments &amp; medical devices</t>
        </is>
      </c>
      <c r="B5445" t="inlineStr">
        <is>
          <t>90</t>
        </is>
      </c>
      <c r="C5445" t="inlineStr">
        <is>
          <t>90159000</t>
        </is>
      </c>
      <c r="D5445" t="inlineStr">
        <is>
          <t>PARTS AND ACCESSORES OF SURVEYING,PHTOGRMCL,HYDROGRPHIC INSTRUMNTS ETC EXCL CMPASSES</t>
        </is>
      </c>
      <c r="E5445" s="3" t="n">
        <v>0.3</v>
      </c>
      <c r="F5445" s="3" t="n">
        <v>0.01</v>
      </c>
      <c r="G5445" s="3">
        <f>F5445-E5445</f>
        <v/>
      </c>
      <c r="H5445" s="4">
        <f>IF(E5445=0,"",F5445/E5445-1)</f>
        <v/>
      </c>
      <c r="I5445" t="inlineStr"/>
    </row>
    <row r="5446">
      <c r="A5446" t="inlineStr">
        <is>
          <t>Instruments &amp; medical devices</t>
        </is>
      </c>
      <c r="B5446" t="inlineStr">
        <is>
          <t>90</t>
        </is>
      </c>
      <c r="C5446" t="inlineStr">
        <is>
          <t>90183210</t>
        </is>
      </c>
      <c r="D5446" t="inlineStr">
        <is>
          <t>SUTURE NEEDLES</t>
        </is>
      </c>
      <c r="E5446" s="3" t="n">
        <v>0</v>
      </c>
      <c r="F5446" s="3" t="n">
        <v>0.01</v>
      </c>
      <c r="G5446" s="3">
        <f>F5446-E5446</f>
        <v/>
      </c>
      <c r="H5446" s="4">
        <f>IF(E5446=0,"",F5446/E5446-1)</f>
        <v/>
      </c>
      <c r="I5446" t="inlineStr"/>
    </row>
    <row r="5447">
      <c r="A5447" t="inlineStr">
        <is>
          <t>Instruments &amp; medical devices</t>
        </is>
      </c>
      <c r="B5447" t="inlineStr">
        <is>
          <t>90</t>
        </is>
      </c>
      <c r="C5447" t="inlineStr">
        <is>
          <t>90189021</t>
        </is>
      </c>
      <c r="D5447" t="inlineStr">
        <is>
          <t>SURGICAL BONE SAWS,DRILS,TREPHINES AND BURNS</t>
        </is>
      </c>
      <c r="E5447" s="3" t="n">
        <v>0.02</v>
      </c>
      <c r="F5447" s="3" t="n">
        <v>0.01</v>
      </c>
      <c r="G5447" s="3">
        <f>F5447-E5447</f>
        <v/>
      </c>
      <c r="H5447" s="4">
        <f>IF(E5447=0,"",F5447/E5447-1)</f>
        <v/>
      </c>
      <c r="I5447" t="inlineStr"/>
    </row>
    <row r="5448">
      <c r="A5448" t="inlineStr">
        <is>
          <t>Instruments &amp; medical devices</t>
        </is>
      </c>
      <c r="B5448" t="inlineStr">
        <is>
          <t>90</t>
        </is>
      </c>
      <c r="C5448" t="inlineStr">
        <is>
          <t>90189025</t>
        </is>
      </c>
      <c r="D5448" t="inlineStr">
        <is>
          <t>SURGICAL RETRACTORS,SPATULA PROBES,HOOKS DIALATORS,SOUNDS,MALLET</t>
        </is>
      </c>
      <c r="E5448" s="3" t="n">
        <v>0.01</v>
      </c>
      <c r="F5448" s="3" t="n">
        <v>0.01</v>
      </c>
      <c r="G5448" s="3">
        <f>F5448-E5448</f>
        <v/>
      </c>
      <c r="H5448" s="4">
        <f>IF(E5448=0,"",F5448/E5448-1)</f>
        <v/>
      </c>
      <c r="I5448" t="inlineStr"/>
    </row>
    <row r="5449">
      <c r="A5449" t="inlineStr">
        <is>
          <t>Instruments &amp; medical devices</t>
        </is>
      </c>
      <c r="B5449" t="inlineStr">
        <is>
          <t>90</t>
        </is>
      </c>
      <c r="C5449" t="inlineStr">
        <is>
          <t>90189042</t>
        </is>
      </c>
      <c r="D5449" t="inlineStr">
        <is>
          <t>ENT PRECISION INSTRUMENTS</t>
        </is>
      </c>
      <c r="E5449" s="3" t="n">
        <v>0.02</v>
      </c>
      <c r="F5449" s="3" t="n">
        <v>0.01</v>
      </c>
      <c r="G5449" s="3">
        <f>F5449-E5449</f>
        <v/>
      </c>
      <c r="H5449" s="4">
        <f>IF(E5449=0,"",F5449/E5449-1)</f>
        <v/>
      </c>
      <c r="I5449" t="inlineStr"/>
    </row>
    <row r="5450">
      <c r="A5450" t="inlineStr">
        <is>
          <t>Instruments &amp; medical devices</t>
        </is>
      </c>
      <c r="B5450" t="inlineStr">
        <is>
          <t>90</t>
        </is>
      </c>
      <c r="C5450" t="inlineStr">
        <is>
          <t>90189093</t>
        </is>
      </c>
      <c r="D5450" t="inlineStr">
        <is>
          <t>HEART-LUNG MACHINE</t>
        </is>
      </c>
      <c r="E5450" s="3" t="n">
        <v>0.01</v>
      </c>
      <c r="F5450" s="3" t="n">
        <v>0.01</v>
      </c>
      <c r="G5450" s="3">
        <f>F5450-E5450</f>
        <v/>
      </c>
      <c r="H5450" s="4">
        <f>IF(E5450=0,"",F5450/E5450-1)</f>
        <v/>
      </c>
      <c r="I5450" t="inlineStr"/>
    </row>
    <row r="5451">
      <c r="A5451" t="inlineStr">
        <is>
          <t>Instruments &amp; medical devices</t>
        </is>
      </c>
      <c r="B5451" t="inlineStr">
        <is>
          <t>90</t>
        </is>
      </c>
      <c r="C5451" t="inlineStr">
        <is>
          <t>90251910</t>
        </is>
      </c>
      <c r="D5451" t="inlineStr">
        <is>
          <t>DIGITAL THERMOMETERS</t>
        </is>
      </c>
      <c r="E5451" s="3" t="n">
        <v>0.09</v>
      </c>
      <c r="F5451" s="3" t="n">
        <v>0.01</v>
      </c>
      <c r="G5451" s="3">
        <f>F5451-E5451</f>
        <v/>
      </c>
      <c r="H5451" s="4">
        <f>IF(E5451=0,"",F5451/E5451-1)</f>
        <v/>
      </c>
      <c r="I5451" t="inlineStr"/>
    </row>
    <row r="5452">
      <c r="A5452" t="inlineStr">
        <is>
          <t>Instruments &amp; medical devices</t>
        </is>
      </c>
      <c r="B5452" t="inlineStr">
        <is>
          <t>90</t>
        </is>
      </c>
      <c r="C5452" t="inlineStr">
        <is>
          <t>90268010</t>
        </is>
      </c>
      <c r="D5452" t="inlineStr">
        <is>
          <t>HEAT METERS</t>
        </is>
      </c>
      <c r="E5452" s="3" t="n">
        <v>0.16</v>
      </c>
      <c r="F5452" s="3" t="n">
        <v>0.01</v>
      </c>
      <c r="G5452" s="3">
        <f>F5452-E5452</f>
        <v/>
      </c>
      <c r="H5452" s="4">
        <f>IF(E5452=0,"",F5452/E5452-1)</f>
        <v/>
      </c>
      <c r="I5452" t="inlineStr"/>
    </row>
    <row r="5453">
      <c r="A5453" t="inlineStr">
        <is>
          <t>Instruments &amp; medical devices</t>
        </is>
      </c>
      <c r="B5453" t="inlineStr">
        <is>
          <t>90</t>
        </is>
      </c>
      <c r="C5453" t="inlineStr">
        <is>
          <t>90278910</t>
        </is>
      </c>
      <c r="D5453" t="inlineStr">
        <is>
          <t>VISCOMETERS</t>
        </is>
      </c>
      <c r="E5453" s="3" t="n">
        <v>0</v>
      </c>
      <c r="F5453" s="3" t="n">
        <v>0.01</v>
      </c>
      <c r="G5453" s="3">
        <f>F5453-E5453</f>
        <v/>
      </c>
      <c r="H5453" s="4">
        <f>IF(E5453=0,"",F5453/E5453-1)</f>
        <v/>
      </c>
      <c r="I5453" t="inlineStr"/>
    </row>
    <row r="5454">
      <c r="A5454" t="inlineStr">
        <is>
          <t>Instruments &amp; medical devices</t>
        </is>
      </c>
      <c r="B5454" t="inlineStr">
        <is>
          <t>90</t>
        </is>
      </c>
      <c r="C5454" t="inlineStr">
        <is>
          <t>90278920</t>
        </is>
      </c>
      <c r="D5454" t="inlineStr">
        <is>
          <t>CALORIMETERS</t>
        </is>
      </c>
      <c r="E5454" s="3" t="n">
        <v>0</v>
      </c>
      <c r="F5454" s="3" t="n">
        <v>0.01</v>
      </c>
      <c r="G5454" s="3">
        <f>F5454-E5454</f>
        <v/>
      </c>
      <c r="H5454" s="4">
        <f>IF(E5454=0,"",F5454/E5454-1)</f>
        <v/>
      </c>
      <c r="I5454" t="inlineStr"/>
    </row>
    <row r="5455">
      <c r="A5455" t="inlineStr">
        <is>
          <t>Instruments &amp; medical devices</t>
        </is>
      </c>
      <c r="B5455" t="inlineStr">
        <is>
          <t>90</t>
        </is>
      </c>
      <c r="C5455" t="inlineStr">
        <is>
          <t>90289090</t>
        </is>
      </c>
      <c r="D5455" t="inlineStr">
        <is>
          <t>OTHR PARTS AND ACCESSORIES</t>
        </is>
      </c>
      <c r="E5455" s="3" t="n">
        <v>0.02</v>
      </c>
      <c r="F5455" s="3" t="n">
        <v>0.01</v>
      </c>
      <c r="G5455" s="3">
        <f>F5455-E5455</f>
        <v/>
      </c>
      <c r="H5455" s="4">
        <f>IF(E5455=0,"",F5455/E5455-1)</f>
        <v/>
      </c>
      <c r="I5455" t="inlineStr"/>
    </row>
    <row r="5456">
      <c r="A5456" t="inlineStr">
        <is>
          <t>Instruments &amp; medical devices</t>
        </is>
      </c>
      <c r="B5456" t="inlineStr">
        <is>
          <t>90</t>
        </is>
      </c>
      <c r="C5456" t="inlineStr">
        <is>
          <t>90292020</t>
        </is>
      </c>
      <c r="D5456" t="inlineStr">
        <is>
          <t>SPEEDOMETERS,NON-ELECTRICAL(EXCL AIR/SEA)</t>
        </is>
      </c>
      <c r="E5456" s="3" t="n">
        <v>0</v>
      </c>
      <c r="F5456" s="3" t="n">
        <v>0.01</v>
      </c>
      <c r="G5456" s="3">
        <f>F5456-E5456</f>
        <v/>
      </c>
      <c r="H5456" s="4">
        <f>IF(E5456=0,"",F5456/E5456-1)</f>
        <v/>
      </c>
      <c r="I5456" t="inlineStr"/>
    </row>
    <row r="5457">
      <c r="A5457" t="inlineStr">
        <is>
          <t>Instruments &amp; medical devices</t>
        </is>
      </c>
      <c r="B5457" t="inlineStr">
        <is>
          <t>90</t>
        </is>
      </c>
      <c r="C5457" t="inlineStr">
        <is>
          <t>90301000</t>
        </is>
      </c>
      <c r="D5457" t="inlineStr">
        <is>
          <t>INSTRUMENT AND APPARATUS FOR MEASURING OR DETECTING IONISING RADIATION</t>
        </is>
      </c>
      <c r="E5457" s="3" t="n">
        <v>0.06</v>
      </c>
      <c r="F5457" s="3" t="n">
        <v>0.01</v>
      </c>
      <c r="G5457" s="3">
        <f>F5457-E5457</f>
        <v/>
      </c>
      <c r="H5457" s="4">
        <f>IF(E5457=0,"",F5457/E5457-1)</f>
        <v/>
      </c>
      <c r="I5457" t="inlineStr"/>
    </row>
    <row r="5458">
      <c r="A5458" t="inlineStr">
        <is>
          <t>Instruments &amp; medical devices</t>
        </is>
      </c>
      <c r="B5458" t="inlineStr">
        <is>
          <t>92</t>
        </is>
      </c>
      <c r="C5458" t="inlineStr">
        <is>
          <t>92059090</t>
        </is>
      </c>
      <c r="D5458" t="inlineStr">
        <is>
          <t>ALL OTHER WIND MUSICAL INSTRUMENTS</t>
        </is>
      </c>
      <c r="E5458" s="3" t="n">
        <v>0</v>
      </c>
      <c r="F5458" s="3" t="n">
        <v>0.01</v>
      </c>
      <c r="G5458" s="3">
        <f>F5458-E5458</f>
        <v/>
      </c>
      <c r="H5458" s="4">
        <f>IF(E5458=0,"",F5458/E5458-1)</f>
        <v/>
      </c>
      <c r="I5458" t="inlineStr"/>
    </row>
    <row r="5459">
      <c r="A5459" t="inlineStr">
        <is>
          <t>Instruments &amp; medical devices</t>
        </is>
      </c>
      <c r="B5459" t="inlineStr">
        <is>
          <t>90</t>
        </is>
      </c>
      <c r="C5459" t="inlineStr">
        <is>
          <t>90013000</t>
        </is>
      </c>
      <c r="D5459" t="inlineStr">
        <is>
          <t>CONTACT LENSES OF ANY MATERIAL,UNMOUNTED</t>
        </is>
      </c>
      <c r="E5459" s="3" t="n">
        <v>0.03</v>
      </c>
      <c r="F5459" s="3" t="n">
        <v>0</v>
      </c>
      <c r="G5459" s="3">
        <f>F5459-E5459</f>
        <v/>
      </c>
      <c r="H5459" s="4">
        <f>IF(E5459=0,"",F5459/E5459-1)</f>
        <v/>
      </c>
      <c r="I5459" t="inlineStr"/>
    </row>
    <row r="5460">
      <c r="A5460" t="inlineStr">
        <is>
          <t>Instruments &amp; medical devices</t>
        </is>
      </c>
      <c r="B5460" t="inlineStr">
        <is>
          <t>90</t>
        </is>
      </c>
      <c r="C5460" t="inlineStr">
        <is>
          <t>90014090</t>
        </is>
      </c>
      <c r="D5460" t="inlineStr">
        <is>
          <t>OTHERS-OF-SPECTACLE LENSES OF GLASS</t>
        </is>
      </c>
      <c r="E5460" s="3" t="n">
        <v>0</v>
      </c>
      <c r="F5460" s="3" t="n">
        <v>0</v>
      </c>
      <c r="G5460" s="3">
        <f>F5460-E5460</f>
        <v/>
      </c>
      <c r="H5460" s="4">
        <f>IF(E5460=0,"",F5460/E5460-1)</f>
        <v/>
      </c>
      <c r="I5460" t="inlineStr"/>
    </row>
    <row r="5461">
      <c r="A5461" t="inlineStr">
        <is>
          <t>Instruments &amp; medical devices</t>
        </is>
      </c>
      <c r="B5461" t="inlineStr">
        <is>
          <t>90</t>
        </is>
      </c>
      <c r="C5461" t="inlineStr">
        <is>
          <t>90015000</t>
        </is>
      </c>
      <c r="D5461" t="inlineStr">
        <is>
          <t>SPECTACLE LENSES OF OTHR MATERIALS</t>
        </is>
      </c>
      <c r="E5461" s="3" t="n">
        <v>184.07</v>
      </c>
      <c r="F5461" s="3" t="n">
        <v>0</v>
      </c>
      <c r="G5461" s="3">
        <f>F5461-E5461</f>
        <v/>
      </c>
      <c r="H5461" s="4">
        <f>IF(E5461=0,"",F5461/E5461-1)</f>
        <v/>
      </c>
      <c r="I5461" t="inlineStr"/>
    </row>
    <row r="5462">
      <c r="A5462" t="inlineStr">
        <is>
          <t>Instruments &amp; medical devices</t>
        </is>
      </c>
      <c r="B5462" t="inlineStr">
        <is>
          <t>90</t>
        </is>
      </c>
      <c r="C5462" t="inlineStr">
        <is>
          <t>90021900</t>
        </is>
      </c>
      <c r="D5462" t="inlineStr">
        <is>
          <t>OTHER OBJECTIVE LENSES</t>
        </is>
      </c>
      <c r="E5462" s="3" t="n">
        <v>134.95</v>
      </c>
      <c r="F5462" s="3" t="n">
        <v>0</v>
      </c>
      <c r="G5462" s="3">
        <f>F5462-E5462</f>
        <v/>
      </c>
      <c r="H5462" s="4">
        <f>IF(E5462=0,"",F5462/E5462-1)</f>
        <v/>
      </c>
      <c r="I5462" t="inlineStr"/>
    </row>
    <row r="5463">
      <c r="A5463" t="inlineStr">
        <is>
          <t>Instruments &amp; medical devices</t>
        </is>
      </c>
      <c r="B5463" t="inlineStr">
        <is>
          <t>90</t>
        </is>
      </c>
      <c r="C5463" t="inlineStr">
        <is>
          <t>90029000</t>
        </is>
      </c>
      <c r="D5463" t="inlineStr">
        <is>
          <t>OTHER OPTICAL ELEMENTS</t>
        </is>
      </c>
      <c r="E5463" s="3" t="n">
        <v>0.01</v>
      </c>
      <c r="F5463" s="3" t="n">
        <v>0</v>
      </c>
      <c r="G5463" s="3">
        <f>F5463-E5463</f>
        <v/>
      </c>
      <c r="H5463" s="4">
        <f>IF(E5463=0,"",F5463/E5463-1)</f>
        <v/>
      </c>
      <c r="I5463" t="inlineStr"/>
    </row>
    <row r="5464">
      <c r="A5464" t="inlineStr">
        <is>
          <t>Instruments &amp; medical devices</t>
        </is>
      </c>
      <c r="B5464" t="inlineStr">
        <is>
          <t>90</t>
        </is>
      </c>
      <c r="C5464" t="inlineStr">
        <is>
          <t>90039000</t>
        </is>
      </c>
      <c r="D5464" t="inlineStr">
        <is>
          <t>PARTS OF SPECTACLES,GOGGLES ETC</t>
        </is>
      </c>
      <c r="E5464" s="3" t="n">
        <v>0</v>
      </c>
      <c r="F5464" s="3" t="n">
        <v>0</v>
      </c>
      <c r="G5464" s="3">
        <f>F5464-E5464</f>
        <v/>
      </c>
      <c r="H5464" s="4">
        <f>IF(E5464=0,"",F5464/E5464-1)</f>
        <v/>
      </c>
      <c r="I5464" t="inlineStr"/>
    </row>
    <row r="5465">
      <c r="A5465" t="inlineStr">
        <is>
          <t>Instruments &amp; medical devices</t>
        </is>
      </c>
      <c r="B5465" t="inlineStr">
        <is>
          <t>90</t>
        </is>
      </c>
      <c r="C5465" t="inlineStr">
        <is>
          <t>90049020</t>
        </is>
      </c>
      <c r="D5465" t="inlineStr">
        <is>
          <t>PRISMATIC EYEGLASSES FOR READING</t>
        </is>
      </c>
      <c r="E5465" s="3" t="n">
        <v>0</v>
      </c>
      <c r="F5465" s="3" t="n">
        <v>0</v>
      </c>
      <c r="G5465" s="3">
        <f>F5465-E5465</f>
        <v/>
      </c>
      <c r="H5465" s="4">
        <f>IF(E5465=0,"",F5465/E5465-1)</f>
        <v/>
      </c>
      <c r="I5465" t="inlineStr"/>
    </row>
    <row r="5466">
      <c r="A5466" t="inlineStr">
        <is>
          <t>Instruments &amp; medical devices</t>
        </is>
      </c>
      <c r="B5466" t="inlineStr">
        <is>
          <t>90</t>
        </is>
      </c>
      <c r="C5466" t="inlineStr">
        <is>
          <t>90089000</t>
        </is>
      </c>
      <c r="D5466" t="inlineStr">
        <is>
          <t>PRTANDACCSSRS OF IMAGE PRJCTRS,ENLARGERS ETC</t>
        </is>
      </c>
      <c r="E5466" s="3" t="n">
        <v>0.01</v>
      </c>
      <c r="F5466" s="3" t="n">
        <v>0</v>
      </c>
      <c r="G5466" s="3">
        <f>F5466-E5466</f>
        <v/>
      </c>
      <c r="H5466" s="4">
        <f>IF(E5466=0,"",F5466/E5466-1)</f>
        <v/>
      </c>
      <c r="I5466" t="inlineStr"/>
    </row>
    <row r="5467">
      <c r="A5467" t="inlineStr">
        <is>
          <t>Instruments &amp; medical devices</t>
        </is>
      </c>
      <c r="B5467" t="inlineStr">
        <is>
          <t>90</t>
        </is>
      </c>
      <c r="C5467" t="inlineStr">
        <is>
          <t>90106000</t>
        </is>
      </c>
      <c r="D5467" t="inlineStr">
        <is>
          <t>PROJECTION SCREENS</t>
        </is>
      </c>
      <c r="E5467" s="3" t="n">
        <v>0.03</v>
      </c>
      <c r="F5467" s="3" t="n">
        <v>0</v>
      </c>
      <c r="G5467" s="3">
        <f>F5467-E5467</f>
        <v/>
      </c>
      <c r="H5467" s="4">
        <f>IF(E5467=0,"",F5467/E5467-1)</f>
        <v/>
      </c>
      <c r="I5467" t="inlineStr"/>
    </row>
    <row r="5468">
      <c r="A5468" t="inlineStr">
        <is>
          <t>Instruments &amp; medical devices</t>
        </is>
      </c>
      <c r="B5468" t="inlineStr">
        <is>
          <t>90</t>
        </is>
      </c>
      <c r="C5468" t="inlineStr">
        <is>
          <t>90111000</t>
        </is>
      </c>
      <c r="D5468" t="inlineStr">
        <is>
          <t>STEREOSCOPIC MICROSCOPES</t>
        </is>
      </c>
      <c r="E5468" s="3" t="n">
        <v>0.01</v>
      </c>
      <c r="F5468" s="3" t="n">
        <v>0</v>
      </c>
      <c r="G5468" s="3">
        <f>F5468-E5468</f>
        <v/>
      </c>
      <c r="H5468" s="4">
        <f>IF(E5468=0,"",F5468/E5468-1)</f>
        <v/>
      </c>
      <c r="I5468" t="inlineStr"/>
    </row>
    <row r="5469">
      <c r="A5469" t="inlineStr">
        <is>
          <t>Instruments &amp; medical devices</t>
        </is>
      </c>
      <c r="B5469" t="inlineStr">
        <is>
          <t>90</t>
        </is>
      </c>
      <c r="C5469" t="inlineStr">
        <is>
          <t>90121090</t>
        </is>
      </c>
      <c r="D5469" t="inlineStr">
        <is>
          <t>OTHERS-OF-MICROSCOPES OTHER THAN OPTICAL MICROSCOPESAND DIFFRACTION APPARATUS</t>
        </is>
      </c>
      <c r="E5469" s="3" t="n">
        <v>0.25</v>
      </c>
      <c r="F5469" s="3" t="n">
        <v>0</v>
      </c>
      <c r="G5469" s="3">
        <f>F5469-E5469</f>
        <v/>
      </c>
      <c r="H5469" s="4">
        <f>IF(E5469=0,"",F5469/E5469-1)</f>
        <v/>
      </c>
      <c r="I5469" t="inlineStr"/>
    </row>
    <row r="5470">
      <c r="A5470" t="inlineStr">
        <is>
          <t>Instruments &amp; medical devices</t>
        </is>
      </c>
      <c r="B5470" t="inlineStr">
        <is>
          <t>90</t>
        </is>
      </c>
      <c r="C5470" t="inlineStr">
        <is>
          <t>90138000</t>
        </is>
      </c>
      <c r="D5470" t="inlineStr">
        <is>
          <t>OTHER DEVICES,APPLIANCES ANDINSTUMENT</t>
        </is>
      </c>
      <c r="E5470" s="3" t="n">
        <v>0.01</v>
      </c>
      <c r="F5470" s="3" t="n">
        <v>0</v>
      </c>
      <c r="G5470" s="3">
        <f>F5470-E5470</f>
        <v/>
      </c>
      <c r="H5470" s="4">
        <f>IF(E5470=0,"",F5470/E5470-1)</f>
        <v/>
      </c>
      <c r="I5470" t="inlineStr"/>
    </row>
    <row r="5471">
      <c r="A5471" t="inlineStr">
        <is>
          <t>Instruments &amp; medical devices</t>
        </is>
      </c>
      <c r="B5471" t="inlineStr">
        <is>
          <t>90</t>
        </is>
      </c>
      <c r="C5471" t="inlineStr">
        <is>
          <t>90139000</t>
        </is>
      </c>
      <c r="D5471" t="inlineStr">
        <is>
          <t>PARTS AND ACCESSORIES</t>
        </is>
      </c>
      <c r="E5471" s="3" t="n">
        <v>0</v>
      </c>
      <c r="F5471" s="3" t="n">
        <v>0</v>
      </c>
      <c r="G5471" s="3">
        <f>F5471-E5471</f>
        <v/>
      </c>
      <c r="H5471" s="4">
        <f>IF(E5471=0,"",F5471/E5471-1)</f>
        <v/>
      </c>
      <c r="I5471" t="inlineStr"/>
    </row>
    <row r="5472">
      <c r="A5472" t="inlineStr">
        <is>
          <t>Instruments &amp; medical devices</t>
        </is>
      </c>
      <c r="B5472" t="inlineStr">
        <is>
          <t>90</t>
        </is>
      </c>
      <c r="C5472" t="inlineStr">
        <is>
          <t>90151000</t>
        </is>
      </c>
      <c r="D5472" t="inlineStr">
        <is>
          <t>RANGEFINDERS</t>
        </is>
      </c>
      <c r="E5472" s="3" t="n">
        <v>0</v>
      </c>
      <c r="F5472" s="3" t="n">
        <v>0</v>
      </c>
      <c r="G5472" s="3">
        <f>F5472-E5472</f>
        <v/>
      </c>
      <c r="H5472" s="4">
        <f>IF(E5472=0,"",F5472/E5472-1)</f>
        <v/>
      </c>
      <c r="I5472" t="inlineStr"/>
    </row>
    <row r="5473">
      <c r="A5473" t="inlineStr">
        <is>
          <t>Instruments &amp; medical devices</t>
        </is>
      </c>
      <c r="B5473" t="inlineStr">
        <is>
          <t>90</t>
        </is>
      </c>
      <c r="C5473" t="inlineStr">
        <is>
          <t>90152000</t>
        </is>
      </c>
      <c r="D5473" t="inlineStr">
        <is>
          <t>THEODOLITES AND TACHEOMETERS</t>
        </is>
      </c>
      <c r="E5473" s="3" t="n">
        <v>0.1</v>
      </c>
      <c r="F5473" s="3" t="n">
        <v>0</v>
      </c>
      <c r="G5473" s="3">
        <f>F5473-E5473</f>
        <v/>
      </c>
      <c r="H5473" s="4">
        <f>IF(E5473=0,"",F5473/E5473-1)</f>
        <v/>
      </c>
      <c r="I5473" t="inlineStr"/>
    </row>
    <row r="5474">
      <c r="A5474" t="inlineStr">
        <is>
          <t>Instruments &amp; medical devices</t>
        </is>
      </c>
      <c r="B5474" t="inlineStr">
        <is>
          <t>90</t>
        </is>
      </c>
      <c r="C5474" t="inlineStr">
        <is>
          <t>90154000</t>
        </is>
      </c>
      <c r="D5474" t="inlineStr">
        <is>
          <t>PHOTOGRMTRCL SURVYING INSTRMNTS AND APPLNCS</t>
        </is>
      </c>
      <c r="E5474" s="3" t="n">
        <v>0</v>
      </c>
      <c r="F5474" s="3" t="n">
        <v>0</v>
      </c>
      <c r="G5474" s="3">
        <f>F5474-E5474</f>
        <v/>
      </c>
      <c r="H5474" s="4">
        <f>IF(E5474=0,"",F5474/E5474-1)</f>
        <v/>
      </c>
      <c r="I5474" t="inlineStr"/>
    </row>
    <row r="5475">
      <c r="A5475" t="inlineStr">
        <is>
          <t>Instruments &amp; medical devices</t>
        </is>
      </c>
      <c r="B5475" t="inlineStr">
        <is>
          <t>90</t>
        </is>
      </c>
      <c r="C5475" t="inlineStr">
        <is>
          <t>90171000</t>
        </is>
      </c>
      <c r="D5475" t="inlineStr">
        <is>
          <t>DRFTNG TBLS AND MCHNS,W/N AUTOMATIC</t>
        </is>
      </c>
      <c r="E5475" s="3" t="n">
        <v>0</v>
      </c>
      <c r="F5475" s="3" t="n">
        <v>0</v>
      </c>
      <c r="G5475" s="3">
        <f>F5475-E5475</f>
        <v/>
      </c>
      <c r="H5475" s="4">
        <f>IF(E5475=0,"",F5475/E5475-1)</f>
        <v/>
      </c>
      <c r="I5475" t="inlineStr"/>
    </row>
    <row r="5476">
      <c r="A5476" t="inlineStr">
        <is>
          <t>Instruments &amp; medical devices</t>
        </is>
      </c>
      <c r="B5476" t="inlineStr">
        <is>
          <t>90</t>
        </is>
      </c>
      <c r="C5476" t="inlineStr">
        <is>
          <t>90179000</t>
        </is>
      </c>
      <c r="D5476" t="inlineStr">
        <is>
          <t>PARTS AND ACCESSORIES OF ARTCLS OF HDG 9017</t>
        </is>
      </c>
      <c r="E5476" s="3" t="n">
        <v>0</v>
      </c>
      <c r="F5476" s="3" t="n">
        <v>0</v>
      </c>
      <c r="G5476" s="3">
        <f>F5476-E5476</f>
        <v/>
      </c>
      <c r="H5476" s="4">
        <f>IF(E5476=0,"",F5476/E5476-1)</f>
        <v/>
      </c>
      <c r="I5476" t="inlineStr"/>
    </row>
    <row r="5477">
      <c r="A5477" t="inlineStr">
        <is>
          <t>Instruments &amp; medical devices</t>
        </is>
      </c>
      <c r="B5477" t="inlineStr">
        <is>
          <t>90</t>
        </is>
      </c>
      <c r="C5477" t="inlineStr">
        <is>
          <t>90181300</t>
        </is>
      </c>
      <c r="D5477" t="inlineStr">
        <is>
          <t>MAGNETIC RESONANCE IMAGING APPARATUS</t>
        </is>
      </c>
      <c r="E5477" s="3" t="n">
        <v>0.02</v>
      </c>
      <c r="F5477" s="3" t="n">
        <v>0</v>
      </c>
      <c r="G5477" s="3">
        <f>F5477-E5477</f>
        <v/>
      </c>
      <c r="H5477" s="4">
        <f>IF(E5477=0,"",F5477/E5477-1)</f>
        <v/>
      </c>
      <c r="I5477" t="inlineStr"/>
    </row>
    <row r="5478">
      <c r="A5478" t="inlineStr">
        <is>
          <t>Instruments &amp; medical devices</t>
        </is>
      </c>
      <c r="B5478" t="inlineStr">
        <is>
          <t>90</t>
        </is>
      </c>
      <c r="C5478" t="inlineStr">
        <is>
          <t>90182000</t>
        </is>
      </c>
      <c r="D5478" t="inlineStr">
        <is>
          <t>ULTRA-VIOLET/INFRA-RED RAY APPARATUS</t>
        </is>
      </c>
      <c r="E5478" s="3" t="n">
        <v>0</v>
      </c>
      <c r="F5478" s="3" t="n">
        <v>0</v>
      </c>
      <c r="G5478" s="3">
        <f>F5478-E5478</f>
        <v/>
      </c>
      <c r="H5478" s="4">
        <f>IF(E5478=0,"",F5478/E5478-1)</f>
        <v/>
      </c>
      <c r="I5478" t="inlineStr"/>
    </row>
    <row r="5479">
      <c r="A5479" t="inlineStr">
        <is>
          <t>Instruments &amp; medical devices</t>
        </is>
      </c>
      <c r="B5479" t="inlineStr">
        <is>
          <t>90</t>
        </is>
      </c>
      <c r="C5479" t="inlineStr">
        <is>
          <t>90184100</t>
        </is>
      </c>
      <c r="D5479" t="inlineStr">
        <is>
          <t>DENTAL DRILL ENGINES,W/N COMBINED ON A SINGLE BASE WITH OTHER DENTAL EQUIPMENT</t>
        </is>
      </c>
      <c r="E5479" s="3" t="n">
        <v>0</v>
      </c>
      <c r="F5479" s="3" t="n">
        <v>0</v>
      </c>
      <c r="G5479" s="3">
        <f>F5479-E5479</f>
        <v/>
      </c>
      <c r="H5479" s="4">
        <f>IF(E5479=0,"",F5479/E5479-1)</f>
        <v/>
      </c>
      <c r="I5479" t="inlineStr"/>
    </row>
    <row r="5480">
      <c r="A5480" t="inlineStr">
        <is>
          <t>Instruments &amp; medical devices</t>
        </is>
      </c>
      <c r="B5480" t="inlineStr">
        <is>
          <t>90</t>
        </is>
      </c>
      <c r="C5480" t="inlineStr">
        <is>
          <t>90185010</t>
        </is>
      </c>
      <c r="D5480" t="inlineStr">
        <is>
          <t>OPTHALMOSCOPE</t>
        </is>
      </c>
      <c r="E5480" s="3" t="n">
        <v>0.01</v>
      </c>
      <c r="F5480" s="3" t="n">
        <v>0</v>
      </c>
      <c r="G5480" s="3">
        <f>F5480-E5480</f>
        <v/>
      </c>
      <c r="H5480" s="4">
        <f>IF(E5480=0,"",F5480/E5480-1)</f>
        <v/>
      </c>
      <c r="I5480" t="inlineStr"/>
    </row>
    <row r="5481">
      <c r="A5481" t="inlineStr">
        <is>
          <t>Instruments &amp; medical devices</t>
        </is>
      </c>
      <c r="B5481" t="inlineStr">
        <is>
          <t>90</t>
        </is>
      </c>
      <c r="C5481" t="inlineStr">
        <is>
          <t>90189024</t>
        </is>
      </c>
      <c r="D5481" t="inlineStr">
        <is>
          <t>SURGICL,CHISEL,GAUGES,ELEVATRS,RASPATORS, OSTEOTOME,CRANIOTOME,BONE CUTTERS,ETC</t>
        </is>
      </c>
      <c r="E5481" s="3" t="n">
        <v>0</v>
      </c>
      <c r="F5481" s="3" t="n">
        <v>0</v>
      </c>
      <c r="G5481" s="3">
        <f>F5481-E5481</f>
        <v/>
      </c>
      <c r="H5481" s="4">
        <f>IF(E5481=0,"",F5481/E5481-1)</f>
        <v/>
      </c>
      <c r="I5481" t="inlineStr"/>
    </row>
    <row r="5482">
      <c r="A5482" t="inlineStr">
        <is>
          <t>Instruments &amp; medical devices</t>
        </is>
      </c>
      <c r="B5482" t="inlineStr">
        <is>
          <t>90</t>
        </is>
      </c>
      <c r="C5482" t="inlineStr">
        <is>
          <t>90189091</t>
        </is>
      </c>
      <c r="D5482" t="inlineStr">
        <is>
          <t>HILERIAL AND VENOUS SHUNT</t>
        </is>
      </c>
      <c r="E5482" s="3" t="n">
        <v>0</v>
      </c>
      <c r="F5482" s="3" t="n">
        <v>0</v>
      </c>
      <c r="G5482" s="3">
        <f>F5482-E5482</f>
        <v/>
      </c>
      <c r="H5482" s="4">
        <f>IF(E5482=0,"",F5482/E5482-1)</f>
        <v/>
      </c>
      <c r="I5482" t="inlineStr"/>
    </row>
    <row r="5483">
      <c r="A5483" t="inlineStr">
        <is>
          <t>Instruments &amp; medical devices</t>
        </is>
      </c>
      <c r="B5483" t="inlineStr">
        <is>
          <t>90</t>
        </is>
      </c>
      <c r="C5483" t="inlineStr">
        <is>
          <t>90189092</t>
        </is>
      </c>
      <c r="D5483" t="inlineStr">
        <is>
          <t>BABY INCUBAT0R</t>
        </is>
      </c>
      <c r="E5483" s="3" t="n">
        <v>0.02</v>
      </c>
      <c r="F5483" s="3" t="n">
        <v>0</v>
      </c>
      <c r="G5483" s="3">
        <f>F5483-E5483</f>
        <v/>
      </c>
      <c r="H5483" s="4">
        <f>IF(E5483=0,"",F5483/E5483-1)</f>
        <v/>
      </c>
      <c r="I5483" t="inlineStr"/>
    </row>
    <row r="5484">
      <c r="A5484" t="inlineStr">
        <is>
          <t>Instruments &amp; medical devices</t>
        </is>
      </c>
      <c r="B5484" t="inlineStr">
        <is>
          <t>90</t>
        </is>
      </c>
      <c r="C5484" t="inlineStr">
        <is>
          <t>90189097</t>
        </is>
      </c>
      <c r="D5484" t="inlineStr">
        <is>
          <t>NEPHROSTOMY/LIPHOTRIPSY INSTRUMENTS</t>
        </is>
      </c>
      <c r="E5484" s="3" t="n">
        <v>0.01</v>
      </c>
      <c r="F5484" s="3" t="n">
        <v>0</v>
      </c>
      <c r="G5484" s="3">
        <f>F5484-E5484</f>
        <v/>
      </c>
      <c r="H5484" s="4">
        <f>IF(E5484=0,"",F5484/E5484-1)</f>
        <v/>
      </c>
      <c r="I5484" t="inlineStr"/>
    </row>
    <row r="5485">
      <c r="A5485" t="inlineStr">
        <is>
          <t>Instruments &amp; medical devices</t>
        </is>
      </c>
      <c r="B5485" t="inlineStr">
        <is>
          <t>90</t>
        </is>
      </c>
      <c r="C5485" t="inlineStr">
        <is>
          <t>90191020</t>
        </is>
      </c>
      <c r="D5485" t="inlineStr">
        <is>
          <t>MASSAGE APPARATUS</t>
        </is>
      </c>
      <c r="E5485" s="3" t="n">
        <v>0.02</v>
      </c>
      <c r="F5485" s="3" t="n">
        <v>0</v>
      </c>
      <c r="G5485" s="3">
        <f>F5485-E5485</f>
        <v/>
      </c>
      <c r="H5485" s="4">
        <f>IF(E5485=0,"",F5485/E5485-1)</f>
        <v/>
      </c>
      <c r="I5485" t="inlineStr"/>
    </row>
    <row r="5486">
      <c r="A5486" t="inlineStr">
        <is>
          <t>Instruments &amp; medical devices</t>
        </is>
      </c>
      <c r="B5486" t="inlineStr">
        <is>
          <t>90</t>
        </is>
      </c>
      <c r="C5486" t="inlineStr">
        <is>
          <t>90219010</t>
        </is>
      </c>
      <c r="D5486" t="inlineStr">
        <is>
          <t>PARTS AND ACCESSORIES OF HEARING AIDS</t>
        </is>
      </c>
      <c r="E5486" s="3" t="n">
        <v>0</v>
      </c>
      <c r="F5486" s="3" t="n">
        <v>0</v>
      </c>
      <c r="G5486" s="3">
        <f>F5486-E5486</f>
        <v/>
      </c>
      <c r="H5486" s="4">
        <f>IF(E5486=0,"",F5486/E5486-1)</f>
        <v/>
      </c>
      <c r="I5486" t="inlineStr"/>
    </row>
    <row r="5487">
      <c r="A5487" t="inlineStr">
        <is>
          <t>Instruments &amp; medical devices</t>
        </is>
      </c>
      <c r="B5487" t="inlineStr">
        <is>
          <t>90</t>
        </is>
      </c>
      <c r="C5487" t="inlineStr">
        <is>
          <t>90222900</t>
        </is>
      </c>
      <c r="D5487" t="inlineStr">
        <is>
          <t>APPRTS BSD ON USE OF ALPHA,BTA/GMA RADTNS FR OTHR USESINCL RDOGRPHYANDRDOTHRPY APPRTS</t>
        </is>
      </c>
      <c r="E5487" s="3" t="n">
        <v>0</v>
      </c>
      <c r="F5487" s="3" t="n">
        <v>0</v>
      </c>
      <c r="G5487" s="3">
        <f>F5487-E5487</f>
        <v/>
      </c>
      <c r="H5487" s="4">
        <f>IF(E5487=0,"",F5487/E5487-1)</f>
        <v/>
      </c>
      <c r="I5487" t="inlineStr"/>
    </row>
    <row r="5488">
      <c r="A5488" t="inlineStr">
        <is>
          <t>Instruments &amp; medical devices</t>
        </is>
      </c>
      <c r="B5488" t="inlineStr">
        <is>
          <t>90</t>
        </is>
      </c>
      <c r="C5488" t="inlineStr">
        <is>
          <t>90223000</t>
        </is>
      </c>
      <c r="D5488" t="inlineStr">
        <is>
          <t>X-RAY TUBES</t>
        </is>
      </c>
      <c r="E5488" s="3" t="n">
        <v>0.02</v>
      </c>
      <c r="F5488" s="3" t="n">
        <v>0</v>
      </c>
      <c r="G5488" s="3">
        <f>F5488-E5488</f>
        <v/>
      </c>
      <c r="H5488" s="4">
        <f>IF(E5488=0,"",F5488/E5488-1)</f>
        <v/>
      </c>
      <c r="I5488" t="inlineStr"/>
    </row>
    <row r="5489">
      <c r="A5489" t="inlineStr">
        <is>
          <t>Instruments &amp; medical devices</t>
        </is>
      </c>
      <c r="B5489" t="inlineStr">
        <is>
          <t>90</t>
        </is>
      </c>
      <c r="C5489" t="inlineStr">
        <is>
          <t>90229040</t>
        </is>
      </c>
      <c r="D5489" t="inlineStr">
        <is>
          <t>X-RAY EXAMN OR TRTMNT TABLE, CHAIR OR LIKE</t>
        </is>
      </c>
      <c r="E5489" s="3" t="n">
        <v>0.01</v>
      </c>
      <c r="F5489" s="3" t="n">
        <v>0</v>
      </c>
      <c r="G5489" s="3">
        <f>F5489-E5489</f>
        <v/>
      </c>
      <c r="H5489" s="4">
        <f>IF(E5489=0,"",F5489/E5489-1)</f>
        <v/>
      </c>
      <c r="I5489" t="inlineStr"/>
    </row>
    <row r="5490">
      <c r="A5490" t="inlineStr">
        <is>
          <t>Instruments &amp; medical devices</t>
        </is>
      </c>
      <c r="B5490" t="inlineStr">
        <is>
          <t>90</t>
        </is>
      </c>
      <c r="C5490" t="inlineStr">
        <is>
          <t>90258020</t>
        </is>
      </c>
      <c r="D5490" t="inlineStr">
        <is>
          <t>BAROMETERS, NOT COMBINED WITH OTHER</t>
        </is>
      </c>
      <c r="E5490" s="3" t="n">
        <v>0</v>
      </c>
      <c r="F5490" s="3" t="n">
        <v>0</v>
      </c>
      <c r="G5490" s="3">
        <f>F5490-E5490</f>
        <v/>
      </c>
      <c r="H5490" s="4">
        <f>IF(E5490=0,"",F5490/E5490-1)</f>
        <v/>
      </c>
      <c r="I5490" t="inlineStr"/>
    </row>
    <row r="5491">
      <c r="A5491" t="inlineStr">
        <is>
          <t>Instruments &amp; medical devices</t>
        </is>
      </c>
      <c r="B5491" t="inlineStr">
        <is>
          <t>90</t>
        </is>
      </c>
      <c r="C5491" t="inlineStr">
        <is>
          <t>90278100</t>
        </is>
      </c>
      <c r="D5491" t="inlineStr">
        <is>
          <t>MASS SPECTROMETERS</t>
        </is>
      </c>
      <c r="E5491" s="3" t="n">
        <v>0</v>
      </c>
      <c r="F5491" s="3" t="n">
        <v>0</v>
      </c>
      <c r="G5491" s="3">
        <f>F5491-E5491</f>
        <v/>
      </c>
      <c r="H5491" s="4">
        <f>IF(E5491=0,"",F5491/E5491-1)</f>
        <v/>
      </c>
      <c r="I5491" t="inlineStr"/>
    </row>
    <row r="5492">
      <c r="A5492" t="inlineStr">
        <is>
          <t>Instruments &amp; medical devices</t>
        </is>
      </c>
      <c r="B5492" t="inlineStr">
        <is>
          <t>90</t>
        </is>
      </c>
      <c r="C5492" t="inlineStr">
        <is>
          <t>90291010</t>
        </is>
      </c>
      <c r="D5492" t="inlineStr">
        <is>
          <t>TAXIMETERS</t>
        </is>
      </c>
      <c r="E5492" s="3" t="n">
        <v>0</v>
      </c>
      <c r="F5492" s="3" t="n">
        <v>0</v>
      </c>
      <c r="G5492" s="3">
        <f>F5492-E5492</f>
        <v/>
      </c>
      <c r="H5492" s="4">
        <f>IF(E5492=0,"",F5492/E5492-1)</f>
        <v/>
      </c>
      <c r="I5492" t="inlineStr"/>
    </row>
    <row r="5493">
      <c r="A5493" t="inlineStr">
        <is>
          <t>Instruments &amp; medical devices</t>
        </is>
      </c>
      <c r="B5493" t="inlineStr">
        <is>
          <t>90</t>
        </is>
      </c>
      <c r="C5493" t="inlineStr">
        <is>
          <t>90292030</t>
        </is>
      </c>
      <c r="D5493" t="inlineStr">
        <is>
          <t>STROBOSCOPES</t>
        </is>
      </c>
      <c r="E5493" s="3" t="n">
        <v>0.01</v>
      </c>
      <c r="F5493" s="3" t="n">
        <v>0</v>
      </c>
      <c r="G5493" s="3">
        <f>F5493-E5493</f>
        <v/>
      </c>
      <c r="H5493" s="4">
        <f>IF(E5493=0,"",F5493/E5493-1)</f>
        <v/>
      </c>
      <c r="I5493" t="inlineStr"/>
    </row>
    <row r="5494">
      <c r="A5494" t="inlineStr">
        <is>
          <t>Instruments &amp; medical devices</t>
        </is>
      </c>
      <c r="B5494" t="inlineStr">
        <is>
          <t>90</t>
        </is>
      </c>
      <c r="C5494" t="inlineStr">
        <is>
          <t>90299000</t>
        </is>
      </c>
      <c r="D5494" t="inlineStr">
        <is>
          <t>PRTS AND ACCESSORIES OF ARTCLS OF HDG 9029</t>
        </is>
      </c>
      <c r="E5494" s="3" t="n">
        <v>0.03</v>
      </c>
      <c r="F5494" s="3" t="n">
        <v>0</v>
      </c>
      <c r="G5494" s="3">
        <f>F5494-E5494</f>
        <v/>
      </c>
      <c r="H5494" s="4">
        <f>IF(E5494=0,"",F5494/E5494-1)</f>
        <v/>
      </c>
      <c r="I5494" t="inlineStr"/>
    </row>
    <row r="5495">
      <c r="A5495" t="inlineStr">
        <is>
          <t>Instruments &amp; medical devices</t>
        </is>
      </c>
      <c r="B5495" t="inlineStr">
        <is>
          <t>90</t>
        </is>
      </c>
      <c r="C5495" t="inlineStr">
        <is>
          <t>90302000</t>
        </is>
      </c>
      <c r="D5495" t="inlineStr">
        <is>
          <t>CTHOD-RAY OSCLSCPS AND CTHOD-RAY OSCLOGRPHS</t>
        </is>
      </c>
      <c r="E5495" s="3" t="n">
        <v>0</v>
      </c>
      <c r="F5495" s="3" t="n">
        <v>0</v>
      </c>
      <c r="G5495" s="3">
        <f>F5495-E5495</f>
        <v/>
      </c>
      <c r="H5495" s="4">
        <f>IF(E5495=0,"",F5495/E5495-1)</f>
        <v/>
      </c>
      <c r="I5495" t="inlineStr"/>
    </row>
    <row r="5496">
      <c r="A5496" t="inlineStr">
        <is>
          <t>Instruments &amp; medical devices</t>
        </is>
      </c>
      <c r="B5496" t="inlineStr">
        <is>
          <t>90</t>
        </is>
      </c>
      <c r="C5496" t="inlineStr">
        <is>
          <t>90304000</t>
        </is>
      </c>
      <c r="D5496" t="inlineStr">
        <is>
          <t>OTHR INSTRMNTS AND APRTS,SPCLY DSGND FR TELECOMMUNICATIONS(FR EXMPL,CRSS-TLK MTRS,GAIN MSRNG INSTRMNTS,DSTRTN FCTR M</t>
        </is>
      </c>
      <c r="E5496" s="3" t="n">
        <v>0.12</v>
      </c>
      <c r="F5496" s="3" t="n">
        <v>0</v>
      </c>
      <c r="G5496" s="3">
        <f>F5496-E5496</f>
        <v/>
      </c>
      <c r="H5496" s="4">
        <f>IF(E5496=0,"",F5496/E5496-1)</f>
        <v/>
      </c>
      <c r="I5496" t="inlineStr"/>
    </row>
    <row r="5497">
      <c r="A5497" t="inlineStr">
        <is>
          <t>Instruments &amp; medical devices</t>
        </is>
      </c>
      <c r="B5497" t="inlineStr">
        <is>
          <t>90</t>
        </is>
      </c>
      <c r="C5497" t="inlineStr">
        <is>
          <t>90308400</t>
        </is>
      </c>
      <c r="D5497" t="inlineStr">
        <is>
          <t>OTHER, WITH A RECORDING DEVICE</t>
        </is>
      </c>
      <c r="E5497" s="3" t="n">
        <v>0.09</v>
      </c>
      <c r="F5497" s="3" t="n">
        <v>0</v>
      </c>
      <c r="G5497" s="3">
        <f>F5497-E5497</f>
        <v/>
      </c>
      <c r="H5497" s="4">
        <f>IF(E5497=0,"",F5497/E5497-1)</f>
        <v/>
      </c>
      <c r="I5497" t="inlineStr"/>
    </row>
    <row r="5498">
      <c r="A5498" t="inlineStr">
        <is>
          <t>Instruments &amp; medical devices</t>
        </is>
      </c>
      <c r="B5498" t="inlineStr">
        <is>
          <t>91</t>
        </is>
      </c>
      <c r="C5498" t="inlineStr">
        <is>
          <t>91019120</t>
        </is>
      </c>
      <c r="D5498" t="inlineStr">
        <is>
          <t>STOP WATCHES</t>
        </is>
      </c>
      <c r="E5498" s="3" t="n">
        <v>0</v>
      </c>
      <c r="F5498" s="3" t="n">
        <v>0</v>
      </c>
      <c r="G5498" s="3">
        <f>F5498-E5498</f>
        <v/>
      </c>
      <c r="H5498" s="4">
        <f>IF(E5498=0,"",F5498/E5498-1)</f>
        <v/>
      </c>
      <c r="I5498" t="inlineStr"/>
    </row>
    <row r="5499">
      <c r="A5499" t="inlineStr">
        <is>
          <t>Instruments &amp; medical devices</t>
        </is>
      </c>
      <c r="B5499" t="inlineStr">
        <is>
          <t>91</t>
        </is>
      </c>
      <c r="C5499" t="inlineStr">
        <is>
          <t>91019990</t>
        </is>
      </c>
      <c r="D5499" t="inlineStr">
        <is>
          <t>OTHER WATCHES</t>
        </is>
      </c>
      <c r="E5499" s="3" t="n">
        <v>0</v>
      </c>
      <c r="F5499" s="3" t="n">
        <v>0</v>
      </c>
      <c r="G5499" s="3">
        <f>F5499-E5499</f>
        <v/>
      </c>
      <c r="H5499" s="4">
        <f>IF(E5499=0,"",F5499/E5499-1)</f>
        <v/>
      </c>
      <c r="I5499" t="inlineStr"/>
    </row>
    <row r="5500">
      <c r="A5500" t="inlineStr">
        <is>
          <t>Instruments &amp; medical devices</t>
        </is>
      </c>
      <c r="B5500" t="inlineStr">
        <is>
          <t>91</t>
        </is>
      </c>
      <c r="C5500" t="inlineStr">
        <is>
          <t>91021900</t>
        </is>
      </c>
      <c r="D5500" t="inlineStr">
        <is>
          <t>OTHR WRIST-WATCHES,ELECTRLY OPERATED,W/N INCORPORATING A STOP-WATCH FACLITY</t>
        </is>
      </c>
      <c r="E5500" s="3" t="n">
        <v>0.25</v>
      </c>
      <c r="F5500" s="3" t="n">
        <v>0</v>
      </c>
      <c r="G5500" s="3">
        <f>F5500-E5500</f>
        <v/>
      </c>
      <c r="H5500" s="4">
        <f>IF(E5500=0,"",F5500/E5500-1)</f>
        <v/>
      </c>
      <c r="I5500" t="inlineStr"/>
    </row>
    <row r="5501">
      <c r="A5501" t="inlineStr">
        <is>
          <t>Instruments &amp; medical devices</t>
        </is>
      </c>
      <c r="B5501" t="inlineStr">
        <is>
          <t>91</t>
        </is>
      </c>
      <c r="C5501" t="inlineStr">
        <is>
          <t>91022900</t>
        </is>
      </c>
      <c r="D5501" t="inlineStr">
        <is>
          <t>OTHER WRIST-WATCHES,WHETHER/NOT INCORPORATING A STOP-WATCH FACILITY</t>
        </is>
      </c>
      <c r="E5501" s="3" t="n">
        <v>0</v>
      </c>
      <c r="F5501" s="3" t="n">
        <v>0</v>
      </c>
      <c r="G5501" s="3">
        <f>F5501-E5501</f>
        <v/>
      </c>
      <c r="H5501" s="4">
        <f>IF(E5501=0,"",F5501/E5501-1)</f>
        <v/>
      </c>
      <c r="I5501" t="inlineStr"/>
    </row>
    <row r="5502">
      <c r="A5502" t="inlineStr">
        <is>
          <t>Instruments &amp; medical devices</t>
        </is>
      </c>
      <c r="B5502" t="inlineStr">
        <is>
          <t>91</t>
        </is>
      </c>
      <c r="C5502" t="inlineStr">
        <is>
          <t>91029120</t>
        </is>
      </c>
      <c r="D5502" t="inlineStr">
        <is>
          <t>STOP WATCHES</t>
        </is>
      </c>
      <c r="E5502" s="3" t="n">
        <v>0</v>
      </c>
      <c r="F5502" s="3" t="n">
        <v>0</v>
      </c>
      <c r="G5502" s="3">
        <f>F5502-E5502</f>
        <v/>
      </c>
      <c r="H5502" s="4">
        <f>IF(E5502=0,"",F5502/E5502-1)</f>
        <v/>
      </c>
      <c r="I5502" t="inlineStr"/>
    </row>
    <row r="5503">
      <c r="A5503" t="inlineStr">
        <is>
          <t>Instruments &amp; medical devices</t>
        </is>
      </c>
      <c r="B5503" t="inlineStr">
        <is>
          <t>91</t>
        </is>
      </c>
      <c r="C5503" t="inlineStr">
        <is>
          <t>91029920</t>
        </is>
      </c>
      <c r="D5503" t="inlineStr">
        <is>
          <t>STOP WATCHES</t>
        </is>
      </c>
      <c r="E5503" s="3" t="n">
        <v>0</v>
      </c>
      <c r="F5503" s="3" t="n">
        <v>0</v>
      </c>
      <c r="G5503" s="3">
        <f>F5503-E5503</f>
        <v/>
      </c>
      <c r="H5503" s="4">
        <f>IF(E5503=0,"",F5503/E5503-1)</f>
        <v/>
      </c>
      <c r="I5503" t="inlineStr"/>
    </row>
    <row r="5504">
      <c r="A5504" t="inlineStr">
        <is>
          <t>Instruments &amp; medical devices</t>
        </is>
      </c>
      <c r="B5504" t="inlineStr">
        <is>
          <t>91</t>
        </is>
      </c>
      <c r="C5504" t="inlineStr">
        <is>
          <t>91029990</t>
        </is>
      </c>
      <c r="D5504" t="inlineStr">
        <is>
          <t>OTHER WATCHES</t>
        </is>
      </c>
      <c r="E5504" s="3" t="n">
        <v>0</v>
      </c>
      <c r="F5504" s="3" t="n">
        <v>0</v>
      </c>
      <c r="G5504" s="3">
        <f>F5504-E5504</f>
        <v/>
      </c>
      <c r="H5504" s="4">
        <f>IF(E5504=0,"",F5504/E5504-1)</f>
        <v/>
      </c>
      <c r="I5504" t="inlineStr"/>
    </row>
    <row r="5505">
      <c r="A5505" t="inlineStr">
        <is>
          <t>Instruments &amp; medical devices</t>
        </is>
      </c>
      <c r="B5505" t="inlineStr">
        <is>
          <t>91</t>
        </is>
      </c>
      <c r="C5505" t="inlineStr">
        <is>
          <t>91051100</t>
        </is>
      </c>
      <c r="D5505" t="inlineStr">
        <is>
          <t>ALARM CLOCKS,ELECTRICALLY OPERATED</t>
        </is>
      </c>
      <c r="E5505" s="3" t="n">
        <v>0.02</v>
      </c>
      <c r="F5505" s="3" t="n">
        <v>0</v>
      </c>
      <c r="G5505" s="3">
        <f>F5505-E5505</f>
        <v/>
      </c>
      <c r="H5505" s="4">
        <f>IF(E5505=0,"",F5505/E5505-1)</f>
        <v/>
      </c>
      <c r="I5505" t="inlineStr"/>
    </row>
    <row r="5506">
      <c r="A5506" t="inlineStr">
        <is>
          <t>Instruments &amp; medical devices</t>
        </is>
      </c>
      <c r="B5506" t="inlineStr">
        <is>
          <t>91</t>
        </is>
      </c>
      <c r="C5506" t="inlineStr">
        <is>
          <t>91051900</t>
        </is>
      </c>
      <c r="D5506" t="inlineStr">
        <is>
          <t>OTHER ALARM CLOCKS</t>
        </is>
      </c>
      <c r="E5506" s="3" t="n">
        <v>0</v>
      </c>
      <c r="F5506" s="3" t="n">
        <v>0</v>
      </c>
      <c r="G5506" s="3">
        <f>F5506-E5506</f>
        <v/>
      </c>
      <c r="H5506" s="4">
        <f>IF(E5506=0,"",F5506/E5506-1)</f>
        <v/>
      </c>
      <c r="I5506" t="inlineStr"/>
    </row>
    <row r="5507">
      <c r="A5507" t="inlineStr">
        <is>
          <t>Instruments &amp; medical devices</t>
        </is>
      </c>
      <c r="B5507" t="inlineStr">
        <is>
          <t>91</t>
        </is>
      </c>
      <c r="C5507" t="inlineStr">
        <is>
          <t>91052100</t>
        </is>
      </c>
      <c r="D5507" t="inlineStr">
        <is>
          <t>WALL CLOCKS,ELECTRICALLY OPERATED</t>
        </is>
      </c>
      <c r="E5507" s="3" t="n">
        <v>0</v>
      </c>
      <c r="F5507" s="3" t="n">
        <v>0</v>
      </c>
      <c r="G5507" s="3">
        <f>F5507-E5507</f>
        <v/>
      </c>
      <c r="H5507" s="4">
        <f>IF(E5507=0,"",F5507/E5507-1)</f>
        <v/>
      </c>
      <c r="I5507" t="inlineStr"/>
    </row>
    <row r="5508">
      <c r="A5508" t="inlineStr">
        <is>
          <t>Instruments &amp; medical devices</t>
        </is>
      </c>
      <c r="B5508" t="inlineStr">
        <is>
          <t>91</t>
        </is>
      </c>
      <c r="C5508" t="inlineStr">
        <is>
          <t>91052900</t>
        </is>
      </c>
      <c r="D5508" t="inlineStr">
        <is>
          <t>OTHER WALL CLOCKS</t>
        </is>
      </c>
      <c r="E5508" s="3" t="n">
        <v>0</v>
      </c>
      <c r="F5508" s="3" t="n">
        <v>0</v>
      </c>
      <c r="G5508" s="3">
        <f>F5508-E5508</f>
        <v/>
      </c>
      <c r="H5508" s="4">
        <f>IF(E5508=0,"",F5508/E5508-1)</f>
        <v/>
      </c>
      <c r="I5508" t="inlineStr"/>
    </row>
    <row r="5509">
      <c r="A5509" t="inlineStr">
        <is>
          <t>Instruments &amp; medical devices</t>
        </is>
      </c>
      <c r="B5509" t="inlineStr">
        <is>
          <t>91</t>
        </is>
      </c>
      <c r="C5509" t="inlineStr">
        <is>
          <t>91061000</t>
        </is>
      </c>
      <c r="D5509" t="inlineStr">
        <is>
          <t>TIME REGISTERS;TIME RECORDERS</t>
        </is>
      </c>
      <c r="E5509" s="3" t="n">
        <v>0</v>
      </c>
      <c r="F5509" s="3" t="n">
        <v>0</v>
      </c>
      <c r="G5509" s="3">
        <f>F5509-E5509</f>
        <v/>
      </c>
      <c r="H5509" s="4">
        <f>IF(E5509=0,"",F5509/E5509-1)</f>
        <v/>
      </c>
      <c r="I5509" t="inlineStr"/>
    </row>
    <row r="5510">
      <c r="A5510" t="inlineStr">
        <is>
          <t>Instruments &amp; medical devices</t>
        </is>
      </c>
      <c r="B5510" t="inlineStr">
        <is>
          <t>91</t>
        </is>
      </c>
      <c r="C5510" t="inlineStr">
        <is>
          <t>91081100</t>
        </is>
      </c>
      <c r="D5510" t="inlineStr">
        <is>
          <t>ELECTRLY OPERATED WATCH MVMNTS WITH MCHNCLDSPLAY/WTH DEVC WHCH INCRPRT MCHNCL DSPLAY</t>
        </is>
      </c>
      <c r="E5510" s="3" t="n">
        <v>0</v>
      </c>
      <c r="F5510" s="3" t="n">
        <v>0</v>
      </c>
      <c r="G5510" s="3">
        <f>F5510-E5510</f>
        <v/>
      </c>
      <c r="H5510" s="4">
        <f>IF(E5510=0,"",F5510/E5510-1)</f>
        <v/>
      </c>
      <c r="I5510" t="inlineStr"/>
    </row>
    <row r="5511">
      <c r="A5511" t="inlineStr">
        <is>
          <t>Instruments &amp; medical devices</t>
        </is>
      </c>
      <c r="B5511" t="inlineStr">
        <is>
          <t>91</t>
        </is>
      </c>
      <c r="C5511" t="inlineStr">
        <is>
          <t>91131000</t>
        </is>
      </c>
      <c r="D5511" t="inlineStr">
        <is>
          <t>WATCH STRAPS,WATCH BANDS ETC OF PRECIOUS METAL OR METAL CLAD WITH PRECIOUS METAL</t>
        </is>
      </c>
      <c r="E5511" s="3" t="n">
        <v>0</v>
      </c>
      <c r="F5511" s="3" t="n">
        <v>0</v>
      </c>
      <c r="G5511" s="3">
        <f>F5511-E5511</f>
        <v/>
      </c>
      <c r="H5511" s="4">
        <f>IF(E5511=0,"",F5511/E5511-1)</f>
        <v/>
      </c>
      <c r="I5511" t="inlineStr"/>
    </row>
    <row r="5512">
      <c r="A5512" t="inlineStr">
        <is>
          <t>Instruments &amp; medical devices</t>
        </is>
      </c>
      <c r="B5512" t="inlineStr">
        <is>
          <t>91</t>
        </is>
      </c>
      <c r="C5512" t="inlineStr">
        <is>
          <t>91139090</t>
        </is>
      </c>
      <c r="D5512" t="inlineStr">
        <is>
          <t>OTHRS</t>
        </is>
      </c>
      <c r="E5512" s="3" t="n">
        <v>0</v>
      </c>
      <c r="F5512" s="3" t="n">
        <v>0</v>
      </c>
      <c r="G5512" s="3">
        <f>F5512-E5512</f>
        <v/>
      </c>
      <c r="H5512" s="4">
        <f>IF(E5512=0,"",F5512/E5512-1)</f>
        <v/>
      </c>
      <c r="I5512" t="inlineStr"/>
    </row>
    <row r="5513">
      <c r="A5513" t="inlineStr">
        <is>
          <t>Instruments &amp; medical devices</t>
        </is>
      </c>
      <c r="B5513" t="inlineStr">
        <is>
          <t>91</t>
        </is>
      </c>
      <c r="C5513" t="inlineStr">
        <is>
          <t>91144010</t>
        </is>
      </c>
      <c r="D5513" t="inlineStr">
        <is>
          <t>PLATES AND BRIDGES FOR WATCHES</t>
        </is>
      </c>
      <c r="E5513" s="3" t="n">
        <v>0</v>
      </c>
      <c r="F5513" s="3" t="n">
        <v>0</v>
      </c>
      <c r="G5513" s="3">
        <f>F5513-E5513</f>
        <v/>
      </c>
      <c r="H5513" s="4">
        <f>IF(E5513=0,"",F5513/E5513-1)</f>
        <v/>
      </c>
      <c r="I5513" t="inlineStr"/>
    </row>
    <row r="5514">
      <c r="A5514" t="inlineStr">
        <is>
          <t>Instruments &amp; medical devices</t>
        </is>
      </c>
      <c r="B5514" t="inlineStr">
        <is>
          <t>91</t>
        </is>
      </c>
      <c r="C5514" t="inlineStr">
        <is>
          <t>91149091</t>
        </is>
      </c>
      <c r="D5514" t="inlineStr">
        <is>
          <t>FOR WATCHES</t>
        </is>
      </c>
      <c r="E5514" s="3" t="n">
        <v>0</v>
      </c>
      <c r="F5514" s="3" t="n">
        <v>0</v>
      </c>
      <c r="G5514" s="3">
        <f>F5514-E5514</f>
        <v/>
      </c>
      <c r="H5514" s="4">
        <f>IF(E5514=0,"",F5514/E5514-1)</f>
        <v/>
      </c>
      <c r="I5514" t="inlineStr"/>
    </row>
    <row r="5515">
      <c r="A5515" t="inlineStr">
        <is>
          <t>Instruments &amp; medical devices</t>
        </is>
      </c>
      <c r="B5515" t="inlineStr">
        <is>
          <t>91</t>
        </is>
      </c>
      <c r="C5515" t="inlineStr">
        <is>
          <t>91149092</t>
        </is>
      </c>
      <c r="D5515" t="inlineStr">
        <is>
          <t>FOR CLOCKS</t>
        </is>
      </c>
      <c r="E5515" s="3" t="n">
        <v>0.01</v>
      </c>
      <c r="F5515" s="3" t="n">
        <v>0</v>
      </c>
      <c r="G5515" s="3">
        <f>F5515-E5515</f>
        <v/>
      </c>
      <c r="H5515" s="4">
        <f>IF(E5515=0,"",F5515/E5515-1)</f>
        <v/>
      </c>
      <c r="I5515" t="inlineStr"/>
    </row>
    <row r="5516">
      <c r="A5516" t="inlineStr">
        <is>
          <t>Instruments &amp; medical devices</t>
        </is>
      </c>
      <c r="B5516" t="inlineStr">
        <is>
          <t>92</t>
        </is>
      </c>
      <c r="C5516" t="inlineStr">
        <is>
          <t>92029000</t>
        </is>
      </c>
      <c r="D5516" t="inlineStr">
        <is>
          <t>OTHER STRING MUSICAL INSTRUMENTS</t>
        </is>
      </c>
      <c r="E5516" s="3" t="n">
        <v>0</v>
      </c>
      <c r="F5516" s="3" t="n">
        <v>0</v>
      </c>
      <c r="G5516" s="3">
        <f>F5516-E5516</f>
        <v/>
      </c>
      <c r="H5516" s="4">
        <f>IF(E5516=0,"",F5516/E5516-1)</f>
        <v/>
      </c>
      <c r="I5516" t="inlineStr"/>
    </row>
    <row r="5517">
      <c r="A5517" t="inlineStr">
        <is>
          <t>Instruments &amp; medical devices</t>
        </is>
      </c>
      <c r="B5517" t="inlineStr">
        <is>
          <t>92</t>
        </is>
      </c>
      <c r="C5517" t="inlineStr">
        <is>
          <t>92060000</t>
        </is>
      </c>
      <c r="D5517" t="inlineStr">
        <is>
          <t>PERCUSSION MUSICAL INSTRMNT(FR EXMPL, DRUMSXYLOPHONES,CYMBALS,CASTANETS, MARACCAS)</t>
        </is>
      </c>
      <c r="E5517" s="3" t="n">
        <v>0.01</v>
      </c>
      <c r="F5517" s="3" t="n">
        <v>0</v>
      </c>
      <c r="G5517" s="3">
        <f>F5517-E5517</f>
        <v/>
      </c>
      <c r="H5517" s="4">
        <f>IF(E5517=0,"",F5517/E5517-1)</f>
        <v/>
      </c>
      <c r="I5517" t="inlineStr"/>
    </row>
    <row r="5518">
      <c r="A5518" t="inlineStr">
        <is>
          <t>Instruments &amp; medical devices</t>
        </is>
      </c>
      <c r="B5518" t="inlineStr">
        <is>
          <t>92</t>
        </is>
      </c>
      <c r="C5518" t="inlineStr">
        <is>
          <t>92079000</t>
        </is>
      </c>
      <c r="D5518" t="inlineStr">
        <is>
          <t>OTHER MUSICAL INSTRUMENTS OF HDG 9207</t>
        </is>
      </c>
      <c r="E5518" s="3" t="n">
        <v>0</v>
      </c>
      <c r="F5518" s="3" t="n">
        <v>0</v>
      </c>
      <c r="G5518" s="3">
        <f>F5518-E5518</f>
        <v/>
      </c>
      <c r="H5518" s="4">
        <f>IF(E5518=0,"",F5518/E5518-1)</f>
        <v/>
      </c>
      <c r="I5518" t="inlineStr"/>
    </row>
    <row r="5519">
      <c r="A5519" t="inlineStr">
        <is>
          <t>Instruments &amp; medical devices</t>
        </is>
      </c>
      <c r="B5519" t="inlineStr">
        <is>
          <t>92</t>
        </is>
      </c>
      <c r="C5519" t="inlineStr">
        <is>
          <t>92089000</t>
        </is>
      </c>
      <c r="D5519" t="inlineStr">
        <is>
          <t>ARTICLES OF HDG 9208 EXCL. MUSICAL BOXES</t>
        </is>
      </c>
      <c r="E5519" s="3" t="n">
        <v>0</v>
      </c>
      <c r="F5519" s="3" t="n">
        <v>0</v>
      </c>
      <c r="G5519" s="3">
        <f>F5519-E5519</f>
        <v/>
      </c>
      <c r="H5519" s="4">
        <f>IF(E5519=0,"",F5519/E5519-1)</f>
        <v/>
      </c>
      <c r="I5519" t="inlineStr"/>
    </row>
    <row r="5520">
      <c r="A5520" t="inlineStr">
        <is>
          <t>Instruments &amp; medical devices</t>
        </is>
      </c>
      <c r="B5520" t="inlineStr">
        <is>
          <t>92</t>
        </is>
      </c>
      <c r="C5520" t="inlineStr">
        <is>
          <t>92093000</t>
        </is>
      </c>
      <c r="D5520" t="inlineStr">
        <is>
          <t>MUSICAL INSTRUMENT STRINGS</t>
        </is>
      </c>
      <c r="E5520" s="3" t="n">
        <v>0</v>
      </c>
      <c r="F5520" s="3" t="n">
        <v>0</v>
      </c>
      <c r="G5520" s="3">
        <f>F5520-E5520</f>
        <v/>
      </c>
      <c r="H5520" s="4">
        <f>IF(E5520=0,"",F5520/E5520-1)</f>
        <v/>
      </c>
      <c r="I5520" t="inlineStr"/>
    </row>
    <row r="5521">
      <c r="A5521" s="6" t="inlineStr">
        <is>
          <t>Gems &amp; jewellery  —  47 lines</t>
        </is>
      </c>
      <c r="B5521" s="6" t="inlineStr"/>
      <c r="C5521" s="6" t="inlineStr"/>
      <c r="D5521" s="6" t="inlineStr"/>
      <c r="E5521" s="7" t="n">
        <v>287.89</v>
      </c>
      <c r="F5521" s="7" t="n">
        <v>237.68</v>
      </c>
      <c r="G5521" s="7" t="n">
        <v>-50.21</v>
      </c>
      <c r="H5521" s="8" t="n">
        <v>-0.1744068915210669</v>
      </c>
      <c r="I5521" s="6" t="inlineStr"/>
    </row>
    <row r="5522">
      <c r="A5522" t="inlineStr">
        <is>
          <t>Gems &amp; jewellery</t>
        </is>
      </c>
      <c r="B5522" t="inlineStr">
        <is>
          <t>71</t>
        </is>
      </c>
      <c r="C5522" t="inlineStr">
        <is>
          <t>71023910</t>
        </is>
      </c>
      <c r="D5522" t="inlineStr">
        <is>
          <t>DIAMOND(OTHR THN INDSTRL DIAMOND)CUT OR OTHERWISE WORKED BUT NOT MOUNTED OR SET</t>
        </is>
      </c>
      <c r="E5522" s="3" t="n">
        <v>244.14</v>
      </c>
      <c r="F5522" s="3" t="n">
        <v>154.7</v>
      </c>
      <c r="G5522" s="3">
        <f>F5522-E5522</f>
        <v/>
      </c>
      <c r="H5522" s="4">
        <f>IF(E5522=0,"",F5522/E5522-1)</f>
        <v/>
      </c>
      <c r="I5522" t="inlineStr"/>
    </row>
    <row r="5523">
      <c r="A5523" t="inlineStr">
        <is>
          <t>Gems &amp; jewellery</t>
        </is>
      </c>
      <c r="B5523" t="inlineStr">
        <is>
          <t>71</t>
        </is>
      </c>
      <c r="C5523" t="inlineStr">
        <is>
          <t>71131911</t>
        </is>
      </c>
      <c r="D5523" t="inlineStr">
        <is>
          <t>Of gold, Unstudded</t>
        </is>
      </c>
      <c r="E5523" s="3" t="n">
        <v>15.31</v>
      </c>
      <c r="F5523" s="3" t="n">
        <v>31.43</v>
      </c>
      <c r="G5523" s="3">
        <f>F5523-E5523</f>
        <v/>
      </c>
      <c r="H5523" s="4">
        <f>IF(E5523=0,"",F5523/E5523-1)</f>
        <v/>
      </c>
      <c r="I5523" t="inlineStr"/>
    </row>
    <row r="5524">
      <c r="A5524" t="inlineStr">
        <is>
          <t>Gems &amp; jewellery</t>
        </is>
      </c>
      <c r="B5524" t="inlineStr">
        <is>
          <t>71</t>
        </is>
      </c>
      <c r="C5524" t="inlineStr">
        <is>
          <t>71131913</t>
        </is>
      </c>
      <c r="D5524" t="inlineStr">
        <is>
          <t>Of gold, Studded with diamonds of heading 7102</t>
        </is>
      </c>
      <c r="E5524" s="3" t="n">
        <v>14.82</v>
      </c>
      <c r="F5524" s="3" t="n">
        <v>21.46</v>
      </c>
      <c r="G5524" s="3">
        <f>F5524-E5524</f>
        <v/>
      </c>
      <c r="H5524" s="4">
        <f>IF(E5524=0,"",F5524/E5524-1)</f>
        <v/>
      </c>
      <c r="I5524" t="inlineStr"/>
    </row>
    <row r="5525">
      <c r="A5525" t="inlineStr">
        <is>
          <t>Gems &amp; jewellery</t>
        </is>
      </c>
      <c r="B5525" t="inlineStr">
        <is>
          <t>71</t>
        </is>
      </c>
      <c r="C5525" t="inlineStr">
        <is>
          <t>71131915</t>
        </is>
      </c>
      <c r="D5525" t="inlineStr">
        <is>
          <t>Of gold, Studded with other precious and semi-precious stones</t>
        </is>
      </c>
      <c r="E5525" s="3" t="n">
        <v>2.1</v>
      </c>
      <c r="F5525" s="3" t="n">
        <v>14.18</v>
      </c>
      <c r="G5525" s="3">
        <f>F5525-E5525</f>
        <v/>
      </c>
      <c r="H5525" s="4">
        <f>IF(E5525=0,"",F5525/E5525-1)</f>
        <v/>
      </c>
      <c r="I5525" t="inlineStr"/>
    </row>
    <row r="5526">
      <c r="A5526" t="inlineStr">
        <is>
          <t>Gems &amp; jewellery</t>
        </is>
      </c>
      <c r="B5526" t="inlineStr">
        <is>
          <t>71</t>
        </is>
      </c>
      <c r="C5526" t="inlineStr">
        <is>
          <t>71131960</t>
        </is>
      </c>
      <c r="D5526" t="inlineStr">
        <is>
          <t>PARTS</t>
        </is>
      </c>
      <c r="E5526" s="3" t="n">
        <v>3.35</v>
      </c>
      <c r="F5526" s="3" t="n">
        <v>6.1</v>
      </c>
      <c r="G5526" s="3">
        <f>F5526-E5526</f>
        <v/>
      </c>
      <c r="H5526" s="4">
        <f>IF(E5526=0,"",F5526/E5526-1)</f>
        <v/>
      </c>
      <c r="I5526" t="inlineStr"/>
    </row>
    <row r="5527">
      <c r="A5527" t="inlineStr">
        <is>
          <t>Gems &amp; jewellery</t>
        </is>
      </c>
      <c r="B5527" t="inlineStr">
        <is>
          <t>71</t>
        </is>
      </c>
      <c r="C5527" t="inlineStr">
        <is>
          <t>71131919</t>
        </is>
      </c>
      <c r="D5527" t="inlineStr">
        <is>
          <t>OTHERS-OF-ARTCLS OF OTHR PRCS MTL W/N PLTD OR CLAD</t>
        </is>
      </c>
      <c r="E5527" s="3" t="n">
        <v>3.78</v>
      </c>
      <c r="F5527" s="3" t="n">
        <v>4.74</v>
      </c>
      <c r="G5527" s="3">
        <f>F5527-E5527</f>
        <v/>
      </c>
      <c r="H5527" s="4">
        <f>IF(E5527=0,"",F5527/E5527-1)</f>
        <v/>
      </c>
      <c r="I5527" t="inlineStr"/>
    </row>
    <row r="5528">
      <c r="A5528" t="inlineStr">
        <is>
          <t>Gems &amp; jewellery</t>
        </is>
      </c>
      <c r="B5528" t="inlineStr">
        <is>
          <t>71</t>
        </is>
      </c>
      <c r="C5528" t="inlineStr">
        <is>
          <t>71131914</t>
        </is>
      </c>
      <c r="D5528" t="inlineStr">
        <is>
          <t>Of gold, Studded with diamonds of heading 7104</t>
        </is>
      </c>
      <c r="E5528" s="3" t="n">
        <v>1.42</v>
      </c>
      <c r="F5528" s="3" t="n">
        <v>1.3</v>
      </c>
      <c r="G5528" s="3">
        <f>F5528-E5528</f>
        <v/>
      </c>
      <c r="H5528" s="4">
        <f>IF(E5528=0,"",F5528/E5528-1)</f>
        <v/>
      </c>
      <c r="I5528" t="inlineStr"/>
    </row>
    <row r="5529">
      <c r="A5529" t="inlineStr">
        <is>
          <t>Gems &amp; jewellery</t>
        </is>
      </c>
      <c r="B5529" t="inlineStr">
        <is>
          <t>71</t>
        </is>
      </c>
      <c r="C5529" t="inlineStr">
        <is>
          <t>71131923</t>
        </is>
      </c>
      <c r="D5529" t="inlineStr">
        <is>
          <t>Of platinum, Studded with diamonds of heading 7102</t>
        </is>
      </c>
      <c r="E5529" s="3" t="n">
        <v>0</v>
      </c>
      <c r="F5529" s="3" t="n">
        <v>0.46</v>
      </c>
      <c r="G5529" s="3">
        <f>F5529-E5529</f>
        <v/>
      </c>
      <c r="H5529" s="4">
        <f>IF(E5529=0,"",F5529/E5529-1)</f>
        <v/>
      </c>
      <c r="I5529" t="inlineStr"/>
    </row>
    <row r="5530">
      <c r="A5530" t="inlineStr">
        <is>
          <t>Gems &amp; jewellery</t>
        </is>
      </c>
      <c r="B5530" t="inlineStr">
        <is>
          <t>71</t>
        </is>
      </c>
      <c r="C5530" t="inlineStr">
        <is>
          <t>71131990</t>
        </is>
      </c>
      <c r="D5530" t="inlineStr">
        <is>
          <t>ARTCLS OF OTHR PRCS METAL</t>
        </is>
      </c>
      <c r="E5530" s="3" t="n">
        <v>0</v>
      </c>
      <c r="F5530" s="3" t="n">
        <v>0.42</v>
      </c>
      <c r="G5530" s="3">
        <f>F5530-E5530</f>
        <v/>
      </c>
      <c r="H5530" s="4">
        <f>IF(E5530=0,"",F5530/E5530-1)</f>
        <v/>
      </c>
      <c r="I5530" t="inlineStr"/>
    </row>
    <row r="5531">
      <c r="A5531" t="inlineStr">
        <is>
          <t>Gems &amp; jewellery</t>
        </is>
      </c>
      <c r="B5531" t="inlineStr">
        <is>
          <t>71</t>
        </is>
      </c>
      <c r="C5531" t="inlineStr">
        <is>
          <t>71141110</t>
        </is>
      </c>
      <c r="D5531" t="inlineStr">
        <is>
          <t>MANUFACTURES OF SILVER</t>
        </is>
      </c>
      <c r="E5531" s="3" t="n">
        <v>0.61</v>
      </c>
      <c r="F5531" s="3" t="n">
        <v>0.42</v>
      </c>
      <c r="G5531" s="3">
        <f>F5531-E5531</f>
        <v/>
      </c>
      <c r="H5531" s="4">
        <f>IF(E5531=0,"",F5531/E5531-1)</f>
        <v/>
      </c>
      <c r="I5531" t="inlineStr"/>
    </row>
    <row r="5532">
      <c r="A5532" t="inlineStr">
        <is>
          <t>Gems &amp; jewellery</t>
        </is>
      </c>
      <c r="B5532" t="inlineStr">
        <is>
          <t>71</t>
        </is>
      </c>
      <c r="C5532" t="inlineStr">
        <is>
          <t>71049120</t>
        </is>
      </c>
      <c r="D5532" t="inlineStr">
        <is>
          <t>Non-Industrial Diamonds</t>
        </is>
      </c>
      <c r="E5532" s="3" t="n">
        <v>0.13</v>
      </c>
      <c r="F5532" s="3" t="n">
        <v>0.35</v>
      </c>
      <c r="G5532" s="3">
        <f>F5532-E5532</f>
        <v/>
      </c>
      <c r="H5532" s="4">
        <f>IF(E5532=0,"",F5532/E5532-1)</f>
        <v/>
      </c>
      <c r="I5532" t="inlineStr"/>
    </row>
    <row r="5533">
      <c r="A5533" t="inlineStr">
        <is>
          <t>Gems &amp; jewellery</t>
        </is>
      </c>
      <c r="B5533" t="inlineStr">
        <is>
          <t>71</t>
        </is>
      </c>
      <c r="C5533" t="inlineStr">
        <is>
          <t>71069290</t>
        </is>
      </c>
      <c r="D5533" t="inlineStr">
        <is>
          <t>ALL OTHER SEMI MANUFACTURED FORMS OF SLVR</t>
        </is>
      </c>
      <c r="E5533" s="3" t="n">
        <v>0.3</v>
      </c>
      <c r="F5533" s="3" t="n">
        <v>0.33</v>
      </c>
      <c r="G5533" s="3">
        <f>F5533-E5533</f>
        <v/>
      </c>
      <c r="H5533" s="4">
        <f>IF(E5533=0,"",F5533/E5533-1)</f>
        <v/>
      </c>
      <c r="I5533" t="inlineStr"/>
    </row>
    <row r="5534">
      <c r="A5534" t="inlineStr">
        <is>
          <t>Gems &amp; jewellery</t>
        </is>
      </c>
      <c r="B5534" t="inlineStr">
        <is>
          <t>71</t>
        </is>
      </c>
      <c r="C5534" t="inlineStr">
        <is>
          <t>71131149</t>
        </is>
      </c>
      <c r="D5534" t="inlineStr">
        <is>
          <t>OTHERS-OF-ARTCLS OF JEWELLERY AND PRTS THEREOF OF SLVR W/N PLTD/CLD WTH OTHR PRCS MTL</t>
        </is>
      </c>
      <c r="E5534" s="3" t="n">
        <v>0.36</v>
      </c>
      <c r="F5534" s="3" t="n">
        <v>0.33</v>
      </c>
      <c r="G5534" s="3">
        <f>F5534-E5534</f>
        <v/>
      </c>
      <c r="H5534" s="4">
        <f>IF(E5534=0,"",F5534/E5534-1)</f>
        <v/>
      </c>
      <c r="I5534" t="inlineStr"/>
    </row>
    <row r="5535">
      <c r="A5535" t="inlineStr">
        <is>
          <t>Gems &amp; jewellery</t>
        </is>
      </c>
      <c r="B5535" t="inlineStr">
        <is>
          <t>71</t>
        </is>
      </c>
      <c r="C5535" t="inlineStr">
        <is>
          <t>71131141</t>
        </is>
      </c>
      <c r="D5535" t="inlineStr">
        <is>
          <t>Other Jewellery, Unstudded</t>
        </is>
      </c>
      <c r="E5535" s="3" t="n">
        <v>0.43</v>
      </c>
      <c r="F5535" s="3" t="n">
        <v>0.29</v>
      </c>
      <c r="G5535" s="3">
        <f>F5535-E5535</f>
        <v/>
      </c>
      <c r="H5535" s="4">
        <f>IF(E5535=0,"",F5535/E5535-1)</f>
        <v/>
      </c>
      <c r="I5535" t="inlineStr"/>
    </row>
    <row r="5536">
      <c r="A5536" t="inlineStr">
        <is>
          <t>Gems &amp; jewellery</t>
        </is>
      </c>
      <c r="B5536" t="inlineStr">
        <is>
          <t>71</t>
        </is>
      </c>
      <c r="C5536" t="inlineStr">
        <is>
          <t>71179090</t>
        </is>
      </c>
      <c r="D5536" t="inlineStr">
        <is>
          <t>OTHER IMITATION JEWELLERY FOR PERSONAL ADORNMENT(OTHER THAN ARTWARE)</t>
        </is>
      </c>
      <c r="E5536" s="3" t="n">
        <v>0.17</v>
      </c>
      <c r="F5536" s="3" t="n">
        <v>0.24</v>
      </c>
      <c r="G5536" s="3">
        <f>F5536-E5536</f>
        <v/>
      </c>
      <c r="H5536" s="4">
        <f>IF(E5536=0,"",F5536/E5536-1)</f>
        <v/>
      </c>
      <c r="I5536" t="inlineStr"/>
    </row>
    <row r="5537">
      <c r="A5537" t="inlineStr">
        <is>
          <t>Gems &amp; jewellery</t>
        </is>
      </c>
      <c r="B5537" t="inlineStr">
        <is>
          <t>71</t>
        </is>
      </c>
      <c r="C5537" t="inlineStr">
        <is>
          <t>71131921</t>
        </is>
      </c>
      <c r="D5537" t="inlineStr">
        <is>
          <t>Of platinum, Unstudded</t>
        </is>
      </c>
      <c r="E5537" s="3" t="n">
        <v>0</v>
      </c>
      <c r="F5537" s="3" t="n">
        <v>0.23</v>
      </c>
      <c r="G5537" s="3">
        <f>F5537-E5537</f>
        <v/>
      </c>
      <c r="H5537" s="4">
        <f>IF(E5537=0,"",F5537/E5537-1)</f>
        <v/>
      </c>
      <c r="I5537" t="inlineStr"/>
    </row>
    <row r="5538">
      <c r="A5538" t="inlineStr">
        <is>
          <t>Gems &amp; jewellery</t>
        </is>
      </c>
      <c r="B5538" t="inlineStr">
        <is>
          <t>71</t>
        </is>
      </c>
      <c r="C5538" t="inlineStr">
        <is>
          <t>71141910</t>
        </is>
      </c>
      <c r="D5538" t="inlineStr">
        <is>
          <t>MANUFACTURES OF GOLD</t>
        </is>
      </c>
      <c r="E5538" s="3" t="n">
        <v>0</v>
      </c>
      <c r="F5538" s="3" t="n">
        <v>0.21</v>
      </c>
      <c r="G5538" s="3">
        <f>F5538-E5538</f>
        <v/>
      </c>
      <c r="H5538" s="4">
        <f>IF(E5538=0,"",F5538/E5538-1)</f>
        <v/>
      </c>
      <c r="I5538" t="inlineStr"/>
    </row>
    <row r="5539">
      <c r="A5539" t="inlineStr">
        <is>
          <t>Gems &amp; jewellery</t>
        </is>
      </c>
      <c r="B5539" t="inlineStr">
        <is>
          <t>71</t>
        </is>
      </c>
      <c r="C5539" t="inlineStr">
        <is>
          <t>71131145</t>
        </is>
      </c>
      <c r="D5539" t="inlineStr">
        <is>
          <t>Other Jewellery, Studded with other precious and semi-precious stones</t>
        </is>
      </c>
      <c r="E5539" s="3" t="n">
        <v>0.2</v>
      </c>
      <c r="F5539" s="3" t="n">
        <v>0.13</v>
      </c>
      <c r="G5539" s="3">
        <f>F5539-E5539</f>
        <v/>
      </c>
      <c r="H5539" s="4">
        <f>IF(E5539=0,"",F5539/E5539-1)</f>
        <v/>
      </c>
      <c r="I5539" t="inlineStr"/>
    </row>
    <row r="5540">
      <c r="A5540" t="inlineStr">
        <is>
          <t>Gems &amp; jewellery</t>
        </is>
      </c>
      <c r="B5540" t="inlineStr">
        <is>
          <t>71</t>
        </is>
      </c>
      <c r="C5540" t="inlineStr">
        <is>
          <t>71171910</t>
        </is>
      </c>
      <c r="D5540" t="inlineStr">
        <is>
          <t>BANGLES</t>
        </is>
      </c>
      <c r="E5540" s="3" t="n">
        <v>0.28</v>
      </c>
      <c r="F5540" s="3" t="n">
        <v>0.12</v>
      </c>
      <c r="G5540" s="3">
        <f>F5540-E5540</f>
        <v/>
      </c>
      <c r="H5540" s="4">
        <f>IF(E5540=0,"",F5540/E5540-1)</f>
        <v/>
      </c>
      <c r="I5540" t="inlineStr"/>
    </row>
    <row r="5541">
      <c r="A5541" t="inlineStr">
        <is>
          <t>Gems &amp; jewellery</t>
        </is>
      </c>
      <c r="B5541" t="inlineStr">
        <is>
          <t>71</t>
        </is>
      </c>
      <c r="C5541" t="inlineStr">
        <is>
          <t>71179010</t>
        </is>
      </c>
      <c r="D5541" t="inlineStr">
        <is>
          <t>JEWELLERY SET WITH IMITATION PEARLS OR IMITATION OR SYNTHETIC STONES</t>
        </is>
      </c>
      <c r="E5541" s="3" t="n">
        <v>0.06</v>
      </c>
      <c r="F5541" s="3" t="n">
        <v>0.07000000000000001</v>
      </c>
      <c r="G5541" s="3">
        <f>F5541-E5541</f>
        <v/>
      </c>
      <c r="H5541" s="4">
        <f>IF(E5541=0,"",F5541/E5541-1)</f>
        <v/>
      </c>
      <c r="I5541" t="inlineStr"/>
    </row>
    <row r="5542">
      <c r="A5542" t="inlineStr">
        <is>
          <t>Gems &amp; jewellery</t>
        </is>
      </c>
      <c r="B5542" t="inlineStr">
        <is>
          <t>71</t>
        </is>
      </c>
      <c r="C5542" t="inlineStr">
        <is>
          <t>71131190</t>
        </is>
      </c>
      <c r="D5542" t="inlineStr">
        <is>
          <t>PARTS</t>
        </is>
      </c>
      <c r="E5542" s="3" t="n">
        <v>0.07000000000000001</v>
      </c>
      <c r="F5542" s="3" t="n">
        <v>0.05</v>
      </c>
      <c r="G5542" s="3">
        <f>F5542-E5542</f>
        <v/>
      </c>
      <c r="H5542" s="4">
        <f>IF(E5542=0,"",F5542/E5542-1)</f>
        <v/>
      </c>
      <c r="I5542" t="inlineStr"/>
    </row>
    <row r="5543">
      <c r="A5543" t="inlineStr">
        <is>
          <t>Gems &amp; jewellery</t>
        </is>
      </c>
      <c r="B5543" t="inlineStr">
        <is>
          <t>71</t>
        </is>
      </c>
      <c r="C5543" t="inlineStr">
        <is>
          <t>71171990</t>
        </is>
      </c>
      <c r="D5543" t="inlineStr">
        <is>
          <t>OTHERS-OF-OTHER IMITATION JEWELLERY OF BASE METAL W/N PLATED WTH PRECIOUS METAL</t>
        </is>
      </c>
      <c r="E5543" s="3" t="n">
        <v>0.08</v>
      </c>
      <c r="F5543" s="3" t="n">
        <v>0.05</v>
      </c>
      <c r="G5543" s="3">
        <f>F5543-E5543</f>
        <v/>
      </c>
      <c r="H5543" s="4">
        <f>IF(E5543=0,"",F5543/E5543-1)</f>
        <v/>
      </c>
      <c r="I5543" t="inlineStr"/>
    </row>
    <row r="5544">
      <c r="A5544" t="inlineStr">
        <is>
          <t>Gems &amp; jewellery</t>
        </is>
      </c>
      <c r="B5544" t="inlineStr">
        <is>
          <t>71</t>
        </is>
      </c>
      <c r="C5544" t="inlineStr">
        <is>
          <t>71181000</t>
        </is>
      </c>
      <c r="D5544" t="inlineStr">
        <is>
          <t>COIN(EXCL GOLD)NOT BEING LEGAL TENDER</t>
        </is>
      </c>
      <c r="E5544" s="3" t="n">
        <v>0.04</v>
      </c>
      <c r="F5544" s="3" t="n">
        <v>0.03</v>
      </c>
      <c r="G5544" s="3">
        <f>F5544-E5544</f>
        <v/>
      </c>
      <c r="H5544" s="4">
        <f>IF(E5544=0,"",F5544/E5544-1)</f>
        <v/>
      </c>
      <c r="I5544" t="inlineStr"/>
    </row>
    <row r="5545">
      <c r="A5545" t="inlineStr">
        <is>
          <t>Gems &amp; jewellery</t>
        </is>
      </c>
      <c r="B5545" t="inlineStr">
        <is>
          <t>71</t>
        </is>
      </c>
      <c r="C5545" t="inlineStr">
        <is>
          <t>71159010</t>
        </is>
      </c>
      <c r="D5545" t="inlineStr">
        <is>
          <t>OTHER LABORATORY AND INDUSTRIAL ARTICLES OF PRECIOUS METAL OR ROLLED GOLD</t>
        </is>
      </c>
      <c r="E5545" s="3" t="n">
        <v>0.01</v>
      </c>
      <c r="F5545" s="3" t="n">
        <v>0.02</v>
      </c>
      <c r="G5545" s="3">
        <f>F5545-E5545</f>
        <v/>
      </c>
      <c r="H5545" s="4">
        <f>IF(E5545=0,"",F5545/E5545-1)</f>
        <v/>
      </c>
      <c r="I5545" t="inlineStr"/>
    </row>
    <row r="5546">
      <c r="A5546" t="inlineStr">
        <is>
          <t>Gems &amp; jewellery</t>
        </is>
      </c>
      <c r="B5546" t="inlineStr">
        <is>
          <t>71</t>
        </is>
      </c>
      <c r="C5546" t="inlineStr">
        <is>
          <t>71039990</t>
        </is>
      </c>
      <c r="D5546" t="inlineStr">
        <is>
          <t>OTHER STONE CUT(TOPAZ AQUAMARINE ETC)</t>
        </is>
      </c>
      <c r="E5546" s="3" t="n">
        <v>0.01</v>
      </c>
      <c r="F5546" s="3" t="n">
        <v>0.01</v>
      </c>
      <c r="G5546" s="3">
        <f>F5546-E5546</f>
        <v/>
      </c>
      <c r="H5546" s="4">
        <f>IF(E5546=0,"",F5546/E5546-1)</f>
        <v/>
      </c>
      <c r="I5546" t="inlineStr"/>
    </row>
    <row r="5547">
      <c r="A5547" t="inlineStr">
        <is>
          <t>Gems &amp; jewellery</t>
        </is>
      </c>
      <c r="B5547" t="inlineStr">
        <is>
          <t>71</t>
        </is>
      </c>
      <c r="C5547" t="inlineStr">
        <is>
          <t>71159090</t>
        </is>
      </c>
      <c r="D5547" t="inlineStr">
        <is>
          <t>OTHR ARTCLS OF PRCS MTL/ROLLED GOLD</t>
        </is>
      </c>
      <c r="E5547" s="3" t="n">
        <v>0.04</v>
      </c>
      <c r="F5547" s="3" t="n">
        <v>0.01</v>
      </c>
      <c r="G5547" s="3">
        <f>F5547-E5547</f>
        <v/>
      </c>
      <c r="H5547" s="4">
        <f>IF(E5547=0,"",F5547/E5547-1)</f>
        <v/>
      </c>
      <c r="I5547" t="inlineStr"/>
    </row>
    <row r="5548">
      <c r="A5548" t="inlineStr">
        <is>
          <t>Gems &amp; jewellery</t>
        </is>
      </c>
      <c r="B5548" t="inlineStr">
        <is>
          <t>71</t>
        </is>
      </c>
      <c r="C5548" t="inlineStr">
        <is>
          <t>71012200</t>
        </is>
      </c>
      <c r="D5548" t="inlineStr">
        <is>
          <t>CULTURED PEARLS WORKED</t>
        </is>
      </c>
      <c r="E5548" s="3" t="n">
        <v>0.01</v>
      </c>
      <c r="F5548" s="3" t="n">
        <v>0</v>
      </c>
      <c r="G5548" s="3">
        <f>F5548-E5548</f>
        <v/>
      </c>
      <c r="H5548" s="4">
        <f>IF(E5548=0,"",F5548/E5548-1)</f>
        <v/>
      </c>
      <c r="I5548" t="inlineStr"/>
    </row>
    <row r="5549">
      <c r="A5549" t="inlineStr">
        <is>
          <t>Gems &amp; jewellery</t>
        </is>
      </c>
      <c r="B5549" t="inlineStr">
        <is>
          <t>71</t>
        </is>
      </c>
      <c r="C5549" t="inlineStr">
        <is>
          <t>71031039</t>
        </is>
      </c>
      <c r="D5549" t="inlineStr">
        <is>
          <t>OTHERS-OF-Precious or semi-precious stones of Beryl and Chrysoberyl mineralogical species-Unworked</t>
        </is>
      </c>
      <c r="E5549" s="3" t="n">
        <v>0</v>
      </c>
      <c r="F5549" s="3" t="n">
        <v>0</v>
      </c>
      <c r="G5549" s="3">
        <f>F5549-E5549</f>
        <v/>
      </c>
      <c r="H5549" s="4">
        <f>IF(E5549=0,"",F5549/E5549-1)</f>
        <v/>
      </c>
      <c r="I5549" t="inlineStr"/>
    </row>
    <row r="5550">
      <c r="A5550" t="inlineStr">
        <is>
          <t>Gems &amp; jewellery</t>
        </is>
      </c>
      <c r="B5550" t="inlineStr">
        <is>
          <t>71</t>
        </is>
      </c>
      <c r="C5550" t="inlineStr">
        <is>
          <t>71031062</t>
        </is>
      </c>
      <c r="D5550" t="inlineStr">
        <is>
          <t>AGATE</t>
        </is>
      </c>
      <c r="E5550" s="3" t="n">
        <v>0</v>
      </c>
      <c r="F5550" s="3" t="n">
        <v>0</v>
      </c>
      <c r="G5550" s="3">
        <f>F5550-E5550</f>
        <v/>
      </c>
      <c r="H5550" s="4">
        <f>IF(E5550=0,"",F5550/E5550-1)</f>
        <v/>
      </c>
      <c r="I5550" t="inlineStr"/>
    </row>
    <row r="5551">
      <c r="A5551" t="inlineStr">
        <is>
          <t>Gems &amp; jewellery</t>
        </is>
      </c>
      <c r="B5551" t="inlineStr">
        <is>
          <t>71</t>
        </is>
      </c>
      <c r="C5551" t="inlineStr">
        <is>
          <t>71039110</t>
        </is>
      </c>
      <c r="D5551" t="inlineStr">
        <is>
          <t>RUBY</t>
        </is>
      </c>
      <c r="E5551" s="3" t="n">
        <v>0.02</v>
      </c>
      <c r="F5551" s="3" t="n">
        <v>0</v>
      </c>
      <c r="G5551" s="3">
        <f>F5551-E5551</f>
        <v/>
      </c>
      <c r="H5551" s="4">
        <f>IF(E5551=0,"",F5551/E5551-1)</f>
        <v/>
      </c>
      <c r="I5551" t="inlineStr"/>
    </row>
    <row r="5552">
      <c r="A5552" t="inlineStr">
        <is>
          <t>Gems &amp; jewellery</t>
        </is>
      </c>
      <c r="B5552" t="inlineStr">
        <is>
          <t>71</t>
        </is>
      </c>
      <c r="C5552" t="inlineStr">
        <is>
          <t>71039120</t>
        </is>
      </c>
      <c r="D5552" t="inlineStr">
        <is>
          <t>SAPPHIRE</t>
        </is>
      </c>
      <c r="E5552" s="3" t="n">
        <v>0.02</v>
      </c>
      <c r="F5552" s="3" t="n">
        <v>0</v>
      </c>
      <c r="G5552" s="3">
        <f>F5552-E5552</f>
        <v/>
      </c>
      <c r="H5552" s="4">
        <f>IF(E5552=0,"",F5552/E5552-1)</f>
        <v/>
      </c>
      <c r="I5552" t="inlineStr"/>
    </row>
    <row r="5553">
      <c r="A5553" t="inlineStr">
        <is>
          <t>Gems &amp; jewellery</t>
        </is>
      </c>
      <c r="B5553" t="inlineStr">
        <is>
          <t>71</t>
        </is>
      </c>
      <c r="C5553" t="inlineStr">
        <is>
          <t>71039130</t>
        </is>
      </c>
      <c r="D5553" t="inlineStr">
        <is>
          <t>EMERALDS</t>
        </is>
      </c>
      <c r="E5553" s="3" t="n">
        <v>0.01</v>
      </c>
      <c r="F5553" s="3" t="n">
        <v>0</v>
      </c>
      <c r="G5553" s="3">
        <f>F5553-E5553</f>
        <v/>
      </c>
      <c r="H5553" s="4">
        <f>IF(E5553=0,"",F5553/E5553-1)</f>
        <v/>
      </c>
      <c r="I5553" t="inlineStr"/>
    </row>
    <row r="5554">
      <c r="A5554" t="inlineStr">
        <is>
          <t>Gems &amp; jewellery</t>
        </is>
      </c>
      <c r="B5554" t="inlineStr">
        <is>
          <t>71</t>
        </is>
      </c>
      <c r="C5554" t="inlineStr">
        <is>
          <t>71039912</t>
        </is>
      </c>
      <c r="D5554" t="inlineStr">
        <is>
          <t>CHRYSOBERYL INCLUDING CHRYSOBERYL CATS EYE</t>
        </is>
      </c>
      <c r="E5554" s="3" t="n">
        <v>0</v>
      </c>
      <c r="F5554" s="3" t="n">
        <v>0</v>
      </c>
      <c r="G5554" s="3">
        <f>F5554-E5554</f>
        <v/>
      </c>
      <c r="H5554" s="4">
        <f>IF(E5554=0,"",F5554/E5554-1)</f>
        <v/>
      </c>
      <c r="I5554" t="inlineStr"/>
    </row>
    <row r="5555">
      <c r="A5555" t="inlineStr">
        <is>
          <t>Gems &amp; jewellery</t>
        </is>
      </c>
      <c r="B5555" t="inlineStr">
        <is>
          <t>71</t>
        </is>
      </c>
      <c r="C5555" t="inlineStr">
        <is>
          <t>71039921</t>
        </is>
      </c>
      <c r="D5555" t="inlineStr">
        <is>
          <t>MOONSTONE</t>
        </is>
      </c>
      <c r="E5555" s="3" t="n">
        <v>0</v>
      </c>
      <c r="F5555" s="3" t="n">
        <v>0</v>
      </c>
      <c r="G5555" s="3">
        <f>F5555-E5555</f>
        <v/>
      </c>
      <c r="H5555" s="4">
        <f>IF(E5555=0,"",F5555/E5555-1)</f>
        <v/>
      </c>
      <c r="I5555" t="inlineStr"/>
    </row>
    <row r="5556">
      <c r="A5556" t="inlineStr">
        <is>
          <t>Gems &amp; jewellery</t>
        </is>
      </c>
      <c r="B5556" t="inlineStr">
        <is>
          <t>71</t>
        </is>
      </c>
      <c r="C5556" t="inlineStr">
        <is>
          <t>71039931</t>
        </is>
      </c>
      <c r="D5556" t="inlineStr">
        <is>
          <t>GARNET</t>
        </is>
      </c>
      <c r="E5556" s="3" t="n">
        <v>0</v>
      </c>
      <c r="F5556" s="3" t="n">
        <v>0</v>
      </c>
      <c r="G5556" s="3">
        <f>F5556-E5556</f>
        <v/>
      </c>
      <c r="H5556" s="4">
        <f>IF(E5556=0,"",F5556/E5556-1)</f>
        <v/>
      </c>
      <c r="I5556" t="inlineStr"/>
    </row>
    <row r="5557">
      <c r="A5557" t="inlineStr">
        <is>
          <t>Gems &amp; jewellery</t>
        </is>
      </c>
      <c r="B5557" t="inlineStr">
        <is>
          <t>71</t>
        </is>
      </c>
      <c r="C5557" t="inlineStr">
        <is>
          <t>71039943</t>
        </is>
      </c>
      <c r="D5557" t="inlineStr">
        <is>
          <t>AVENTURINE</t>
        </is>
      </c>
      <c r="E5557" s="3" t="n">
        <v>0</v>
      </c>
      <c r="F5557" s="3" t="n">
        <v>0</v>
      </c>
      <c r="G5557" s="3">
        <f>F5557-E5557</f>
        <v/>
      </c>
      <c r="H5557" s="4">
        <f>IF(E5557=0,"",F5557/E5557-1)</f>
        <v/>
      </c>
      <c r="I5557" t="inlineStr"/>
    </row>
    <row r="5558">
      <c r="A5558" t="inlineStr">
        <is>
          <t>Gems &amp; jewellery</t>
        </is>
      </c>
      <c r="B5558" t="inlineStr">
        <is>
          <t>71</t>
        </is>
      </c>
      <c r="C5558" t="inlineStr">
        <is>
          <t>71039949</t>
        </is>
      </c>
      <c r="D5558" t="inlineStr">
        <is>
          <t>OTHERS-OF-Precious or semi-precious stones of Prehnite and Quartz mineralogical species-Otherwise worked</t>
        </is>
      </c>
      <c r="E5558" s="3" t="n">
        <v>0</v>
      </c>
      <c r="F5558" s="3" t="n">
        <v>0</v>
      </c>
      <c r="G5558" s="3">
        <f>F5558-E5558</f>
        <v/>
      </c>
      <c r="H5558" s="4">
        <f>IF(E5558=0,"",F5558/E5558-1)</f>
        <v/>
      </c>
      <c r="I5558" t="inlineStr"/>
    </row>
    <row r="5559">
      <c r="A5559" t="inlineStr">
        <is>
          <t>Gems &amp; jewellery</t>
        </is>
      </c>
      <c r="B5559" t="inlineStr">
        <is>
          <t>71</t>
        </is>
      </c>
      <c r="C5559" t="inlineStr">
        <is>
          <t>71039951</t>
        </is>
      </c>
      <c r="D5559" t="inlineStr">
        <is>
          <t>TOURMALINE</t>
        </is>
      </c>
      <c r="E5559" s="3" t="n">
        <v>0</v>
      </c>
      <c r="F5559" s="3" t="n">
        <v>0</v>
      </c>
      <c r="G5559" s="3">
        <f>F5559-E5559</f>
        <v/>
      </c>
      <c r="H5559" s="4">
        <f>IF(E5559=0,"",F5559/E5559-1)</f>
        <v/>
      </c>
      <c r="I5559" t="inlineStr"/>
    </row>
    <row r="5560">
      <c r="A5560" t="inlineStr">
        <is>
          <t>Gems &amp; jewellery</t>
        </is>
      </c>
      <c r="B5560" t="inlineStr">
        <is>
          <t>71</t>
        </is>
      </c>
      <c r="C5560" t="inlineStr">
        <is>
          <t>71039952</t>
        </is>
      </c>
      <c r="D5560" t="inlineStr">
        <is>
          <t>TANZANITE</t>
        </is>
      </c>
      <c r="E5560" s="3" t="n">
        <v>0.03</v>
      </c>
      <c r="F5560" s="3" t="n">
        <v>0</v>
      </c>
      <c r="G5560" s="3">
        <f>F5560-E5560</f>
        <v/>
      </c>
      <c r="H5560" s="4">
        <f>IF(E5560=0,"",F5560/E5560-1)</f>
        <v/>
      </c>
      <c r="I5560" t="inlineStr"/>
    </row>
    <row r="5561">
      <c r="A5561" t="inlineStr">
        <is>
          <t>Gems &amp; jewellery</t>
        </is>
      </c>
      <c r="B5561" t="inlineStr">
        <is>
          <t>71</t>
        </is>
      </c>
      <c r="C5561" t="inlineStr">
        <is>
          <t>71049900</t>
        </is>
      </c>
      <c r="D5561" t="inlineStr">
        <is>
          <t>OTHERS-OF-OTHERS-OF-SYNTHETIC OR RECONSTRUCTED PRECIOUS ORSEMIPRECIOUS STONES, WHETHER OR NOT WORKED OR GRADED BUT NOT STRUNG,</t>
        </is>
      </c>
      <c r="E5561" s="3" t="n">
        <v>0</v>
      </c>
      <c r="F5561" s="3" t="n">
        <v>0</v>
      </c>
      <c r="G5561" s="3">
        <f>F5561-E5561</f>
        <v/>
      </c>
      <c r="H5561" s="4">
        <f>IF(E5561=0,"",F5561/E5561-1)</f>
        <v/>
      </c>
      <c r="I5561" t="inlineStr"/>
    </row>
    <row r="5562">
      <c r="A5562" t="inlineStr">
        <is>
          <t>Gems &amp; jewellery</t>
        </is>
      </c>
      <c r="B5562" t="inlineStr">
        <is>
          <t>71</t>
        </is>
      </c>
      <c r="C5562" t="inlineStr">
        <is>
          <t>71051020</t>
        </is>
      </c>
      <c r="D5562" t="inlineStr">
        <is>
          <t>Of heading 7104</t>
        </is>
      </c>
      <c r="E5562" s="3" t="n">
        <v>0</v>
      </c>
      <c r="F5562" s="3" t="n">
        <v>0</v>
      </c>
      <c r="G5562" s="3">
        <f>F5562-E5562</f>
        <v/>
      </c>
      <c r="H5562" s="4">
        <f>IF(E5562=0,"",F5562/E5562-1)</f>
        <v/>
      </c>
      <c r="I5562" t="inlineStr"/>
    </row>
    <row r="5563">
      <c r="A5563" t="inlineStr">
        <is>
          <t>Gems &amp; jewellery</t>
        </is>
      </c>
      <c r="B5563" t="inlineStr">
        <is>
          <t>71</t>
        </is>
      </c>
      <c r="C5563" t="inlineStr">
        <is>
          <t>71131110</t>
        </is>
      </c>
      <c r="D5563" t="inlineStr">
        <is>
          <t>SILVER FILLIGREE WORK</t>
        </is>
      </c>
      <c r="E5563" s="3" t="n">
        <v>0.07000000000000001</v>
      </c>
      <c r="F5563" s="3" t="n">
        <v>0</v>
      </c>
      <c r="G5563" s="3">
        <f>F5563-E5563</f>
        <v/>
      </c>
      <c r="H5563" s="4">
        <f>IF(E5563=0,"",F5563/E5563-1)</f>
        <v/>
      </c>
      <c r="I5563" t="inlineStr"/>
    </row>
    <row r="5564">
      <c r="A5564" t="inlineStr">
        <is>
          <t>Gems &amp; jewellery</t>
        </is>
      </c>
      <c r="B5564" t="inlineStr">
        <is>
          <t>71</t>
        </is>
      </c>
      <c r="C5564" t="inlineStr">
        <is>
          <t>71131142</t>
        </is>
      </c>
      <c r="D5564" t="inlineStr">
        <is>
          <t>Other Jewellery, Studded with pearls</t>
        </is>
      </c>
      <c r="E5564" s="3" t="n">
        <v>0</v>
      </c>
      <c r="F5564" s="3" t="n">
        <v>0</v>
      </c>
      <c r="G5564" s="3">
        <f>F5564-E5564</f>
        <v/>
      </c>
      <c r="H5564" s="4">
        <f>IF(E5564=0,"",F5564/E5564-1)</f>
        <v/>
      </c>
      <c r="I5564" t="inlineStr"/>
    </row>
    <row r="5565">
      <c r="A5565" t="inlineStr">
        <is>
          <t>Gems &amp; jewellery</t>
        </is>
      </c>
      <c r="B5565" t="inlineStr">
        <is>
          <t>71</t>
        </is>
      </c>
      <c r="C5565" t="inlineStr">
        <is>
          <t>71131929</t>
        </is>
      </c>
      <c r="D5565" t="inlineStr">
        <is>
          <t>OTHERS-OF-ARTCLS OF OTHR PRCS MTL W/N PLTD OR CLAD</t>
        </is>
      </c>
      <c r="E5565" s="3" t="n">
        <v>0.01</v>
      </c>
      <c r="F5565" s="3" t="n">
        <v>0</v>
      </c>
      <c r="G5565" s="3">
        <f>F5565-E5565</f>
        <v/>
      </c>
      <c r="H5565" s="4">
        <f>IF(E5565=0,"",F5565/E5565-1)</f>
        <v/>
      </c>
      <c r="I5565" t="inlineStr"/>
    </row>
    <row r="5566">
      <c r="A5566" t="inlineStr">
        <is>
          <t>Gems &amp; jewellery</t>
        </is>
      </c>
      <c r="B5566" t="inlineStr">
        <is>
          <t>71</t>
        </is>
      </c>
      <c r="C5566" t="inlineStr">
        <is>
          <t>71161000</t>
        </is>
      </c>
      <c r="D5566" t="inlineStr">
        <is>
          <t>ARTCLS OF NATRL/CULTURED PEARLS</t>
        </is>
      </c>
      <c r="E5566" s="3" t="n">
        <v>0</v>
      </c>
      <c r="F5566" s="3" t="n">
        <v>0</v>
      </c>
      <c r="G5566" s="3">
        <f>F5566-E5566</f>
        <v/>
      </c>
      <c r="H5566" s="4">
        <f>IF(E5566=0,"",F5566/E5566-1)</f>
        <v/>
      </c>
      <c r="I5566" t="inlineStr"/>
    </row>
    <row r="5567">
      <c r="A5567" t="inlineStr">
        <is>
          <t>Gems &amp; jewellery</t>
        </is>
      </c>
      <c r="B5567" t="inlineStr">
        <is>
          <t>71</t>
        </is>
      </c>
      <c r="C5567" t="inlineStr">
        <is>
          <t>71162000</t>
        </is>
      </c>
      <c r="D5567" t="inlineStr">
        <is>
          <t>ARTICLES OF PRECIOUS OR SEMI PRECIOUS STONES(NATURAL SYNTHETIC/RECONSTRUCTED)</t>
        </is>
      </c>
      <c r="E5567" s="3" t="n">
        <v>0</v>
      </c>
      <c r="F5567" s="3" t="n">
        <v>0</v>
      </c>
      <c r="G5567" s="3">
        <f>F5567-E5567</f>
        <v/>
      </c>
      <c r="H5567" s="4">
        <f>IF(E5567=0,"",F5567/E5567-1)</f>
        <v/>
      </c>
      <c r="I5567" t="inlineStr"/>
    </row>
    <row r="5568">
      <c r="A5568" t="inlineStr">
        <is>
          <t>Gems &amp; jewellery</t>
        </is>
      </c>
      <c r="B5568" t="inlineStr">
        <is>
          <t>71</t>
        </is>
      </c>
      <c r="C5568" t="inlineStr">
        <is>
          <t>71171100</t>
        </is>
      </c>
      <c r="D5568" t="inlineStr">
        <is>
          <t>CUFF LINKS AND STUDS OF BASE METAL W/N PLATED WITH PRECIOUS METAL</t>
        </is>
      </c>
      <c r="E5568" s="3" t="n">
        <v>0.01</v>
      </c>
      <c r="F5568" s="3" t="n">
        <v>0</v>
      </c>
      <c r="G5568" s="3">
        <f>F5568-E5568</f>
        <v/>
      </c>
      <c r="H5568" s="4">
        <f>IF(E5568=0,"",F5568/E5568-1)</f>
        <v/>
      </c>
      <c r="I5568" t="inlineStr"/>
    </row>
    <row r="5569">
      <c r="A5569" s="6" t="inlineStr">
        <is>
          <t>Minerals &amp; ores  —  79 lines</t>
        </is>
      </c>
      <c r="B5569" s="6" t="inlineStr"/>
      <c r="C5569" s="6" t="inlineStr"/>
      <c r="D5569" s="6" t="inlineStr"/>
      <c r="E5569" s="7" t="n">
        <v>127.24</v>
      </c>
      <c r="F5569" s="7" t="n">
        <v>153.69</v>
      </c>
      <c r="G5569" s="7" t="n">
        <v>26.45</v>
      </c>
      <c r="H5569" s="8" t="n">
        <v>0.2078748821125422</v>
      </c>
      <c r="I5569" s="6" t="inlineStr"/>
    </row>
    <row r="5570">
      <c r="A5570" t="inlineStr">
        <is>
          <t>Minerals &amp; ores</t>
        </is>
      </c>
      <c r="B5570" t="inlineStr">
        <is>
          <t>25</t>
        </is>
      </c>
      <c r="C5570" t="inlineStr">
        <is>
          <t>25010090</t>
        </is>
      </c>
      <c r="D5570" t="inlineStr">
        <is>
          <t>OTHER SALTS</t>
        </is>
      </c>
      <c r="E5570" s="3" t="n">
        <v>32.29</v>
      </c>
      <c r="F5570" s="3" t="n">
        <v>37.7</v>
      </c>
      <c r="G5570" s="3">
        <f>F5570-E5570</f>
        <v/>
      </c>
      <c r="H5570" s="4">
        <f>IF(E5570=0,"",F5570/E5570-1)</f>
        <v/>
      </c>
      <c r="I5570" t="inlineStr"/>
    </row>
    <row r="5571">
      <c r="A5571" t="inlineStr">
        <is>
          <t>Minerals &amp; ores</t>
        </is>
      </c>
      <c r="B5571" t="inlineStr">
        <is>
          <t>25</t>
        </is>
      </c>
      <c r="C5571" t="inlineStr">
        <is>
          <t>25081090</t>
        </is>
      </c>
      <c r="D5571" t="inlineStr">
        <is>
          <t>OTHR BENTONITE (INCL. PROCESSED, ACTIVATEDAND GROUND</t>
        </is>
      </c>
      <c r="E5571" s="3" t="n">
        <v>25.27</v>
      </c>
      <c r="F5571" s="3" t="n">
        <v>36.57</v>
      </c>
      <c r="G5571" s="3">
        <f>F5571-E5571</f>
        <v/>
      </c>
      <c r="H5571" s="4">
        <f>IF(E5571=0,"",F5571/E5571-1)</f>
        <v/>
      </c>
      <c r="I5571" t="inlineStr"/>
    </row>
    <row r="5572">
      <c r="A5572" t="inlineStr">
        <is>
          <t>Minerals &amp; ores</t>
        </is>
      </c>
      <c r="B5572" t="inlineStr">
        <is>
          <t>26</t>
        </is>
      </c>
      <c r="C5572" t="inlineStr">
        <is>
          <t>26201990</t>
        </is>
      </c>
      <c r="D5572" t="inlineStr">
        <is>
          <t>OTHERS-OF-OTHER CONTAINING MAINLY LEAD :</t>
        </is>
      </c>
      <c r="E5572" s="3" t="n">
        <v>0</v>
      </c>
      <c r="F5572" s="3" t="n">
        <v>13.17</v>
      </c>
      <c r="G5572" s="3">
        <f>F5572-E5572</f>
        <v/>
      </c>
      <c r="H5572" s="4">
        <f>IF(E5572=0,"",F5572/E5572-1)</f>
        <v/>
      </c>
      <c r="I5572" t="inlineStr"/>
    </row>
    <row r="5573">
      <c r="A5573" t="inlineStr">
        <is>
          <t>Minerals &amp; ores</t>
        </is>
      </c>
      <c r="B5573" t="inlineStr">
        <is>
          <t>25</t>
        </is>
      </c>
      <c r="C5573" t="inlineStr">
        <is>
          <t>25111010</t>
        </is>
      </c>
      <c r="D5573" t="inlineStr">
        <is>
          <t>BARYTES LUMPS</t>
        </is>
      </c>
      <c r="E5573" s="3" t="n">
        <v>7.65</v>
      </c>
      <c r="F5573" s="3" t="n">
        <v>10.68</v>
      </c>
      <c r="G5573" s="3">
        <f>F5573-E5573</f>
        <v/>
      </c>
      <c r="H5573" s="4">
        <f>IF(E5573=0,"",F5573/E5573-1)</f>
        <v/>
      </c>
      <c r="I5573" t="inlineStr"/>
    </row>
    <row r="5574">
      <c r="A5574" t="inlineStr">
        <is>
          <t>Minerals &amp; ores</t>
        </is>
      </c>
      <c r="B5574" t="inlineStr">
        <is>
          <t>25</t>
        </is>
      </c>
      <c r="C5574" t="inlineStr">
        <is>
          <t>25061020</t>
        </is>
      </c>
      <c r="D5574" t="inlineStr">
        <is>
          <t>QUARTZ, POWDER</t>
        </is>
      </c>
      <c r="E5574" s="3" t="n">
        <v>10.66</v>
      </c>
      <c r="F5574" s="3" t="n">
        <v>10.22</v>
      </c>
      <c r="G5574" s="3">
        <f>F5574-E5574</f>
        <v/>
      </c>
      <c r="H5574" s="4">
        <f>IF(E5574=0,"",F5574/E5574-1)</f>
        <v/>
      </c>
      <c r="I5574" t="inlineStr"/>
    </row>
    <row r="5575">
      <c r="A5575" t="inlineStr">
        <is>
          <t>Minerals &amp; ores</t>
        </is>
      </c>
      <c r="B5575" t="inlineStr">
        <is>
          <t>25</t>
        </is>
      </c>
      <c r="C5575" t="inlineStr">
        <is>
          <t>25010010</t>
        </is>
      </c>
      <c r="D5575" t="inlineStr">
        <is>
          <t>COMMON SALT(INCL. IODISED SALT)</t>
        </is>
      </c>
      <c r="E5575" s="3" t="n">
        <v>5.74</v>
      </c>
      <c r="F5575" s="3" t="n">
        <v>7.86</v>
      </c>
      <c r="G5575" s="3">
        <f>F5575-E5575</f>
        <v/>
      </c>
      <c r="H5575" s="4">
        <f>IF(E5575=0,"",F5575/E5575-1)</f>
        <v/>
      </c>
      <c r="I5575" t="inlineStr"/>
    </row>
    <row r="5576">
      <c r="A5576" t="inlineStr">
        <is>
          <t>Minerals &amp; ores</t>
        </is>
      </c>
      <c r="B5576" t="inlineStr">
        <is>
          <t>25</t>
        </is>
      </c>
      <c r="C5576" t="inlineStr">
        <is>
          <t>25132030</t>
        </is>
      </c>
      <c r="D5576" t="inlineStr">
        <is>
          <t>NATURAL GARNET</t>
        </is>
      </c>
      <c r="E5576" s="3" t="n">
        <v>4.1</v>
      </c>
      <c r="F5576" s="3" t="n">
        <v>6.74</v>
      </c>
      <c r="G5576" s="3">
        <f>F5576-E5576</f>
        <v/>
      </c>
      <c r="H5576" s="4">
        <f>IF(E5576=0,"",F5576/E5576-1)</f>
        <v/>
      </c>
      <c r="I5576" t="inlineStr"/>
    </row>
    <row r="5577">
      <c r="A5577" t="inlineStr">
        <is>
          <t>Minerals &amp; ores</t>
        </is>
      </c>
      <c r="B5577" t="inlineStr">
        <is>
          <t>25</t>
        </is>
      </c>
      <c r="C5577" t="inlineStr">
        <is>
          <t>25061010</t>
        </is>
      </c>
      <c r="D5577" t="inlineStr">
        <is>
          <t>QUARTZ, LUMPS</t>
        </is>
      </c>
      <c r="E5577" s="3" t="n">
        <v>1.26</v>
      </c>
      <c r="F5577" s="3" t="n">
        <v>4.86</v>
      </c>
      <c r="G5577" s="3">
        <f>F5577-E5577</f>
        <v/>
      </c>
      <c r="H5577" s="4">
        <f>IF(E5577=0,"",F5577/E5577-1)</f>
        <v/>
      </c>
      <c r="I5577" t="inlineStr"/>
    </row>
    <row r="5578">
      <c r="A5578" t="inlineStr">
        <is>
          <t>Minerals &amp; ores</t>
        </is>
      </c>
      <c r="B5578" t="inlineStr">
        <is>
          <t>26</t>
        </is>
      </c>
      <c r="C5578" t="inlineStr">
        <is>
          <t>26219000</t>
        </is>
      </c>
      <c r="D5578" t="inlineStr">
        <is>
          <t>ASH AND RESIDUES FROM INCINERATION OF OTHERTHAN MUNICIPAL WASTE</t>
        </is>
      </c>
      <c r="E5578" s="3" t="n">
        <v>2.91</v>
      </c>
      <c r="F5578" s="3" t="n">
        <v>4.78</v>
      </c>
      <c r="G5578" s="3">
        <f>F5578-E5578</f>
        <v/>
      </c>
      <c r="H5578" s="4">
        <f>IF(E5578=0,"",F5578/E5578-1)</f>
        <v/>
      </c>
      <c r="I5578" t="inlineStr"/>
    </row>
    <row r="5579">
      <c r="A5579" t="inlineStr">
        <is>
          <t>Minerals &amp; ores</t>
        </is>
      </c>
      <c r="B5579" t="inlineStr">
        <is>
          <t>25</t>
        </is>
      </c>
      <c r="C5579" t="inlineStr">
        <is>
          <t>25291020</t>
        </is>
      </c>
      <c r="D5579" t="inlineStr">
        <is>
          <t>FELSPAR POWDER</t>
        </is>
      </c>
      <c r="E5579" s="3" t="n">
        <v>5.56</v>
      </c>
      <c r="F5579" s="3" t="n">
        <v>3.51</v>
      </c>
      <c r="G5579" s="3">
        <f>F5579-E5579</f>
        <v/>
      </c>
      <c r="H5579" s="4">
        <f>IF(E5579=0,"",F5579/E5579-1)</f>
        <v/>
      </c>
      <c r="I5579" t="inlineStr"/>
    </row>
    <row r="5580">
      <c r="A5580" t="inlineStr">
        <is>
          <t>Minerals &amp; ores</t>
        </is>
      </c>
      <c r="B5580" t="inlineStr">
        <is>
          <t>25</t>
        </is>
      </c>
      <c r="C5580" t="inlineStr">
        <is>
          <t>25111020</t>
        </is>
      </c>
      <c r="D5580" t="inlineStr">
        <is>
          <t>BARYTES POWDER</t>
        </is>
      </c>
      <c r="E5580" s="3" t="n">
        <v>10.4</v>
      </c>
      <c r="F5580" s="3" t="n">
        <v>3.26</v>
      </c>
      <c r="G5580" s="3">
        <f>F5580-E5580</f>
        <v/>
      </c>
      <c r="H5580" s="4">
        <f>IF(E5580=0,"",F5580/E5580-1)</f>
        <v/>
      </c>
      <c r="I5580" t="inlineStr"/>
    </row>
    <row r="5581">
      <c r="A5581" t="inlineStr">
        <is>
          <t>Minerals &amp; ores</t>
        </is>
      </c>
      <c r="B5581" t="inlineStr">
        <is>
          <t>25</t>
        </is>
      </c>
      <c r="C5581" t="inlineStr">
        <is>
          <t>25262000</t>
        </is>
      </c>
      <c r="D5581" t="inlineStr">
        <is>
          <t>NATRL STEATITE CRUSHED/POWDERED</t>
        </is>
      </c>
      <c r="E5581" s="3" t="n">
        <v>2.39</v>
      </c>
      <c r="F5581" s="3" t="n">
        <v>2.28</v>
      </c>
      <c r="G5581" s="3">
        <f>F5581-E5581</f>
        <v/>
      </c>
      <c r="H5581" s="4">
        <f>IF(E5581=0,"",F5581/E5581-1)</f>
        <v/>
      </c>
      <c r="I5581" t="inlineStr"/>
    </row>
    <row r="5582">
      <c r="A5582" t="inlineStr">
        <is>
          <t>Minerals &amp; ores</t>
        </is>
      </c>
      <c r="B5582" t="inlineStr">
        <is>
          <t>26</t>
        </is>
      </c>
      <c r="C5582" t="inlineStr">
        <is>
          <t>26060010</t>
        </is>
      </c>
      <c r="D5582" t="inlineStr">
        <is>
          <t>BAUXITE (NATURAL) NOT CALCINED</t>
        </is>
      </c>
      <c r="E5582" s="3" t="n">
        <v>0</v>
      </c>
      <c r="F5582" s="3" t="n">
        <v>1.53</v>
      </c>
      <c r="G5582" s="3">
        <f>F5582-E5582</f>
        <v/>
      </c>
      <c r="H5582" s="4">
        <f>IF(E5582=0,"",F5582/E5582-1)</f>
        <v/>
      </c>
      <c r="I5582" t="inlineStr"/>
    </row>
    <row r="5583">
      <c r="A5583" t="inlineStr">
        <is>
          <t>Minerals &amp; ores</t>
        </is>
      </c>
      <c r="B5583" t="inlineStr">
        <is>
          <t>25</t>
        </is>
      </c>
      <c r="C5583" t="inlineStr">
        <is>
          <t>25070010</t>
        </is>
      </c>
      <c r="D5583" t="inlineStr">
        <is>
          <t>KAOLIN (CHINA CLAY) CRUDE</t>
        </is>
      </c>
      <c r="E5583" s="3" t="n">
        <v>0.68</v>
      </c>
      <c r="F5583" s="3" t="n">
        <v>1.4</v>
      </c>
      <c r="G5583" s="3">
        <f>F5583-E5583</f>
        <v/>
      </c>
      <c r="H5583" s="4">
        <f>IF(E5583=0,"",F5583/E5583-1)</f>
        <v/>
      </c>
      <c r="I5583" t="inlineStr"/>
    </row>
    <row r="5584">
      <c r="A5584" t="inlineStr">
        <is>
          <t>Minerals &amp; ores</t>
        </is>
      </c>
      <c r="B5584" t="inlineStr">
        <is>
          <t>25</t>
        </is>
      </c>
      <c r="C5584" t="inlineStr">
        <is>
          <t>25280090</t>
        </is>
      </c>
      <c r="D5584" t="inlineStr">
        <is>
          <t>OTHER NATURAL BORATES AND CONCENTRATE THEREOF</t>
        </is>
      </c>
      <c r="E5584" s="3" t="n">
        <v>0</v>
      </c>
      <c r="F5584" s="3" t="n">
        <v>1.15</v>
      </c>
      <c r="G5584" s="3">
        <f>F5584-E5584</f>
        <v/>
      </c>
      <c r="H5584" s="4">
        <f>IF(E5584=0,"",F5584/E5584-1)</f>
        <v/>
      </c>
      <c r="I5584" t="inlineStr"/>
    </row>
    <row r="5585">
      <c r="A5585" t="inlineStr">
        <is>
          <t>Minerals &amp; ores</t>
        </is>
      </c>
      <c r="B5585" t="inlineStr">
        <is>
          <t>26</t>
        </is>
      </c>
      <c r="C5585" t="inlineStr">
        <is>
          <t>26180000</t>
        </is>
      </c>
      <c r="D5585" t="inlineStr">
        <is>
          <t>GRNULATD SLAG(SLAG SAND) FROM IRON/STEEL</t>
        </is>
      </c>
      <c r="E5585" s="3" t="n">
        <v>0.71</v>
      </c>
      <c r="F5585" s="3" t="n">
        <v>1.04</v>
      </c>
      <c r="G5585" s="3">
        <f>F5585-E5585</f>
        <v/>
      </c>
      <c r="H5585" s="4">
        <f>IF(E5585=0,"",F5585/E5585-1)</f>
        <v/>
      </c>
      <c r="I5585" t="inlineStr"/>
    </row>
    <row r="5586">
      <c r="A5586" t="inlineStr">
        <is>
          <t>Minerals &amp; ores</t>
        </is>
      </c>
      <c r="B5586" t="inlineStr">
        <is>
          <t>25</t>
        </is>
      </c>
      <c r="C5586" t="inlineStr">
        <is>
          <t>25030010</t>
        </is>
      </c>
      <c r="D5586" t="inlineStr">
        <is>
          <t>SULPHUR RECOVERED AS BY-PRODUCT IN REFINING OF CRUDE OIL</t>
        </is>
      </c>
      <c r="E5586" s="3" t="n">
        <v>0.54</v>
      </c>
      <c r="F5586" s="3" t="n">
        <v>0.9399999999999999</v>
      </c>
      <c r="G5586" s="3">
        <f>F5586-E5586</f>
        <v/>
      </c>
      <c r="H5586" s="4">
        <f>IF(E5586=0,"",F5586/E5586-1)</f>
        <v/>
      </c>
      <c r="I5586" t="inlineStr"/>
    </row>
    <row r="5587">
      <c r="A5587" t="inlineStr">
        <is>
          <t>Minerals &amp; ores</t>
        </is>
      </c>
      <c r="B5587" t="inlineStr">
        <is>
          <t>25</t>
        </is>
      </c>
      <c r="C5587" t="inlineStr">
        <is>
          <t>25162000</t>
        </is>
      </c>
      <c r="D5587" t="inlineStr">
        <is>
          <t>SANDSTONE</t>
        </is>
      </c>
      <c r="E5587" s="3" t="n">
        <v>1.85</v>
      </c>
      <c r="F5587" s="3" t="n">
        <v>0.75</v>
      </c>
      <c r="G5587" s="3">
        <f>F5587-E5587</f>
        <v/>
      </c>
      <c r="H5587" s="4">
        <f>IF(E5587=0,"",F5587/E5587-1)</f>
        <v/>
      </c>
      <c r="I5587" t="inlineStr"/>
    </row>
    <row r="5588">
      <c r="A5588" t="inlineStr">
        <is>
          <t>Minerals &amp; ores</t>
        </is>
      </c>
      <c r="B5588" t="inlineStr">
        <is>
          <t>25</t>
        </is>
      </c>
      <c r="C5588" t="inlineStr">
        <is>
          <t>25070022</t>
        </is>
      </c>
      <c r="D5588" t="inlineStr">
        <is>
          <t>OTHER KAOLINE-CERSMIC GRADE</t>
        </is>
      </c>
      <c r="E5588" s="3" t="n">
        <v>7.58</v>
      </c>
      <c r="F5588" s="3" t="n">
        <v>0.61</v>
      </c>
      <c r="G5588" s="3">
        <f>F5588-E5588</f>
        <v/>
      </c>
      <c r="H5588" s="4">
        <f>IF(E5588=0,"",F5588/E5588-1)</f>
        <v/>
      </c>
      <c r="I5588" t="inlineStr"/>
    </row>
    <row r="5589">
      <c r="A5589" t="inlineStr">
        <is>
          <t>Minerals &amp; ores</t>
        </is>
      </c>
      <c r="B5589" t="inlineStr">
        <is>
          <t>25</t>
        </is>
      </c>
      <c r="C5589" t="inlineStr">
        <is>
          <t>25084010</t>
        </is>
      </c>
      <c r="D5589" t="inlineStr">
        <is>
          <t>BALL CLAY</t>
        </is>
      </c>
      <c r="E5589" s="3" t="n">
        <v>0.04</v>
      </c>
      <c r="F5589" s="3" t="n">
        <v>0.55</v>
      </c>
      <c r="G5589" s="3">
        <f>F5589-E5589</f>
        <v/>
      </c>
      <c r="H5589" s="4">
        <f>IF(E5589=0,"",F5589/E5589-1)</f>
        <v/>
      </c>
      <c r="I5589" t="inlineStr"/>
    </row>
    <row r="5590">
      <c r="A5590" t="inlineStr">
        <is>
          <t>Minerals &amp; ores</t>
        </is>
      </c>
      <c r="B5590" t="inlineStr">
        <is>
          <t>25</t>
        </is>
      </c>
      <c r="C5590" t="inlineStr">
        <is>
          <t>25161200</t>
        </is>
      </c>
      <c r="D5590" t="inlineStr">
        <is>
          <t>GRANITE MERELY CUT INTO BLOCK/SLABS OF RECTANGULAR (INCL SQR) SHAPE</t>
        </is>
      </c>
      <c r="E5590" s="3" t="n">
        <v>0.09</v>
      </c>
      <c r="F5590" s="3" t="n">
        <v>0.41</v>
      </c>
      <c r="G5590" s="3">
        <f>F5590-E5590</f>
        <v/>
      </c>
      <c r="H5590" s="4">
        <f>IF(E5590=0,"",F5590/E5590-1)</f>
        <v/>
      </c>
      <c r="I5590" t="inlineStr"/>
    </row>
    <row r="5591">
      <c r="A5591" t="inlineStr">
        <is>
          <t>Minerals &amp; ores</t>
        </is>
      </c>
      <c r="B5591" t="inlineStr">
        <is>
          <t>25</t>
        </is>
      </c>
      <c r="C5591" t="inlineStr">
        <is>
          <t>25169090</t>
        </is>
      </c>
      <c r="D5591" t="inlineStr">
        <is>
          <t>OTHER MONUMENTAL OR BUILDING STONE NES</t>
        </is>
      </c>
      <c r="E5591" s="3" t="n">
        <v>0.07000000000000001</v>
      </c>
      <c r="F5591" s="3" t="n">
        <v>0.39</v>
      </c>
      <c r="G5591" s="3">
        <f>F5591-E5591</f>
        <v/>
      </c>
      <c r="H5591" s="4">
        <f>IF(E5591=0,"",F5591/E5591-1)</f>
        <v/>
      </c>
      <c r="I5591" t="inlineStr"/>
    </row>
    <row r="5592">
      <c r="A5592" t="inlineStr">
        <is>
          <t>Minerals &amp; ores</t>
        </is>
      </c>
      <c r="B5592" t="inlineStr">
        <is>
          <t>25</t>
        </is>
      </c>
      <c r="C5592" t="inlineStr">
        <is>
          <t>25252090</t>
        </is>
      </c>
      <c r="D5592" t="inlineStr">
        <is>
          <t>OTHER MICA POWDER</t>
        </is>
      </c>
      <c r="E5592" s="3" t="n">
        <v>0.47</v>
      </c>
      <c r="F5592" s="3" t="n">
        <v>0.35</v>
      </c>
      <c r="G5592" s="3">
        <f>F5592-E5592</f>
        <v/>
      </c>
      <c r="H5592" s="4">
        <f>IF(E5592=0,"",F5592/E5592-1)</f>
        <v/>
      </c>
      <c r="I5592" t="inlineStr"/>
    </row>
    <row r="5593">
      <c r="A5593" t="inlineStr">
        <is>
          <t>Minerals &amp; ores</t>
        </is>
      </c>
      <c r="B5593" t="inlineStr">
        <is>
          <t>25</t>
        </is>
      </c>
      <c r="C5593" t="inlineStr">
        <is>
          <t>25070029</t>
        </is>
      </c>
      <c r="D5593" t="inlineStr">
        <is>
          <t>OTHER KAOLINE NES</t>
        </is>
      </c>
      <c r="E5593" s="3" t="n">
        <v>0.42</v>
      </c>
      <c r="F5593" s="3" t="n">
        <v>0.28</v>
      </c>
      <c r="G5593" s="3">
        <f>F5593-E5593</f>
        <v/>
      </c>
      <c r="H5593" s="4">
        <f>IF(E5593=0,"",F5593/E5593-1)</f>
        <v/>
      </c>
      <c r="I5593" t="inlineStr"/>
    </row>
    <row r="5594">
      <c r="A5594" t="inlineStr">
        <is>
          <t>Minerals &amp; ores</t>
        </is>
      </c>
      <c r="B5594" t="inlineStr">
        <is>
          <t>25</t>
        </is>
      </c>
      <c r="C5594" t="inlineStr">
        <is>
          <t>25084090</t>
        </is>
      </c>
      <c r="D5594" t="inlineStr">
        <is>
          <t>OTHER CLAYS, NES</t>
        </is>
      </c>
      <c r="E5594" s="3" t="n">
        <v>0.76</v>
      </c>
      <c r="F5594" s="3" t="n">
        <v>0.25</v>
      </c>
      <c r="G5594" s="3">
        <f>F5594-E5594</f>
        <v/>
      </c>
      <c r="H5594" s="4">
        <f>IF(E5594=0,"",F5594/E5594-1)</f>
        <v/>
      </c>
      <c r="I5594" t="inlineStr"/>
    </row>
    <row r="5595">
      <c r="A5595" t="inlineStr">
        <is>
          <t>Minerals &amp; ores</t>
        </is>
      </c>
      <c r="B5595" t="inlineStr">
        <is>
          <t>25</t>
        </is>
      </c>
      <c r="C5595" t="inlineStr">
        <is>
          <t>25161100</t>
        </is>
      </c>
      <c r="D5595" t="inlineStr">
        <is>
          <t>GRANITE CRUDE OR ROUGHLY TRIMMED</t>
        </is>
      </c>
      <c r="E5595" s="3" t="n">
        <v>0</v>
      </c>
      <c r="F5595" s="3" t="n">
        <v>0.24</v>
      </c>
      <c r="G5595" s="3">
        <f>F5595-E5595</f>
        <v/>
      </c>
      <c r="H5595" s="4">
        <f>IF(E5595=0,"",F5595/E5595-1)</f>
        <v/>
      </c>
      <c r="I5595" t="inlineStr"/>
    </row>
    <row r="5596">
      <c r="A5596" t="inlineStr">
        <is>
          <t>Minerals &amp; ores</t>
        </is>
      </c>
      <c r="B5596" t="inlineStr">
        <is>
          <t>25</t>
        </is>
      </c>
      <c r="C5596" t="inlineStr">
        <is>
          <t>25291010</t>
        </is>
      </c>
      <c r="D5596" t="inlineStr">
        <is>
          <t>FELSPAR LUMPS</t>
        </is>
      </c>
      <c r="E5596" s="3" t="n">
        <v>0.4</v>
      </c>
      <c r="F5596" s="3" t="n">
        <v>0.24</v>
      </c>
      <c r="G5596" s="3">
        <f>F5596-E5596</f>
        <v/>
      </c>
      <c r="H5596" s="4">
        <f>IF(E5596=0,"",F5596/E5596-1)</f>
        <v/>
      </c>
      <c r="I5596" t="inlineStr"/>
    </row>
    <row r="5597">
      <c r="A5597" t="inlineStr">
        <is>
          <t>Minerals &amp; ores</t>
        </is>
      </c>
      <c r="B5597" t="inlineStr">
        <is>
          <t>25</t>
        </is>
      </c>
      <c r="C5597" t="inlineStr">
        <is>
          <t>25233000</t>
        </is>
      </c>
      <c r="D5597" t="inlineStr">
        <is>
          <t>ALUMINOUS CEMENT</t>
        </is>
      </c>
      <c r="E5597" s="3" t="n">
        <v>0.2</v>
      </c>
      <c r="F5597" s="3" t="n">
        <v>0.21</v>
      </c>
      <c r="G5597" s="3">
        <f>F5597-E5597</f>
        <v/>
      </c>
      <c r="H5597" s="4">
        <f>IF(E5597=0,"",F5597/E5597-1)</f>
        <v/>
      </c>
      <c r="I5597" t="inlineStr"/>
    </row>
    <row r="5598">
      <c r="A5598" t="inlineStr">
        <is>
          <t>Minerals &amp; ores</t>
        </is>
      </c>
      <c r="B5598" t="inlineStr">
        <is>
          <t>25</t>
        </is>
      </c>
      <c r="C5598" t="inlineStr">
        <is>
          <t>25120030</t>
        </is>
      </c>
      <c r="D5598" t="inlineStr">
        <is>
          <t>DIATOMITE</t>
        </is>
      </c>
      <c r="E5598" s="3" t="n">
        <v>0.08</v>
      </c>
      <c r="F5598" s="3" t="n">
        <v>0.17</v>
      </c>
      <c r="G5598" s="3">
        <f>F5598-E5598</f>
        <v/>
      </c>
      <c r="H5598" s="4">
        <f>IF(E5598=0,"",F5598/E5598-1)</f>
        <v/>
      </c>
      <c r="I5598" t="inlineStr"/>
    </row>
    <row r="5599">
      <c r="A5599" t="inlineStr">
        <is>
          <t>Minerals &amp; ores</t>
        </is>
      </c>
      <c r="B5599" t="inlineStr">
        <is>
          <t>25</t>
        </is>
      </c>
      <c r="C5599" t="inlineStr">
        <is>
          <t>25261090</t>
        </is>
      </c>
      <c r="D5599" t="inlineStr">
        <is>
          <t>OTHER NATRLSTEATITE NOT CRUSHED NOT PWORD</t>
        </is>
      </c>
      <c r="E5599" s="3" t="n">
        <v>0</v>
      </c>
      <c r="F5599" s="3" t="n">
        <v>0.16</v>
      </c>
      <c r="G5599" s="3">
        <f>F5599-E5599</f>
        <v/>
      </c>
      <c r="H5599" s="4">
        <f>IF(E5599=0,"",F5599/E5599-1)</f>
        <v/>
      </c>
      <c r="I5599" t="inlineStr"/>
    </row>
    <row r="5600">
      <c r="A5600" t="inlineStr">
        <is>
          <t>Minerals &amp; ores</t>
        </is>
      </c>
      <c r="B5600" t="inlineStr">
        <is>
          <t>25</t>
        </is>
      </c>
      <c r="C5600" t="inlineStr">
        <is>
          <t>25086000</t>
        </is>
      </c>
      <c r="D5600" t="inlineStr">
        <is>
          <t>MULLITE</t>
        </is>
      </c>
      <c r="E5600" s="3" t="n">
        <v>0</v>
      </c>
      <c r="F5600" s="3" t="n">
        <v>0.13</v>
      </c>
      <c r="G5600" s="3">
        <f>F5600-E5600</f>
        <v/>
      </c>
      <c r="H5600" s="4">
        <f>IF(E5600=0,"",F5600/E5600-1)</f>
        <v/>
      </c>
      <c r="I5600" t="inlineStr"/>
    </row>
    <row r="5601">
      <c r="A5601" t="inlineStr">
        <is>
          <t>Minerals &amp; ores</t>
        </is>
      </c>
      <c r="B5601" t="inlineStr">
        <is>
          <t>25</t>
        </is>
      </c>
      <c r="C5601" t="inlineStr">
        <is>
          <t>25174100</t>
        </is>
      </c>
      <c r="D5601" t="inlineStr">
        <is>
          <t>GRANULES CHPPING AND POWDR OF MARBLE</t>
        </is>
      </c>
      <c r="E5601" s="3" t="n">
        <v>0.18</v>
      </c>
      <c r="F5601" s="3" t="n">
        <v>0.12</v>
      </c>
      <c r="G5601" s="3">
        <f>F5601-E5601</f>
        <v/>
      </c>
      <c r="H5601" s="4">
        <f>IF(E5601=0,"",F5601/E5601-1)</f>
        <v/>
      </c>
      <c r="I5601" t="inlineStr"/>
    </row>
    <row r="5602">
      <c r="A5602" t="inlineStr">
        <is>
          <t>Minerals &amp; ores</t>
        </is>
      </c>
      <c r="B5602" t="inlineStr">
        <is>
          <t>25</t>
        </is>
      </c>
      <c r="C5602" t="inlineStr">
        <is>
          <t>25199040</t>
        </is>
      </c>
      <c r="D5602" t="inlineStr">
        <is>
          <t>MAGNESIUM OXIDE</t>
        </is>
      </c>
      <c r="E5602" s="3" t="n">
        <v>0.11</v>
      </c>
      <c r="F5602" s="3" t="n">
        <v>0.12</v>
      </c>
      <c r="G5602" s="3">
        <f>F5602-E5602</f>
        <v/>
      </c>
      <c r="H5602" s="4">
        <f>IF(E5602=0,"",F5602/E5602-1)</f>
        <v/>
      </c>
      <c r="I5602" t="inlineStr"/>
    </row>
    <row r="5603">
      <c r="A5603" t="inlineStr">
        <is>
          <t>Minerals &amp; ores</t>
        </is>
      </c>
      <c r="B5603" t="inlineStr">
        <is>
          <t>25</t>
        </is>
      </c>
      <c r="C5603" t="inlineStr">
        <is>
          <t>25041010</t>
        </is>
      </c>
      <c r="D5603" t="inlineStr">
        <is>
          <t>GRAPHITE CRYSTALLINE (FLAKES/POWDER)</t>
        </is>
      </c>
      <c r="E5603" s="3" t="n">
        <v>0</v>
      </c>
      <c r="F5603" s="3" t="n">
        <v>0.11</v>
      </c>
      <c r="G5603" s="3">
        <f>F5603-E5603</f>
        <v/>
      </c>
      <c r="H5603" s="4">
        <f>IF(E5603=0,"",F5603/E5603-1)</f>
        <v/>
      </c>
      <c r="I5603" t="inlineStr"/>
    </row>
    <row r="5604">
      <c r="A5604" t="inlineStr">
        <is>
          <t>Minerals &amp; ores</t>
        </is>
      </c>
      <c r="B5604" t="inlineStr">
        <is>
          <t>25</t>
        </is>
      </c>
      <c r="C5604" t="inlineStr">
        <is>
          <t>25085032</t>
        </is>
      </c>
      <c r="D5604" t="inlineStr">
        <is>
          <t>SILLIMANTE FINES (INCLDNG SILLIMANTE SAND)</t>
        </is>
      </c>
      <c r="E5604" s="3" t="n">
        <v>0</v>
      </c>
      <c r="F5604" s="3" t="n">
        <v>0.11</v>
      </c>
      <c r="G5604" s="3">
        <f>F5604-E5604</f>
        <v/>
      </c>
      <c r="H5604" s="4">
        <f>IF(E5604=0,"",F5604/E5604-1)</f>
        <v/>
      </c>
      <c r="I5604" t="inlineStr"/>
    </row>
    <row r="5605">
      <c r="A5605" t="inlineStr">
        <is>
          <t>Minerals &amp; ores</t>
        </is>
      </c>
      <c r="B5605" t="inlineStr">
        <is>
          <t>25</t>
        </is>
      </c>
      <c r="C5605" t="inlineStr">
        <is>
          <t>25140000</t>
        </is>
      </c>
      <c r="D5605" t="inlineStr">
        <is>
          <t>SLATE W/N ROUGHLY TRMMD/MERELY CUT BY SAWING/OTHRWSE INTO BLKS/SLBS OF A RCTNGLR AND SQ SHAPE</t>
        </is>
      </c>
      <c r="E5605" s="3" t="n">
        <v>0.15</v>
      </c>
      <c r="F5605" s="3" t="n">
        <v>0.1</v>
      </c>
      <c r="G5605" s="3">
        <f>F5605-E5605</f>
        <v/>
      </c>
      <c r="H5605" s="4">
        <f>IF(E5605=0,"",F5605/E5605-1)</f>
        <v/>
      </c>
      <c r="I5605" t="inlineStr"/>
    </row>
    <row r="5606">
      <c r="A5606" t="inlineStr">
        <is>
          <t>Minerals &amp; ores</t>
        </is>
      </c>
      <c r="B5606" t="inlineStr">
        <is>
          <t>25</t>
        </is>
      </c>
      <c r="C5606" t="inlineStr">
        <is>
          <t>25085022</t>
        </is>
      </c>
      <c r="D5606" t="inlineStr">
        <is>
          <t>KYANITE PROCESSED OTHER THAN CALCINED WASHED OR CRND OR SCREENED/BENEFICIATED)</t>
        </is>
      </c>
      <c r="E5606" s="3" t="n">
        <v>0</v>
      </c>
      <c r="F5606" s="3" t="n">
        <v>0.09</v>
      </c>
      <c r="G5606" s="3">
        <f>F5606-E5606</f>
        <v/>
      </c>
      <c r="H5606" s="4">
        <f>IF(E5606=0,"",F5606/E5606-1)</f>
        <v/>
      </c>
      <c r="I5606" t="inlineStr"/>
    </row>
    <row r="5607">
      <c r="A5607" t="inlineStr">
        <is>
          <t>Minerals &amp; ores</t>
        </is>
      </c>
      <c r="B5607" t="inlineStr">
        <is>
          <t>25</t>
        </is>
      </c>
      <c r="C5607" t="inlineStr">
        <is>
          <t>25010020</t>
        </is>
      </c>
      <c r="D5607" t="inlineStr">
        <is>
          <t>ROCK SALT</t>
        </is>
      </c>
      <c r="E5607" s="3" t="n">
        <v>0.07000000000000001</v>
      </c>
      <c r="F5607" s="3" t="n">
        <v>0.08</v>
      </c>
      <c r="G5607" s="3">
        <f>F5607-E5607</f>
        <v/>
      </c>
      <c r="H5607" s="4">
        <f>IF(E5607=0,"",F5607/E5607-1)</f>
        <v/>
      </c>
      <c r="I5607" t="inlineStr"/>
    </row>
    <row r="5608">
      <c r="A5608" t="inlineStr">
        <is>
          <t>Minerals &amp; ores</t>
        </is>
      </c>
      <c r="B5608" t="inlineStr">
        <is>
          <t>25</t>
        </is>
      </c>
      <c r="C5608" t="inlineStr">
        <is>
          <t>25252030</t>
        </is>
      </c>
      <c r="D5608" t="inlineStr">
        <is>
          <t>MICA POWDER -MICRONISED</t>
        </is>
      </c>
      <c r="E5608" s="3" t="n">
        <v>0.18</v>
      </c>
      <c r="F5608" s="3" t="n">
        <v>0.08</v>
      </c>
      <c r="G5608" s="3">
        <f>F5608-E5608</f>
        <v/>
      </c>
      <c r="H5608" s="4">
        <f>IF(E5608=0,"",F5608/E5608-1)</f>
        <v/>
      </c>
      <c r="I5608" t="inlineStr"/>
    </row>
    <row r="5609">
      <c r="A5609" t="inlineStr">
        <is>
          <t>Minerals &amp; ores</t>
        </is>
      </c>
      <c r="B5609" t="inlineStr">
        <is>
          <t>25</t>
        </is>
      </c>
      <c r="C5609" t="inlineStr">
        <is>
          <t>25151220</t>
        </is>
      </c>
      <c r="D5609" t="inlineStr">
        <is>
          <t>SLABS MARBLE AND TRAVERTINE</t>
        </is>
      </c>
      <c r="E5609" s="3" t="n">
        <v>0.78</v>
      </c>
      <c r="F5609" s="3" t="n">
        <v>0.07000000000000001</v>
      </c>
      <c r="G5609" s="3">
        <f>F5609-E5609</f>
        <v/>
      </c>
      <c r="H5609" s="4">
        <f>IF(E5609=0,"",F5609/E5609-1)</f>
        <v/>
      </c>
      <c r="I5609" t="inlineStr"/>
    </row>
    <row r="5610">
      <c r="A5610" t="inlineStr">
        <is>
          <t>Minerals &amp; ores</t>
        </is>
      </c>
      <c r="B5610" t="inlineStr">
        <is>
          <t>25</t>
        </is>
      </c>
      <c r="C5610" t="inlineStr">
        <is>
          <t>25181000</t>
        </is>
      </c>
      <c r="D5610" t="inlineStr">
        <is>
          <t>DOLOMITE NOT CALCINED OR SINTERED</t>
        </is>
      </c>
      <c r="E5610" s="3" t="n">
        <v>0.02</v>
      </c>
      <c r="F5610" s="3" t="n">
        <v>0.07000000000000001</v>
      </c>
      <c r="G5610" s="3">
        <f>F5610-E5610</f>
        <v/>
      </c>
      <c r="H5610" s="4">
        <f>IF(E5610=0,"",F5610/E5610-1)</f>
        <v/>
      </c>
      <c r="I5610" t="inlineStr"/>
    </row>
    <row r="5611">
      <c r="A5611" t="inlineStr">
        <is>
          <t>Minerals &amp; ores</t>
        </is>
      </c>
      <c r="B5611" t="inlineStr">
        <is>
          <t>25</t>
        </is>
      </c>
      <c r="C5611" t="inlineStr">
        <is>
          <t>25202090</t>
        </is>
      </c>
      <c r="D5611" t="inlineStr">
        <is>
          <t>PLASTERS OTHER THAN CALCINED</t>
        </is>
      </c>
      <c r="E5611" s="3" t="n">
        <v>0.04</v>
      </c>
      <c r="F5611" s="3" t="n">
        <v>0.04</v>
      </c>
      <c r="G5611" s="3">
        <f>F5611-E5611</f>
        <v/>
      </c>
      <c r="H5611" s="4">
        <f>IF(E5611=0,"",F5611/E5611-1)</f>
        <v/>
      </c>
      <c r="I5611" t="inlineStr"/>
    </row>
    <row r="5612">
      <c r="A5612" t="inlineStr">
        <is>
          <t>Minerals &amp; ores</t>
        </is>
      </c>
      <c r="B5612" t="inlineStr">
        <is>
          <t>25</t>
        </is>
      </c>
      <c r="C5612" t="inlineStr">
        <is>
          <t>25171090</t>
        </is>
      </c>
      <c r="D5612" t="inlineStr">
        <is>
          <t>OTHR BALLAST SHINGLE AND FLNT W/N HT-TREATED</t>
        </is>
      </c>
      <c r="E5612" s="3" t="n">
        <v>0.04</v>
      </c>
      <c r="F5612" s="3" t="n">
        <v>0.03</v>
      </c>
      <c r="G5612" s="3">
        <f>F5612-E5612</f>
        <v/>
      </c>
      <c r="H5612" s="4">
        <f>IF(E5612=0,"",F5612/E5612-1)</f>
        <v/>
      </c>
      <c r="I5612" t="inlineStr"/>
    </row>
    <row r="5613">
      <c r="A5613" t="inlineStr">
        <is>
          <t>Minerals &amp; ores</t>
        </is>
      </c>
      <c r="B5613" t="inlineStr">
        <is>
          <t>25</t>
        </is>
      </c>
      <c r="C5613" t="inlineStr">
        <is>
          <t>25261020</t>
        </is>
      </c>
      <c r="D5613" t="inlineStr">
        <is>
          <t>STEATITE( SOAP STONE ETC) LUMPS</t>
        </is>
      </c>
      <c r="E5613" s="3" t="n">
        <v>0</v>
      </c>
      <c r="F5613" s="3" t="n">
        <v>0.03</v>
      </c>
      <c r="G5613" s="3">
        <f>F5613-E5613</f>
        <v/>
      </c>
      <c r="H5613" s="4">
        <f>IF(E5613=0,"",F5613/E5613-1)</f>
        <v/>
      </c>
      <c r="I5613" t="inlineStr"/>
    </row>
    <row r="5614">
      <c r="A5614" t="inlineStr">
        <is>
          <t>Minerals &amp; ores</t>
        </is>
      </c>
      <c r="B5614" t="inlineStr">
        <is>
          <t>25</t>
        </is>
      </c>
      <c r="C5614" t="inlineStr">
        <is>
          <t>25309030</t>
        </is>
      </c>
      <c r="D5614" t="inlineStr">
        <is>
          <t>CALCITE</t>
        </is>
      </c>
      <c r="E5614" s="3" t="n">
        <v>0.02</v>
      </c>
      <c r="F5614" s="3" t="n">
        <v>0.03</v>
      </c>
      <c r="G5614" s="3">
        <f>F5614-E5614</f>
        <v/>
      </c>
      <c r="H5614" s="4">
        <f>IF(E5614=0,"",F5614/E5614-1)</f>
        <v/>
      </c>
      <c r="I5614" t="inlineStr"/>
    </row>
    <row r="5615">
      <c r="A5615" t="inlineStr">
        <is>
          <t>Minerals &amp; ores</t>
        </is>
      </c>
      <c r="B5615" t="inlineStr">
        <is>
          <t>25</t>
        </is>
      </c>
      <c r="C5615" t="inlineStr">
        <is>
          <t>25087000</t>
        </is>
      </c>
      <c r="D5615" t="inlineStr">
        <is>
          <t>CHAMOTTE OR DINAS EARTHS</t>
        </is>
      </c>
      <c r="E5615" s="3" t="n">
        <v>0.08</v>
      </c>
      <c r="F5615" s="3" t="n">
        <v>0.02</v>
      </c>
      <c r="G5615" s="3">
        <f>F5615-E5615</f>
        <v/>
      </c>
      <c r="H5615" s="4">
        <f>IF(E5615=0,"",F5615/E5615-1)</f>
        <v/>
      </c>
      <c r="I5615" t="inlineStr"/>
    </row>
    <row r="5616">
      <c r="A5616" t="inlineStr">
        <is>
          <t>Minerals &amp; ores</t>
        </is>
      </c>
      <c r="B5616" t="inlineStr">
        <is>
          <t>25</t>
        </is>
      </c>
      <c r="C5616" t="inlineStr">
        <is>
          <t>25151290</t>
        </is>
      </c>
      <c r="D5616" t="inlineStr">
        <is>
          <t>OTHR MARBLE AND TRAVERTINE</t>
        </is>
      </c>
      <c r="E5616" s="3" t="n">
        <v>0.12</v>
      </c>
      <c r="F5616" s="3" t="n">
        <v>0.02</v>
      </c>
      <c r="G5616" s="3">
        <f>F5616-E5616</f>
        <v/>
      </c>
      <c r="H5616" s="4">
        <f>IF(E5616=0,"",F5616/E5616-1)</f>
        <v/>
      </c>
      <c r="I5616" t="inlineStr"/>
    </row>
    <row r="5617">
      <c r="A5617" t="inlineStr">
        <is>
          <t>Minerals &amp; ores</t>
        </is>
      </c>
      <c r="B5617" t="inlineStr">
        <is>
          <t>25</t>
        </is>
      </c>
      <c r="C5617" t="inlineStr">
        <is>
          <t>25171010</t>
        </is>
      </c>
      <c r="D5617" t="inlineStr">
        <is>
          <t>PAKUR STONE CRUSHED OR BROKEN -PEBBLESETC</t>
        </is>
      </c>
      <c r="E5617" s="3" t="n">
        <v>0</v>
      </c>
      <c r="F5617" s="3" t="n">
        <v>0.02</v>
      </c>
      <c r="G5617" s="3">
        <f>F5617-E5617</f>
        <v/>
      </c>
      <c r="H5617" s="4">
        <f>IF(E5617=0,"",F5617/E5617-1)</f>
        <v/>
      </c>
      <c r="I5617" t="inlineStr"/>
    </row>
    <row r="5618">
      <c r="A5618" t="inlineStr">
        <is>
          <t>Minerals &amp; ores</t>
        </is>
      </c>
      <c r="B5618" t="inlineStr">
        <is>
          <t>25</t>
        </is>
      </c>
      <c r="C5618" t="inlineStr">
        <is>
          <t>25221000</t>
        </is>
      </c>
      <c r="D5618" t="inlineStr">
        <is>
          <t>QUICKLIME</t>
        </is>
      </c>
      <c r="E5618" s="3" t="n">
        <v>0.06</v>
      </c>
      <c r="F5618" s="3" t="n">
        <v>0.02</v>
      </c>
      <c r="G5618" s="3">
        <f>F5618-E5618</f>
        <v/>
      </c>
      <c r="H5618" s="4">
        <f>IF(E5618=0,"",F5618/E5618-1)</f>
        <v/>
      </c>
      <c r="I5618" t="inlineStr"/>
    </row>
    <row r="5619">
      <c r="A5619" t="inlineStr">
        <is>
          <t>Minerals &amp; ores</t>
        </is>
      </c>
      <c r="B5619" t="inlineStr">
        <is>
          <t>25</t>
        </is>
      </c>
      <c r="C5619" t="inlineStr">
        <is>
          <t>25223000</t>
        </is>
      </c>
      <c r="D5619" t="inlineStr">
        <is>
          <t>HYDRAULIC LIME</t>
        </is>
      </c>
      <c r="E5619" s="3" t="n">
        <v>0</v>
      </c>
      <c r="F5619" s="3" t="n">
        <v>0.02</v>
      </c>
      <c r="G5619" s="3">
        <f>F5619-E5619</f>
        <v/>
      </c>
      <c r="H5619" s="4">
        <f>IF(E5619=0,"",F5619/E5619-1)</f>
        <v/>
      </c>
      <c r="I5619" t="inlineStr"/>
    </row>
    <row r="5620">
      <c r="A5620" t="inlineStr">
        <is>
          <t>Minerals &amp; ores</t>
        </is>
      </c>
      <c r="B5620" t="inlineStr">
        <is>
          <t>25</t>
        </is>
      </c>
      <c r="C5620" t="inlineStr">
        <is>
          <t>25309099</t>
        </is>
      </c>
      <c r="D5620" t="inlineStr">
        <is>
          <t>OTHER MINERAL SUBSTANCES NES</t>
        </is>
      </c>
      <c r="E5620" s="3" t="n">
        <v>0</v>
      </c>
      <c r="F5620" s="3" t="n">
        <v>0.02</v>
      </c>
      <c r="G5620" s="3">
        <f>F5620-E5620</f>
        <v/>
      </c>
      <c r="H5620" s="4">
        <f>IF(E5620=0,"",F5620/E5620-1)</f>
        <v/>
      </c>
      <c r="I5620" t="inlineStr"/>
    </row>
    <row r="5621">
      <c r="A5621" t="inlineStr">
        <is>
          <t>Minerals &amp; ores</t>
        </is>
      </c>
      <c r="B5621" t="inlineStr">
        <is>
          <t>25</t>
        </is>
      </c>
      <c r="C5621" t="inlineStr">
        <is>
          <t>25051011</t>
        </is>
      </c>
      <c r="D5621" t="inlineStr">
        <is>
          <t>SILICA SAND PROCESSED (WHITE)</t>
        </is>
      </c>
      <c r="E5621" s="3" t="n">
        <v>0</v>
      </c>
      <c r="F5621" s="3" t="n">
        <v>0.01</v>
      </c>
      <c r="G5621" s="3">
        <f>F5621-E5621</f>
        <v/>
      </c>
      <c r="H5621" s="4">
        <f>IF(E5621=0,"",F5621/E5621-1)</f>
        <v/>
      </c>
      <c r="I5621" t="inlineStr"/>
    </row>
    <row r="5622">
      <c r="A5622" t="inlineStr">
        <is>
          <t>Minerals &amp; ores</t>
        </is>
      </c>
      <c r="B5622" t="inlineStr">
        <is>
          <t>25</t>
        </is>
      </c>
      <c r="C5622" t="inlineStr">
        <is>
          <t>25059000</t>
        </is>
      </c>
      <c r="D5622" t="inlineStr">
        <is>
          <t>OTHER NATRL SANDS NES</t>
        </is>
      </c>
      <c r="E5622" s="3" t="n">
        <v>0</v>
      </c>
      <c r="F5622" s="3" t="n">
        <v>0.01</v>
      </c>
      <c r="G5622" s="3">
        <f>F5622-E5622</f>
        <v/>
      </c>
      <c r="H5622" s="4">
        <f>IF(E5622=0,"",F5622/E5622-1)</f>
        <v/>
      </c>
      <c r="I5622" t="inlineStr"/>
    </row>
    <row r="5623">
      <c r="A5623" t="inlineStr">
        <is>
          <t>Minerals &amp; ores</t>
        </is>
      </c>
      <c r="B5623" t="inlineStr">
        <is>
          <t>25</t>
        </is>
      </c>
      <c r="C5623" t="inlineStr">
        <is>
          <t>25062090</t>
        </is>
      </c>
      <c r="D5623" t="inlineStr">
        <is>
          <t>OTHRS CRUDE/ROUGHLY TRIMMD QUARTZITE</t>
        </is>
      </c>
      <c r="E5623" s="3" t="n">
        <v>0.41</v>
      </c>
      <c r="F5623" s="3" t="n">
        <v>0.01</v>
      </c>
      <c r="G5623" s="3">
        <f>F5623-E5623</f>
        <v/>
      </c>
      <c r="H5623" s="4">
        <f>IF(E5623=0,"",F5623/E5623-1)</f>
        <v/>
      </c>
      <c r="I5623" t="inlineStr"/>
    </row>
    <row r="5624">
      <c r="A5624" t="inlineStr">
        <is>
          <t>Minerals &amp; ores</t>
        </is>
      </c>
      <c r="B5624" t="inlineStr">
        <is>
          <t>25</t>
        </is>
      </c>
      <c r="C5624" t="inlineStr">
        <is>
          <t>25191000</t>
        </is>
      </c>
      <c r="D5624" t="inlineStr">
        <is>
          <t>NATURAL MAGNESIUM CARBONATE(MAGNESITE)</t>
        </is>
      </c>
      <c r="E5624" s="3" t="n">
        <v>0.01</v>
      </c>
      <c r="F5624" s="3" t="n">
        <v>0.01</v>
      </c>
      <c r="G5624" s="3">
        <f>F5624-E5624</f>
        <v/>
      </c>
      <c r="H5624" s="4">
        <f>IF(E5624=0,"",F5624/E5624-1)</f>
        <v/>
      </c>
      <c r="I5624" t="inlineStr"/>
    </row>
    <row r="5625">
      <c r="A5625" t="inlineStr">
        <is>
          <t>Minerals &amp; ores</t>
        </is>
      </c>
      <c r="B5625" t="inlineStr">
        <is>
          <t>25</t>
        </is>
      </c>
      <c r="C5625" t="inlineStr">
        <is>
          <t>25261010</t>
        </is>
      </c>
      <c r="D5625" t="inlineStr">
        <is>
          <t>STEATITE( SOAP STONE ETC) BLOCK</t>
        </is>
      </c>
      <c r="E5625" s="3" t="n">
        <v>0</v>
      </c>
      <c r="F5625" s="3" t="n">
        <v>0.01</v>
      </c>
      <c r="G5625" s="3">
        <f>F5625-E5625</f>
        <v/>
      </c>
      <c r="H5625" s="4">
        <f>IF(E5625=0,"",F5625/E5625-1)</f>
        <v/>
      </c>
      <c r="I5625" t="inlineStr"/>
    </row>
    <row r="5626">
      <c r="A5626" t="inlineStr">
        <is>
          <t>Minerals &amp; ores</t>
        </is>
      </c>
      <c r="B5626" t="inlineStr">
        <is>
          <t>25</t>
        </is>
      </c>
      <c r="C5626" t="inlineStr">
        <is>
          <t>25292200</t>
        </is>
      </c>
      <c r="D5626" t="inlineStr">
        <is>
          <t>*FLUORSPAR CNTNG BY WT MORE THAN 97 PERCENT OF CALCIUM FLUORIDE</t>
        </is>
      </c>
      <c r="E5626" s="3" t="n">
        <v>0</v>
      </c>
      <c r="F5626" s="3" t="n">
        <v>0.01</v>
      </c>
      <c r="G5626" s="3">
        <f>F5626-E5626</f>
        <v/>
      </c>
      <c r="H5626" s="4">
        <f>IF(E5626=0,"",F5626/E5626-1)</f>
        <v/>
      </c>
      <c r="I5626" t="inlineStr"/>
    </row>
    <row r="5627">
      <c r="A5627" t="inlineStr">
        <is>
          <t>Minerals &amp; ores</t>
        </is>
      </c>
      <c r="B5627" t="inlineStr">
        <is>
          <t>25</t>
        </is>
      </c>
      <c r="C5627" t="inlineStr">
        <is>
          <t>25020000</t>
        </is>
      </c>
      <c r="D5627" t="inlineStr">
        <is>
          <t>UNROASTED IRON PYRITES</t>
        </is>
      </c>
      <c r="E5627" s="3" t="n">
        <v>0</v>
      </c>
      <c r="F5627" s="3" t="n">
        <v>0</v>
      </c>
      <c r="G5627" s="3">
        <f>F5627-E5627</f>
        <v/>
      </c>
      <c r="H5627" s="4">
        <f>IF(E5627=0,"",F5627/E5627-1)</f>
        <v/>
      </c>
      <c r="I5627" t="inlineStr"/>
    </row>
    <row r="5628">
      <c r="A5628" t="inlineStr">
        <is>
          <t>Minerals &amp; ores</t>
        </is>
      </c>
      <c r="B5628" t="inlineStr">
        <is>
          <t>25</t>
        </is>
      </c>
      <c r="C5628" t="inlineStr">
        <is>
          <t>25051019</t>
        </is>
      </c>
      <c r="D5628" t="inlineStr">
        <is>
          <t>OTHER SILICA SAND</t>
        </is>
      </c>
      <c r="E5628" s="3" t="n">
        <v>0</v>
      </c>
      <c r="F5628" s="3" t="n">
        <v>0</v>
      </c>
      <c r="G5628" s="3">
        <f>F5628-E5628</f>
        <v/>
      </c>
      <c r="H5628" s="4">
        <f>IF(E5628=0,"",F5628/E5628-1)</f>
        <v/>
      </c>
      <c r="I5628" t="inlineStr"/>
    </row>
    <row r="5629">
      <c r="A5629" t="inlineStr">
        <is>
          <t>Minerals &amp; ores</t>
        </is>
      </c>
      <c r="B5629" t="inlineStr">
        <is>
          <t>25</t>
        </is>
      </c>
      <c r="C5629" t="inlineStr">
        <is>
          <t>25062010</t>
        </is>
      </c>
      <c r="D5629" t="inlineStr">
        <is>
          <t>QUARTZITE LUMPS</t>
        </is>
      </c>
      <c r="E5629" s="3" t="n">
        <v>2.4</v>
      </c>
      <c r="F5629" s="3" t="n">
        <v>0</v>
      </c>
      <c r="G5629" s="3">
        <f>F5629-E5629</f>
        <v/>
      </c>
      <c r="H5629" s="4">
        <f>IF(E5629=0,"",F5629/E5629-1)</f>
        <v/>
      </c>
      <c r="I5629" t="inlineStr"/>
    </row>
    <row r="5630">
      <c r="A5630" t="inlineStr">
        <is>
          <t>Minerals &amp; ores</t>
        </is>
      </c>
      <c r="B5630" t="inlineStr">
        <is>
          <t>25</t>
        </is>
      </c>
      <c r="C5630" t="inlineStr">
        <is>
          <t>25081010</t>
        </is>
      </c>
      <c r="D5630" t="inlineStr">
        <is>
          <t>CRUDE BENTONITE (UNPROCESSED)</t>
        </is>
      </c>
      <c r="E5630" s="3" t="n">
        <v>0.01</v>
      </c>
      <c r="F5630" s="3" t="n">
        <v>0</v>
      </c>
      <c r="G5630" s="3">
        <f>F5630-E5630</f>
        <v/>
      </c>
      <c r="H5630" s="4">
        <f>IF(E5630=0,"",F5630/E5630-1)</f>
        <v/>
      </c>
      <c r="I5630" t="inlineStr"/>
    </row>
    <row r="5631">
      <c r="A5631" t="inlineStr">
        <is>
          <t>Minerals &amp; ores</t>
        </is>
      </c>
      <c r="B5631" t="inlineStr">
        <is>
          <t>25</t>
        </is>
      </c>
      <c r="C5631" t="inlineStr">
        <is>
          <t>25083090</t>
        </is>
      </c>
      <c r="D5631" t="inlineStr">
        <is>
          <t>OTHER FIRE CLAY NES</t>
        </is>
      </c>
      <c r="E5631" s="3" t="n">
        <v>0</v>
      </c>
      <c r="F5631" s="3" t="n">
        <v>0</v>
      </c>
      <c r="G5631" s="3">
        <f>F5631-E5631</f>
        <v/>
      </c>
      <c r="H5631" s="4">
        <f>IF(E5631=0,"",F5631/E5631-1)</f>
        <v/>
      </c>
      <c r="I5631" t="inlineStr"/>
    </row>
    <row r="5632">
      <c r="A5632" t="inlineStr">
        <is>
          <t>Minerals &amp; ores</t>
        </is>
      </c>
      <c r="B5632" t="inlineStr">
        <is>
          <t>25</t>
        </is>
      </c>
      <c r="C5632" t="inlineStr">
        <is>
          <t>25084020</t>
        </is>
      </c>
      <c r="D5632" t="inlineStr">
        <is>
          <t>EARTH CLAY</t>
        </is>
      </c>
      <c r="E5632" s="3" t="n">
        <v>0</v>
      </c>
      <c r="F5632" s="3" t="n">
        <v>0</v>
      </c>
      <c r="G5632" s="3">
        <f>F5632-E5632</f>
        <v/>
      </c>
      <c r="H5632" s="4">
        <f>IF(E5632=0,"",F5632/E5632-1)</f>
        <v/>
      </c>
      <c r="I5632" t="inlineStr"/>
    </row>
    <row r="5633">
      <c r="A5633" t="inlineStr">
        <is>
          <t>Minerals &amp; ores</t>
        </is>
      </c>
      <c r="B5633" t="inlineStr">
        <is>
          <t>25</t>
        </is>
      </c>
      <c r="C5633" t="inlineStr">
        <is>
          <t>25120090</t>
        </is>
      </c>
      <c r="D5633" t="inlineStr">
        <is>
          <t>OTHER SIMILAR SILICEOUS EARTHS</t>
        </is>
      </c>
      <c r="E5633" s="3" t="n">
        <v>0</v>
      </c>
      <c r="F5633" s="3" t="n">
        <v>0</v>
      </c>
      <c r="G5633" s="3">
        <f>F5633-E5633</f>
        <v/>
      </c>
      <c r="H5633" s="4">
        <f>IF(E5633=0,"",F5633/E5633-1)</f>
        <v/>
      </c>
      <c r="I5633" t="inlineStr"/>
    </row>
    <row r="5634">
      <c r="A5634" t="inlineStr">
        <is>
          <t>Minerals &amp; ores</t>
        </is>
      </c>
      <c r="B5634" t="inlineStr">
        <is>
          <t>25</t>
        </is>
      </c>
      <c r="C5634" t="inlineStr">
        <is>
          <t>25131000</t>
        </is>
      </c>
      <c r="D5634" t="inlineStr">
        <is>
          <t>PUMICE STONE</t>
        </is>
      </c>
      <c r="E5634" s="3" t="n">
        <v>0</v>
      </c>
      <c r="F5634" s="3" t="n">
        <v>0</v>
      </c>
      <c r="G5634" s="3">
        <f>F5634-E5634</f>
        <v/>
      </c>
      <c r="H5634" s="4">
        <f>IF(E5634=0,"",F5634/E5634-1)</f>
        <v/>
      </c>
      <c r="I5634" t="inlineStr"/>
    </row>
    <row r="5635">
      <c r="A5635" t="inlineStr">
        <is>
          <t>Minerals &amp; ores</t>
        </is>
      </c>
      <c r="B5635" t="inlineStr">
        <is>
          <t>25</t>
        </is>
      </c>
      <c r="C5635" t="inlineStr">
        <is>
          <t>25132020</t>
        </is>
      </c>
      <c r="D5635" t="inlineStr">
        <is>
          <t>NATURAL CORUNDUM</t>
        </is>
      </c>
      <c r="E5635" s="3" t="n">
        <v>0</v>
      </c>
      <c r="F5635" s="3" t="n">
        <v>0</v>
      </c>
      <c r="G5635" s="3">
        <f>F5635-E5635</f>
        <v/>
      </c>
      <c r="H5635" s="4">
        <f>IF(E5635=0,"",F5635/E5635-1)</f>
        <v/>
      </c>
      <c r="I5635" t="inlineStr"/>
    </row>
    <row r="5636">
      <c r="A5636" t="inlineStr">
        <is>
          <t>Minerals &amp; ores</t>
        </is>
      </c>
      <c r="B5636" t="inlineStr">
        <is>
          <t>25</t>
        </is>
      </c>
      <c r="C5636" t="inlineStr">
        <is>
          <t>25151210</t>
        </is>
      </c>
      <c r="D5636" t="inlineStr">
        <is>
          <t>BLOCKS MARBLE AND TRAVERTINE</t>
        </is>
      </c>
      <c r="E5636" s="3" t="n">
        <v>0.09</v>
      </c>
      <c r="F5636" s="3" t="n">
        <v>0</v>
      </c>
      <c r="G5636" s="3">
        <f>F5636-E5636</f>
        <v/>
      </c>
      <c r="H5636" s="4">
        <f>IF(E5636=0,"",F5636/E5636-1)</f>
        <v/>
      </c>
      <c r="I5636" t="inlineStr"/>
    </row>
    <row r="5637">
      <c r="A5637" t="inlineStr">
        <is>
          <t>Minerals &amp; ores</t>
        </is>
      </c>
      <c r="B5637" t="inlineStr">
        <is>
          <t>25</t>
        </is>
      </c>
      <c r="C5637" t="inlineStr">
        <is>
          <t>25152090</t>
        </is>
      </c>
      <c r="D5637" t="inlineStr">
        <is>
          <t>OTHERS (ECAUSSINE ETC)</t>
        </is>
      </c>
      <c r="E5637" s="3" t="n">
        <v>0</v>
      </c>
      <c r="F5637" s="3" t="n">
        <v>0</v>
      </c>
      <c r="G5637" s="3">
        <f>F5637-E5637</f>
        <v/>
      </c>
      <c r="H5637" s="4">
        <f>IF(E5637=0,"",F5637/E5637-1)</f>
        <v/>
      </c>
      <c r="I5637" t="inlineStr"/>
    </row>
    <row r="5638">
      <c r="A5638" t="inlineStr">
        <is>
          <t>Minerals &amp; ores</t>
        </is>
      </c>
      <c r="B5638" t="inlineStr">
        <is>
          <t>25</t>
        </is>
      </c>
      <c r="C5638" t="inlineStr">
        <is>
          <t>25201090</t>
        </is>
      </c>
      <c r="D5638" t="inlineStr">
        <is>
          <t>OTHER GYPSUM AND AMIXDRITE</t>
        </is>
      </c>
      <c r="E5638" s="3" t="n">
        <v>0</v>
      </c>
      <c r="F5638" s="3" t="n">
        <v>0</v>
      </c>
      <c r="G5638" s="3">
        <f>F5638-E5638</f>
        <v/>
      </c>
      <c r="H5638" s="4">
        <f>IF(E5638=0,"",F5638/E5638-1)</f>
        <v/>
      </c>
      <c r="I5638" t="inlineStr"/>
    </row>
    <row r="5639">
      <c r="A5639" t="inlineStr">
        <is>
          <t>Minerals &amp; ores</t>
        </is>
      </c>
      <c r="B5639" t="inlineStr">
        <is>
          <t>25</t>
        </is>
      </c>
      <c r="C5639" t="inlineStr">
        <is>
          <t>25202010</t>
        </is>
      </c>
      <c r="D5639" t="inlineStr">
        <is>
          <t>CALCINED PLASTERS</t>
        </is>
      </c>
      <c r="E5639" s="3" t="n">
        <v>0</v>
      </c>
      <c r="F5639" s="3" t="n">
        <v>0</v>
      </c>
      <c r="G5639" s="3">
        <f>F5639-E5639</f>
        <v/>
      </c>
      <c r="H5639" s="4">
        <f>IF(E5639=0,"",F5639/E5639-1)</f>
        <v/>
      </c>
      <c r="I5639" t="inlineStr"/>
    </row>
    <row r="5640">
      <c r="A5640" t="inlineStr">
        <is>
          <t>Minerals &amp; ores</t>
        </is>
      </c>
      <c r="B5640" t="inlineStr">
        <is>
          <t>25</t>
        </is>
      </c>
      <c r="C5640" t="inlineStr">
        <is>
          <t>25210010</t>
        </is>
      </c>
      <c r="D5640" t="inlineStr">
        <is>
          <t>LIMESTONE FLUX (L.D BELOW 1% SIO2)</t>
        </is>
      </c>
      <c r="E5640" s="3" t="n">
        <v>0</v>
      </c>
      <c r="F5640" s="3" t="n">
        <v>0</v>
      </c>
      <c r="G5640" s="3">
        <f>F5640-E5640</f>
        <v/>
      </c>
      <c r="H5640" s="4">
        <f>IF(E5640=0,"",F5640/E5640-1)</f>
        <v/>
      </c>
      <c r="I5640" t="inlineStr"/>
    </row>
    <row r="5641">
      <c r="A5641" t="inlineStr">
        <is>
          <t>Minerals &amp; ores</t>
        </is>
      </c>
      <c r="B5641" t="inlineStr">
        <is>
          <t>25</t>
        </is>
      </c>
      <c r="C5641" t="inlineStr">
        <is>
          <t>25222000</t>
        </is>
      </c>
      <c r="D5641" t="inlineStr">
        <is>
          <t>SLAKED LIME</t>
        </is>
      </c>
      <c r="E5641" s="3" t="n">
        <v>0.01</v>
      </c>
      <c r="F5641" s="3" t="n">
        <v>0</v>
      </c>
      <c r="G5641" s="3">
        <f>F5641-E5641</f>
        <v/>
      </c>
      <c r="H5641" s="4">
        <f>IF(E5641=0,"",F5641/E5641-1)</f>
        <v/>
      </c>
      <c r="I5641" t="inlineStr"/>
    </row>
    <row r="5642">
      <c r="A5642" t="inlineStr">
        <is>
          <t>Minerals &amp; ores</t>
        </is>
      </c>
      <c r="B5642" t="inlineStr">
        <is>
          <t>25</t>
        </is>
      </c>
      <c r="C5642" t="inlineStr">
        <is>
          <t>25252010</t>
        </is>
      </c>
      <c r="D5642" t="inlineStr">
        <is>
          <t>MICA FLAKES 2.20 MESH</t>
        </is>
      </c>
      <c r="E5642" s="3" t="n">
        <v>0.1</v>
      </c>
      <c r="F5642" s="3" t="n">
        <v>0</v>
      </c>
      <c r="G5642" s="3">
        <f>F5642-E5642</f>
        <v/>
      </c>
      <c r="H5642" s="4">
        <f>IF(E5642=0,"",F5642/E5642-1)</f>
        <v/>
      </c>
      <c r="I5642" t="inlineStr"/>
    </row>
    <row r="5643">
      <c r="A5643" t="inlineStr">
        <is>
          <t>Minerals &amp; ores</t>
        </is>
      </c>
      <c r="B5643" t="inlineStr">
        <is>
          <t>25</t>
        </is>
      </c>
      <c r="C5643" t="inlineStr">
        <is>
          <t>25253090</t>
        </is>
      </c>
      <c r="D5643" t="inlineStr">
        <is>
          <t>OTHER MICA WASTE</t>
        </is>
      </c>
      <c r="E5643" s="3" t="n">
        <v>0.16</v>
      </c>
      <c r="F5643" s="3" t="n">
        <v>0</v>
      </c>
      <c r="G5643" s="3">
        <f>F5643-E5643</f>
        <v/>
      </c>
      <c r="H5643" s="4">
        <f>IF(E5643=0,"",F5643/E5643-1)</f>
        <v/>
      </c>
      <c r="I5643" t="inlineStr"/>
    </row>
    <row r="5644">
      <c r="A5644" t="inlineStr">
        <is>
          <t>Minerals &amp; ores</t>
        </is>
      </c>
      <c r="B5644" t="inlineStr">
        <is>
          <t>25</t>
        </is>
      </c>
      <c r="C5644" t="inlineStr">
        <is>
          <t>25293000</t>
        </is>
      </c>
      <c r="D5644" t="inlineStr">
        <is>
          <t>LEUCITE NEPHELINE AND NEPHELINE SYENITE</t>
        </is>
      </c>
      <c r="E5644" s="3" t="n">
        <v>0</v>
      </c>
      <c r="F5644" s="3" t="n">
        <v>0</v>
      </c>
      <c r="G5644" s="3">
        <f>F5644-E5644</f>
        <v/>
      </c>
      <c r="H5644" s="4">
        <f>IF(E5644=0,"",F5644/E5644-1)</f>
        <v/>
      </c>
      <c r="I5644" t="inlineStr"/>
    </row>
    <row r="5645">
      <c r="A5645" t="inlineStr">
        <is>
          <t>Minerals &amp; ores</t>
        </is>
      </c>
      <c r="B5645" t="inlineStr">
        <is>
          <t>25</t>
        </is>
      </c>
      <c r="C5645" t="inlineStr">
        <is>
          <t>25301020</t>
        </is>
      </c>
      <c r="D5645" t="inlineStr">
        <is>
          <t>PERLITE</t>
        </is>
      </c>
      <c r="E5645" s="3" t="n">
        <v>0.04</v>
      </c>
      <c r="F5645" s="3" t="n">
        <v>0</v>
      </c>
      <c r="G5645" s="3">
        <f>F5645-E5645</f>
        <v/>
      </c>
      <c r="H5645" s="4">
        <f>IF(E5645=0,"",F5645/E5645-1)</f>
        <v/>
      </c>
      <c r="I5645" t="inlineStr"/>
    </row>
    <row r="5646">
      <c r="A5646" t="inlineStr">
        <is>
          <t>Minerals &amp; ores</t>
        </is>
      </c>
      <c r="B5646" t="inlineStr">
        <is>
          <t>25</t>
        </is>
      </c>
      <c r="C5646" t="inlineStr">
        <is>
          <t>25309050</t>
        </is>
      </c>
      <c r="D5646" t="inlineStr">
        <is>
          <t>WOLLASTONITE</t>
        </is>
      </c>
      <c r="E5646" s="3" t="n">
        <v>0.01</v>
      </c>
      <c r="F5646" s="3" t="n">
        <v>0</v>
      </c>
      <c r="G5646" s="3">
        <f>F5646-E5646</f>
        <v/>
      </c>
      <c r="H5646" s="4">
        <f>IF(E5646=0,"",F5646/E5646-1)</f>
        <v/>
      </c>
      <c r="I5646" t="inlineStr"/>
    </row>
    <row r="5647">
      <c r="A5647" t="inlineStr">
        <is>
          <t>Minerals &amp; ores</t>
        </is>
      </c>
      <c r="B5647" t="inlineStr">
        <is>
          <t>26</t>
        </is>
      </c>
      <c r="C5647" t="inlineStr">
        <is>
          <t>26190010</t>
        </is>
      </c>
      <c r="D5647" t="inlineStr">
        <is>
          <t>CONVERTED SLAG(SCULL) OF BLAST FURNACE</t>
        </is>
      </c>
      <c r="E5647" s="3" t="n">
        <v>0.03</v>
      </c>
      <c r="F5647" s="3" t="n">
        <v>0</v>
      </c>
      <c r="G5647" s="3">
        <f>F5647-E5647</f>
        <v/>
      </c>
      <c r="H5647" s="4">
        <f>IF(E5647=0,"",F5647/E5647-1)</f>
        <v/>
      </c>
      <c r="I5647" t="inlineStr"/>
    </row>
    <row r="5648">
      <c r="A5648" t="inlineStr">
        <is>
          <t>Minerals &amp; ores</t>
        </is>
      </c>
      <c r="B5648" t="inlineStr">
        <is>
          <t>26</t>
        </is>
      </c>
      <c r="C5648" t="inlineStr">
        <is>
          <t>26190090</t>
        </is>
      </c>
      <c r="D5648" t="inlineStr">
        <is>
          <t>OTHER WASTE FROM IRON/STEEL</t>
        </is>
      </c>
      <c r="E5648" s="3" t="n">
        <v>0</v>
      </c>
      <c r="F5648" s="3" t="n">
        <v>0</v>
      </c>
      <c r="G5648" s="3">
        <f>F5648-E5648</f>
        <v/>
      </c>
      <c r="H5648" s="4">
        <f>IF(E5648=0,"",F5648/E5648-1)</f>
        <v/>
      </c>
      <c r="I5648" t="inlineStr"/>
    </row>
    <row r="5649">
      <c r="A5649" s="6" t="inlineStr">
        <is>
          <t>Other manufactured goods  —  172 lines</t>
        </is>
      </c>
      <c r="B5649" s="6" t="inlineStr"/>
      <c r="C5649" s="6" t="inlineStr"/>
      <c r="D5649" s="6" t="inlineStr"/>
      <c r="E5649" s="7" t="n">
        <v>124.96</v>
      </c>
      <c r="F5649" s="7" t="n">
        <v>83.23999999999999</v>
      </c>
      <c r="G5649" s="7" t="n">
        <v>-41.72</v>
      </c>
      <c r="H5649" s="8" t="n">
        <v>-0.3338668373879637</v>
      </c>
      <c r="I5649" s="6" t="inlineStr"/>
    </row>
    <row r="5650">
      <c r="A5650" t="inlineStr">
        <is>
          <t>Other manufactured goods</t>
        </is>
      </c>
      <c r="B5650" t="inlineStr">
        <is>
          <t>94</t>
        </is>
      </c>
      <c r="C5650" t="inlineStr">
        <is>
          <t>94054200</t>
        </is>
      </c>
      <c r="D5650" t="inlineStr">
        <is>
          <t>OTHER,DESIGNED FOR USE SOLELY WITH LED LIGHT SOURCES</t>
        </is>
      </c>
      <c r="E5650" s="3" t="n">
        <v>10.94</v>
      </c>
      <c r="F5650" s="3" t="n">
        <v>14.38</v>
      </c>
      <c r="G5650" s="3">
        <f>F5650-E5650</f>
        <v/>
      </c>
      <c r="H5650" s="4">
        <f>IF(E5650=0,"",F5650/E5650-1)</f>
        <v/>
      </c>
      <c r="I5650" t="inlineStr"/>
    </row>
    <row r="5651">
      <c r="A5651" t="inlineStr">
        <is>
          <t>Other manufactured goods</t>
        </is>
      </c>
      <c r="B5651" t="inlineStr">
        <is>
          <t>94</t>
        </is>
      </c>
      <c r="C5651" t="inlineStr">
        <is>
          <t>94036000</t>
        </is>
      </c>
      <c r="D5651" t="inlineStr">
        <is>
          <t>OTHER WOODEN FURNITURE</t>
        </is>
      </c>
      <c r="E5651" s="3" t="n">
        <v>6.37</v>
      </c>
      <c r="F5651" s="3" t="n">
        <v>7.4</v>
      </c>
      <c r="G5651" s="3">
        <f>F5651-E5651</f>
        <v/>
      </c>
      <c r="H5651" s="4">
        <f>IF(E5651=0,"",F5651/E5651-1)</f>
        <v/>
      </c>
      <c r="I5651" t="inlineStr"/>
    </row>
    <row r="5652">
      <c r="A5652" t="inlineStr">
        <is>
          <t>Other manufactured goods</t>
        </is>
      </c>
      <c r="B5652" t="inlineStr">
        <is>
          <t>94</t>
        </is>
      </c>
      <c r="C5652" t="inlineStr">
        <is>
          <t>94032090</t>
        </is>
      </c>
      <c r="D5652" t="inlineStr">
        <is>
          <t>OTHERS-OF-OTHER METAL FURNITURE :</t>
        </is>
      </c>
      <c r="E5652" s="3" t="n">
        <v>4.84</v>
      </c>
      <c r="F5652" s="3" t="n">
        <v>5.56</v>
      </c>
      <c r="G5652" s="3">
        <f>F5652-E5652</f>
        <v/>
      </c>
      <c r="H5652" s="4">
        <f>IF(E5652=0,"",F5652/E5652-1)</f>
        <v/>
      </c>
      <c r="I5652" t="inlineStr"/>
    </row>
    <row r="5653">
      <c r="A5653" t="inlineStr">
        <is>
          <t>Other manufactured goods</t>
        </is>
      </c>
      <c r="B5653" t="inlineStr">
        <is>
          <t>94</t>
        </is>
      </c>
      <c r="C5653" t="inlineStr">
        <is>
          <t>94033090</t>
        </is>
      </c>
      <c r="D5653" t="inlineStr">
        <is>
          <t>OTHERS-OF-WOODEN FRNTR OF A KND USED IN OFFICES</t>
        </is>
      </c>
      <c r="E5653" s="3" t="n">
        <v>2.57</v>
      </c>
      <c r="F5653" s="3" t="n">
        <v>4.85</v>
      </c>
      <c r="G5653" s="3">
        <f>F5653-E5653</f>
        <v/>
      </c>
      <c r="H5653" s="4">
        <f>IF(E5653=0,"",F5653/E5653-1)</f>
        <v/>
      </c>
      <c r="I5653" t="inlineStr"/>
    </row>
    <row r="5654">
      <c r="A5654" t="inlineStr">
        <is>
          <t>Other manufactured goods</t>
        </is>
      </c>
      <c r="B5654" t="inlineStr">
        <is>
          <t>94</t>
        </is>
      </c>
      <c r="C5654" t="inlineStr">
        <is>
          <t>94032010</t>
        </is>
      </c>
      <c r="D5654" t="inlineStr">
        <is>
          <t>STEEL FURNITURE</t>
        </is>
      </c>
      <c r="E5654" s="3" t="n">
        <v>0.14</v>
      </c>
      <c r="F5654" s="3" t="n">
        <v>4.49</v>
      </c>
      <c r="G5654" s="3">
        <f>F5654-E5654</f>
        <v/>
      </c>
      <c r="H5654" s="4">
        <f>IF(E5654=0,"",F5654/E5654-1)</f>
        <v/>
      </c>
      <c r="I5654" t="inlineStr"/>
    </row>
    <row r="5655">
      <c r="A5655" t="inlineStr">
        <is>
          <t>Other manufactured goods</t>
        </is>
      </c>
      <c r="B5655" t="inlineStr">
        <is>
          <t>96</t>
        </is>
      </c>
      <c r="C5655" t="inlineStr">
        <is>
          <t>96081019</t>
        </is>
      </c>
      <c r="D5655" t="inlineStr">
        <is>
          <t>OTHER BALL-POINT PENS WITH LIQUID INK (FOR ROLLING BALL PEN)</t>
        </is>
      </c>
      <c r="E5655" s="3" t="n">
        <v>6.2</v>
      </c>
      <c r="F5655" s="3" t="n">
        <v>3.77</v>
      </c>
      <c r="G5655" s="3">
        <f>F5655-E5655</f>
        <v/>
      </c>
      <c r="H5655" s="4">
        <f>IF(E5655=0,"",F5655/E5655-1)</f>
        <v/>
      </c>
      <c r="I5655" t="inlineStr"/>
    </row>
    <row r="5656">
      <c r="A5656" t="inlineStr">
        <is>
          <t>Other manufactured goods</t>
        </is>
      </c>
      <c r="B5656" t="inlineStr">
        <is>
          <t>94</t>
        </is>
      </c>
      <c r="C5656" t="inlineStr">
        <is>
          <t>94038900</t>
        </is>
      </c>
      <c r="D5656" t="inlineStr">
        <is>
          <t>OTHERS-OF-OTHERS-OF-OTHER FURNITURE AND PARTS THEREOF</t>
        </is>
      </c>
      <c r="E5656" s="3" t="n">
        <v>1.02</v>
      </c>
      <c r="F5656" s="3" t="n">
        <v>3.24</v>
      </c>
      <c r="G5656" s="3">
        <f>F5656-E5656</f>
        <v/>
      </c>
      <c r="H5656" s="4">
        <f>IF(E5656=0,"",F5656/E5656-1)</f>
        <v/>
      </c>
      <c r="I5656" t="inlineStr"/>
    </row>
    <row r="5657">
      <c r="A5657" t="inlineStr">
        <is>
          <t>Other manufactured goods</t>
        </is>
      </c>
      <c r="B5657" t="inlineStr">
        <is>
          <t>96</t>
        </is>
      </c>
      <c r="C5657" t="inlineStr">
        <is>
          <t>96091000</t>
        </is>
      </c>
      <c r="D5657" t="inlineStr">
        <is>
          <t>PENCILS AND CRAYONS,WITH LEADS ENCASED IN A SHEATH</t>
        </is>
      </c>
      <c r="E5657" s="3" t="n">
        <v>2.69</v>
      </c>
      <c r="F5657" s="3" t="n">
        <v>3.21</v>
      </c>
      <c r="G5657" s="3">
        <f>F5657-E5657</f>
        <v/>
      </c>
      <c r="H5657" s="4">
        <f>IF(E5657=0,"",F5657/E5657-1)</f>
        <v/>
      </c>
      <c r="I5657" t="inlineStr"/>
    </row>
    <row r="5658">
      <c r="A5658" t="inlineStr">
        <is>
          <t>Other manufactured goods</t>
        </is>
      </c>
      <c r="B5658" t="inlineStr">
        <is>
          <t>96</t>
        </is>
      </c>
      <c r="C5658" t="inlineStr">
        <is>
          <t>96190040</t>
        </is>
      </c>
      <c r="D5658" t="inlineStr">
        <is>
          <t>CLINICAL DIAPERS</t>
        </is>
      </c>
      <c r="E5658" s="3" t="n">
        <v>1.71</v>
      </c>
      <c r="F5658" s="3" t="n">
        <v>2.23</v>
      </c>
      <c r="G5658" s="3">
        <f>F5658-E5658</f>
        <v/>
      </c>
      <c r="H5658" s="4">
        <f>IF(E5658=0,"",F5658/E5658-1)</f>
        <v/>
      </c>
      <c r="I5658" t="inlineStr"/>
    </row>
    <row r="5659">
      <c r="A5659" t="inlineStr">
        <is>
          <t>Other manufactured goods</t>
        </is>
      </c>
      <c r="B5659" t="inlineStr">
        <is>
          <t>94</t>
        </is>
      </c>
      <c r="C5659" t="inlineStr">
        <is>
          <t>94054900</t>
        </is>
      </c>
      <c r="D5659" t="inlineStr">
        <is>
          <t>OTHERS-OF-OTHERS-OF-LUMINAIRES AND LIGHTING FTTNGS INCL SEARCH LIGHT AND SPOTLIGHT ETC N.E.S.ILLUMINATD SIGN AND THE LIKE WTH</t>
        </is>
      </c>
      <c r="E5659" s="3" t="n">
        <v>1.96</v>
      </c>
      <c r="F5659" s="3" t="n">
        <v>2.06</v>
      </c>
      <c r="G5659" s="3">
        <f>F5659-E5659</f>
        <v/>
      </c>
      <c r="H5659" s="4">
        <f>IF(E5659=0,"",F5659/E5659-1)</f>
        <v/>
      </c>
      <c r="I5659" t="inlineStr"/>
    </row>
    <row r="5660">
      <c r="A5660" t="inlineStr">
        <is>
          <t>Other manufactured goods</t>
        </is>
      </c>
      <c r="B5660" t="inlineStr">
        <is>
          <t>96</t>
        </is>
      </c>
      <c r="C5660" t="inlineStr">
        <is>
          <t>96031000</t>
        </is>
      </c>
      <c r="D5660" t="inlineStr">
        <is>
          <t>BROOMS AND BRUSHES,CONSTNG OF TWIGS/OTHR VGTBL MTRLS BOUND TOGTHR,WTH/WTHT HNDLS</t>
        </is>
      </c>
      <c r="E5660" s="3" t="n">
        <v>0.39</v>
      </c>
      <c r="F5660" s="3" t="n">
        <v>2</v>
      </c>
      <c r="G5660" s="3">
        <f>F5660-E5660</f>
        <v/>
      </c>
      <c r="H5660" s="4">
        <f>IF(E5660=0,"",F5660/E5660-1)</f>
        <v/>
      </c>
      <c r="I5660" t="inlineStr"/>
    </row>
    <row r="5661">
      <c r="A5661" t="inlineStr">
        <is>
          <t>Other manufactured goods</t>
        </is>
      </c>
      <c r="B5661" t="inlineStr">
        <is>
          <t>94</t>
        </is>
      </c>
      <c r="C5661" t="inlineStr">
        <is>
          <t>94069020</t>
        </is>
      </c>
      <c r="D5661" t="inlineStr">
        <is>
          <t>PREFABRICATED BUILDINGS OF OTHER THAN WOOD FOR COLD STORAGE</t>
        </is>
      </c>
      <c r="E5661" s="3" t="n">
        <v>0</v>
      </c>
      <c r="F5661" s="3" t="n">
        <v>1.86</v>
      </c>
      <c r="G5661" s="3">
        <f>F5661-E5661</f>
        <v/>
      </c>
      <c r="H5661" s="4">
        <f>IF(E5661=0,"",F5661/E5661-1)</f>
        <v/>
      </c>
      <c r="I5661" t="inlineStr"/>
    </row>
    <row r="5662">
      <c r="A5662" t="inlineStr">
        <is>
          <t>Other manufactured goods</t>
        </is>
      </c>
      <c r="B5662" t="inlineStr">
        <is>
          <t>94</t>
        </is>
      </c>
      <c r="C5662" t="inlineStr">
        <is>
          <t>94051100</t>
        </is>
      </c>
      <c r="D5662" t="inlineStr">
        <is>
          <t>DESIGNED FOR USE SOLELY WITH LED LIGHT SOURCES</t>
        </is>
      </c>
      <c r="E5662" s="3" t="n">
        <v>1.04</v>
      </c>
      <c r="F5662" s="3" t="n">
        <v>1.82</v>
      </c>
      <c r="G5662" s="3">
        <f>F5662-E5662</f>
        <v/>
      </c>
      <c r="H5662" s="4">
        <f>IF(E5662=0,"",F5662/E5662-1)</f>
        <v/>
      </c>
      <c r="I5662" t="inlineStr"/>
    </row>
    <row r="5663">
      <c r="A5663" t="inlineStr">
        <is>
          <t>Other manufactured goods</t>
        </is>
      </c>
      <c r="B5663" t="inlineStr">
        <is>
          <t>96</t>
        </is>
      </c>
      <c r="C5663" t="inlineStr">
        <is>
          <t>96020090</t>
        </is>
      </c>
      <c r="D5663" t="inlineStr">
        <is>
          <t>OTHR UNDER HDNG 9602</t>
        </is>
      </c>
      <c r="E5663" s="3" t="n">
        <v>0.58</v>
      </c>
      <c r="F5663" s="3" t="n">
        <v>1.81</v>
      </c>
      <c r="G5663" s="3">
        <f>F5663-E5663</f>
        <v/>
      </c>
      <c r="H5663" s="4">
        <f>IF(E5663=0,"",F5663/E5663-1)</f>
        <v/>
      </c>
      <c r="I5663" t="inlineStr"/>
    </row>
    <row r="5664">
      <c r="A5664" t="inlineStr">
        <is>
          <t>Other manufactured goods</t>
        </is>
      </c>
      <c r="B5664" t="inlineStr">
        <is>
          <t>96</t>
        </is>
      </c>
      <c r="C5664" t="inlineStr">
        <is>
          <t>96020030</t>
        </is>
      </c>
      <c r="D5664" t="inlineStr">
        <is>
          <t>GELATIN CAPSULES,EMPTY</t>
        </is>
      </c>
      <c r="E5664" s="3" t="n">
        <v>1.2</v>
      </c>
      <c r="F5664" s="3" t="n">
        <v>1.75</v>
      </c>
      <c r="G5664" s="3">
        <f>F5664-E5664</f>
        <v/>
      </c>
      <c r="H5664" s="4">
        <f>IF(E5664=0,"",F5664/E5664-1)</f>
        <v/>
      </c>
      <c r="I5664" t="inlineStr"/>
    </row>
    <row r="5665">
      <c r="A5665" t="inlineStr">
        <is>
          <t>Other manufactured goods</t>
        </is>
      </c>
      <c r="B5665" t="inlineStr">
        <is>
          <t>96</t>
        </is>
      </c>
      <c r="C5665" t="inlineStr">
        <is>
          <t>96190090</t>
        </is>
      </c>
      <c r="D5665" t="inlineStr">
        <is>
          <t>OTHER ARTICLES OF HDG. 961900</t>
        </is>
      </c>
      <c r="E5665" s="3" t="n">
        <v>1.35</v>
      </c>
      <c r="F5665" s="3" t="n">
        <v>1.5</v>
      </c>
      <c r="G5665" s="3">
        <f>F5665-E5665</f>
        <v/>
      </c>
      <c r="H5665" s="4">
        <f>IF(E5665=0,"",F5665/E5665-1)</f>
        <v/>
      </c>
      <c r="I5665" t="inlineStr"/>
    </row>
    <row r="5666">
      <c r="A5666" t="inlineStr">
        <is>
          <t>Other manufactured goods</t>
        </is>
      </c>
      <c r="B5666" t="inlineStr">
        <is>
          <t>94</t>
        </is>
      </c>
      <c r="C5666" t="inlineStr">
        <is>
          <t>94016100</t>
        </is>
      </c>
      <c r="D5666" t="inlineStr">
        <is>
          <t>UPHOLSTERED SEATS WTH WOODEN FRAMES</t>
        </is>
      </c>
      <c r="E5666" s="3" t="n">
        <v>1.27</v>
      </c>
      <c r="F5666" s="3" t="n">
        <v>1.38</v>
      </c>
      <c r="G5666" s="3">
        <f>F5666-E5666</f>
        <v/>
      </c>
      <c r="H5666" s="4">
        <f>IF(E5666=0,"",F5666/E5666-1)</f>
        <v/>
      </c>
      <c r="I5666" t="inlineStr"/>
    </row>
    <row r="5667">
      <c r="A5667" t="inlineStr">
        <is>
          <t>Other manufactured goods</t>
        </is>
      </c>
      <c r="B5667" t="inlineStr">
        <is>
          <t>95</t>
        </is>
      </c>
      <c r="C5667" t="inlineStr">
        <is>
          <t>95069190</t>
        </is>
      </c>
      <c r="D5667" t="inlineStr">
        <is>
          <t>OTHER GYMNASTIC/ATHLETIC REQUISITES</t>
        </is>
      </c>
      <c r="E5667" s="3" t="n">
        <v>1.83</v>
      </c>
      <c r="F5667" s="3" t="n">
        <v>1.16</v>
      </c>
      <c r="G5667" s="3">
        <f>F5667-E5667</f>
        <v/>
      </c>
      <c r="H5667" s="4">
        <f>IF(E5667=0,"",F5667/E5667-1)</f>
        <v/>
      </c>
      <c r="I5667" t="inlineStr"/>
    </row>
    <row r="5668">
      <c r="A5668" t="inlineStr">
        <is>
          <t>Other manufactured goods</t>
        </is>
      </c>
      <c r="B5668" t="inlineStr">
        <is>
          <t>95</t>
        </is>
      </c>
      <c r="C5668" t="inlineStr">
        <is>
          <t>95062900</t>
        </is>
      </c>
      <c r="D5668" t="inlineStr">
        <is>
          <t>OTHR WATR-SPORT EQUPMNTS(SURF-BOARDS WATER-SKIS ETC)</t>
        </is>
      </c>
      <c r="E5668" s="3" t="n">
        <v>0.08</v>
      </c>
      <c r="F5668" s="3" t="n">
        <v>1.15</v>
      </c>
      <c r="G5668" s="3">
        <f>F5668-E5668</f>
        <v/>
      </c>
      <c r="H5668" s="4">
        <f>IF(E5668=0,"",F5668/E5668-1)</f>
        <v/>
      </c>
      <c r="I5668" t="inlineStr"/>
    </row>
    <row r="5669">
      <c r="A5669" t="inlineStr">
        <is>
          <t>Other manufactured goods</t>
        </is>
      </c>
      <c r="B5669" t="inlineStr">
        <is>
          <t>94</t>
        </is>
      </c>
      <c r="C5669" t="inlineStr">
        <is>
          <t>94037000</t>
        </is>
      </c>
      <c r="D5669" t="inlineStr">
        <is>
          <t>FURNITURE OF PLASTICS</t>
        </is>
      </c>
      <c r="E5669" s="3" t="n">
        <v>0.44</v>
      </c>
      <c r="F5669" s="3" t="n">
        <v>0.9399999999999999</v>
      </c>
      <c r="G5669" s="3">
        <f>F5669-E5669</f>
        <v/>
      </c>
      <c r="H5669" s="4">
        <f>IF(E5669=0,"",F5669/E5669-1)</f>
        <v/>
      </c>
      <c r="I5669" t="inlineStr"/>
    </row>
    <row r="5670">
      <c r="A5670" t="inlineStr">
        <is>
          <t>Other manufactured goods</t>
        </is>
      </c>
      <c r="B5670" t="inlineStr">
        <is>
          <t>95</t>
        </is>
      </c>
      <c r="C5670" t="inlineStr">
        <is>
          <t>95072000</t>
        </is>
      </c>
      <c r="D5670" t="inlineStr">
        <is>
          <t>FISH-HOOKS,W/N SNELLED</t>
        </is>
      </c>
      <c r="E5670" s="3" t="n">
        <v>0.39</v>
      </c>
      <c r="F5670" s="3" t="n">
        <v>0.92</v>
      </c>
      <c r="G5670" s="3">
        <f>F5670-E5670</f>
        <v/>
      </c>
      <c r="H5670" s="4">
        <f>IF(E5670=0,"",F5670/E5670-1)</f>
        <v/>
      </c>
      <c r="I5670" t="inlineStr"/>
    </row>
    <row r="5671">
      <c r="A5671" t="inlineStr">
        <is>
          <t>Other manufactured goods</t>
        </is>
      </c>
      <c r="B5671" t="inlineStr">
        <is>
          <t>96</t>
        </is>
      </c>
      <c r="C5671" t="inlineStr">
        <is>
          <t>96071110</t>
        </is>
      </c>
      <c r="D5671" t="inlineStr">
        <is>
          <t>JIP FASTENERS</t>
        </is>
      </c>
      <c r="E5671" s="3" t="n">
        <v>0.08</v>
      </c>
      <c r="F5671" s="3" t="n">
        <v>0.9</v>
      </c>
      <c r="G5671" s="3">
        <f>F5671-E5671</f>
        <v/>
      </c>
      <c r="H5671" s="4">
        <f>IF(E5671=0,"",F5671/E5671-1)</f>
        <v/>
      </c>
      <c r="I5671" t="inlineStr"/>
    </row>
    <row r="5672">
      <c r="A5672" t="inlineStr">
        <is>
          <t>Other manufactured goods</t>
        </is>
      </c>
      <c r="B5672" t="inlineStr">
        <is>
          <t>96</t>
        </is>
      </c>
      <c r="C5672" t="inlineStr">
        <is>
          <t>96032100</t>
        </is>
      </c>
      <c r="D5672" t="inlineStr">
        <is>
          <t>TOOTH BRUSHES</t>
        </is>
      </c>
      <c r="E5672" s="3" t="n">
        <v>0.26</v>
      </c>
      <c r="F5672" s="3" t="n">
        <v>0.75</v>
      </c>
      <c r="G5672" s="3">
        <f>F5672-E5672</f>
        <v/>
      </c>
      <c r="H5672" s="4">
        <f>IF(E5672=0,"",F5672/E5672-1)</f>
        <v/>
      </c>
      <c r="I5672" t="inlineStr"/>
    </row>
    <row r="5673">
      <c r="A5673" t="inlineStr">
        <is>
          <t>Other manufactured goods</t>
        </is>
      </c>
      <c r="B5673" t="inlineStr">
        <is>
          <t>94</t>
        </is>
      </c>
      <c r="C5673" t="inlineStr">
        <is>
          <t>94031010</t>
        </is>
      </c>
      <c r="D5673" t="inlineStr">
        <is>
          <t>STEEL FURNITURE</t>
        </is>
      </c>
      <c r="E5673" s="3" t="n">
        <v>1.03</v>
      </c>
      <c r="F5673" s="3" t="n">
        <v>0.72</v>
      </c>
      <c r="G5673" s="3">
        <f>F5673-E5673</f>
        <v/>
      </c>
      <c r="H5673" s="4">
        <f>IF(E5673=0,"",F5673/E5673-1)</f>
        <v/>
      </c>
      <c r="I5673" t="inlineStr"/>
    </row>
    <row r="5674">
      <c r="A5674" t="inlineStr">
        <is>
          <t>Other manufactured goods</t>
        </is>
      </c>
      <c r="B5674" t="inlineStr">
        <is>
          <t>96</t>
        </is>
      </c>
      <c r="C5674" t="inlineStr">
        <is>
          <t>96039000</t>
        </is>
      </c>
      <c r="D5674" t="inlineStr">
        <is>
          <t>OTHER ARTICLES OF HDG 9603</t>
        </is>
      </c>
      <c r="E5674" s="3" t="n">
        <v>1.35</v>
      </c>
      <c r="F5674" s="3" t="n">
        <v>0.7</v>
      </c>
      <c r="G5674" s="3">
        <f>F5674-E5674</f>
        <v/>
      </c>
      <c r="H5674" s="4">
        <f>IF(E5674=0,"",F5674/E5674-1)</f>
        <v/>
      </c>
      <c r="I5674" t="inlineStr"/>
    </row>
    <row r="5675">
      <c r="A5675" t="inlineStr">
        <is>
          <t>Other manufactured goods</t>
        </is>
      </c>
      <c r="B5675" t="inlineStr">
        <is>
          <t>94</t>
        </is>
      </c>
      <c r="C5675" t="inlineStr">
        <is>
          <t>94049000</t>
        </is>
      </c>
      <c r="D5675" t="inlineStr">
        <is>
          <t>OTHERS-OF-OTHERS-OF-MATTRESS SUPPORTS; ARTICLES OF BEDDING AND SIMILAR FURNISHING (FOR EXAMPLE, MATTRESSES, QUILTS, EIDERDOWNS</t>
        </is>
      </c>
      <c r="E5675" s="3" t="n">
        <v>1.66</v>
      </c>
      <c r="F5675" s="3" t="n">
        <v>0.67</v>
      </c>
      <c r="G5675" s="3">
        <f>F5675-E5675</f>
        <v/>
      </c>
      <c r="H5675" s="4">
        <f>IF(E5675=0,"",F5675/E5675-1)</f>
        <v/>
      </c>
      <c r="I5675" t="inlineStr"/>
    </row>
    <row r="5676">
      <c r="A5676" t="inlineStr">
        <is>
          <t>Other manufactured goods</t>
        </is>
      </c>
      <c r="B5676" t="inlineStr">
        <is>
          <t>94</t>
        </is>
      </c>
      <c r="C5676" t="inlineStr">
        <is>
          <t>94059900</t>
        </is>
      </c>
      <c r="D5676" t="inlineStr">
        <is>
          <t>OTHR PARTS OF LAMPS AND LIGHING FITTINGS</t>
        </is>
      </c>
      <c r="E5676" s="3" t="n">
        <v>0.21</v>
      </c>
      <c r="F5676" s="3" t="n">
        <v>0.66</v>
      </c>
      <c r="G5676" s="3">
        <f>F5676-E5676</f>
        <v/>
      </c>
      <c r="H5676" s="4">
        <f>IF(E5676=0,"",F5676/E5676-1)</f>
        <v/>
      </c>
      <c r="I5676" t="inlineStr"/>
    </row>
    <row r="5677">
      <c r="A5677" t="inlineStr">
        <is>
          <t>Other manufactured goods</t>
        </is>
      </c>
      <c r="B5677" t="inlineStr">
        <is>
          <t>95</t>
        </is>
      </c>
      <c r="C5677" t="inlineStr">
        <is>
          <t>95079090</t>
        </is>
      </c>
      <c r="D5677" t="inlineStr">
        <is>
          <t>OTHERS(FISHING TACKLE,POLES ETC)</t>
        </is>
      </c>
      <c r="E5677" s="3" t="n">
        <v>0.42</v>
      </c>
      <c r="F5677" s="3" t="n">
        <v>0.64</v>
      </c>
      <c r="G5677" s="3">
        <f>F5677-E5677</f>
        <v/>
      </c>
      <c r="H5677" s="4">
        <f>IF(E5677=0,"",F5677/E5677-1)</f>
        <v/>
      </c>
      <c r="I5677" t="inlineStr"/>
    </row>
    <row r="5678">
      <c r="A5678" t="inlineStr">
        <is>
          <t>Other manufactured goods</t>
        </is>
      </c>
      <c r="B5678" t="inlineStr">
        <is>
          <t>95</t>
        </is>
      </c>
      <c r="C5678" t="inlineStr">
        <is>
          <t>95069990</t>
        </is>
      </c>
      <c r="D5678" t="inlineStr">
        <is>
          <t>OTHER SPORTS EQUIPMENTS</t>
        </is>
      </c>
      <c r="E5678" s="3" t="n">
        <v>0.45</v>
      </c>
      <c r="F5678" s="3" t="n">
        <v>0.58</v>
      </c>
      <c r="G5678" s="3">
        <f>F5678-E5678</f>
        <v/>
      </c>
      <c r="H5678" s="4">
        <f>IF(E5678=0,"",F5678/E5678-1)</f>
        <v/>
      </c>
      <c r="I5678" t="inlineStr"/>
    </row>
    <row r="5679">
      <c r="A5679" t="inlineStr">
        <is>
          <t>Other manufactured goods</t>
        </is>
      </c>
      <c r="B5679" t="inlineStr">
        <is>
          <t>94</t>
        </is>
      </c>
      <c r="C5679" t="inlineStr">
        <is>
          <t>94029010</t>
        </is>
      </c>
      <c r="D5679" t="inlineStr">
        <is>
          <t>HOSPITAL BEDS WTH MECHNCL FTTNGS</t>
        </is>
      </c>
      <c r="E5679" s="3" t="n">
        <v>0.05</v>
      </c>
      <c r="F5679" s="3" t="n">
        <v>0.48</v>
      </c>
      <c r="G5679" s="3">
        <f>F5679-E5679</f>
        <v/>
      </c>
      <c r="H5679" s="4">
        <f>IF(E5679=0,"",F5679/E5679-1)</f>
        <v/>
      </c>
      <c r="I5679" t="inlineStr"/>
    </row>
    <row r="5680">
      <c r="A5680" t="inlineStr">
        <is>
          <t>Other manufactured goods</t>
        </is>
      </c>
      <c r="B5680" t="inlineStr">
        <is>
          <t>94</t>
        </is>
      </c>
      <c r="C5680" t="inlineStr">
        <is>
          <t>94051900</t>
        </is>
      </c>
      <c r="D5680" t="inlineStr">
        <is>
          <t>OTHERS-OF-OTHERS-OF-LUMINAIRES AND LIGHTING FTTNGS INCL SEARCH LIGHT AND SPOTLIGHT ETC N.E.S.ILLUMINATD SIGN AND THE LIKE WTH</t>
        </is>
      </c>
      <c r="E5680" s="3" t="n">
        <v>0.46</v>
      </c>
      <c r="F5680" s="3" t="n">
        <v>0.48</v>
      </c>
      <c r="G5680" s="3">
        <f>F5680-E5680</f>
        <v/>
      </c>
      <c r="H5680" s="4">
        <f>IF(E5680=0,"",F5680/E5680-1)</f>
        <v/>
      </c>
      <c r="I5680" t="inlineStr"/>
    </row>
    <row r="5681">
      <c r="A5681" t="inlineStr">
        <is>
          <t>Other manufactured goods</t>
        </is>
      </c>
      <c r="B5681" t="inlineStr">
        <is>
          <t>96</t>
        </is>
      </c>
      <c r="C5681" t="inlineStr">
        <is>
          <t>96081099</t>
        </is>
      </c>
      <c r="D5681" t="inlineStr">
        <is>
          <t>OTHER BALL-POINT PENS WITHOUT LIQUID INK (FOR ROLLING BALL PEN)</t>
        </is>
      </c>
      <c r="E5681" s="3" t="n">
        <v>0.14</v>
      </c>
      <c r="F5681" s="3" t="n">
        <v>0.47</v>
      </c>
      <c r="G5681" s="3">
        <f>F5681-E5681</f>
        <v/>
      </c>
      <c r="H5681" s="4">
        <f>IF(E5681=0,"",F5681/E5681-1)</f>
        <v/>
      </c>
      <c r="I5681" t="inlineStr"/>
    </row>
    <row r="5682">
      <c r="A5682" t="inlineStr">
        <is>
          <t>Other manufactured goods</t>
        </is>
      </c>
      <c r="B5682" t="inlineStr">
        <is>
          <t>96</t>
        </is>
      </c>
      <c r="C5682" t="inlineStr">
        <is>
          <t>96082000</t>
        </is>
      </c>
      <c r="D5682" t="inlineStr">
        <is>
          <t>FELT-TPPD AND OTHR POROUS-TIPD PENS AND MRKRS</t>
        </is>
      </c>
      <c r="E5682" s="3" t="n">
        <v>0.53</v>
      </c>
      <c r="F5682" s="3" t="n">
        <v>0.47</v>
      </c>
      <c r="G5682" s="3">
        <f>F5682-E5682</f>
        <v/>
      </c>
      <c r="H5682" s="4">
        <f>IF(E5682=0,"",F5682/E5682-1)</f>
        <v/>
      </c>
      <c r="I5682" t="inlineStr"/>
    </row>
    <row r="5683">
      <c r="A5683" t="inlineStr">
        <is>
          <t>Other manufactured goods</t>
        </is>
      </c>
      <c r="B5683" t="inlineStr">
        <is>
          <t>93</t>
        </is>
      </c>
      <c r="C5683" t="inlineStr">
        <is>
          <t>93070000</t>
        </is>
      </c>
      <c r="D5683" t="inlineStr">
        <is>
          <t>SWORDS,CUTLASSES,BAYONETS,LANCES AND SMLR ARMS AND PRTS THROF AND SCABBARDS AND SHEATHS</t>
        </is>
      </c>
      <c r="E5683" s="3" t="n">
        <v>0.29</v>
      </c>
      <c r="F5683" s="3" t="n">
        <v>0.43</v>
      </c>
      <c r="G5683" s="3">
        <f>F5683-E5683</f>
        <v/>
      </c>
      <c r="H5683" s="4">
        <f>IF(E5683=0,"",F5683/E5683-1)</f>
        <v/>
      </c>
      <c r="I5683" t="inlineStr"/>
    </row>
    <row r="5684">
      <c r="A5684" t="inlineStr">
        <is>
          <t>Other manufactured goods</t>
        </is>
      </c>
      <c r="B5684" t="inlineStr">
        <is>
          <t>94</t>
        </is>
      </c>
      <c r="C5684" t="inlineStr">
        <is>
          <t>94044010</t>
        </is>
      </c>
      <c r="D5684" t="inlineStr">
        <is>
          <t>QUILTS</t>
        </is>
      </c>
      <c r="E5684" s="3" t="n">
        <v>0.25</v>
      </c>
      <c r="F5684" s="3" t="n">
        <v>0.38</v>
      </c>
      <c r="G5684" s="3">
        <f>F5684-E5684</f>
        <v/>
      </c>
      <c r="H5684" s="4">
        <f>IF(E5684=0,"",F5684/E5684-1)</f>
        <v/>
      </c>
      <c r="I5684" t="inlineStr"/>
    </row>
    <row r="5685">
      <c r="A5685" t="inlineStr">
        <is>
          <t>Other manufactured goods</t>
        </is>
      </c>
      <c r="B5685" t="inlineStr">
        <is>
          <t>94</t>
        </is>
      </c>
      <c r="C5685" t="inlineStr">
        <is>
          <t>94029090</t>
        </is>
      </c>
      <c r="D5685" t="inlineStr">
        <is>
          <t>OTHERS-OF-MEDICL,SURGICL,VETERINARY FURNITRS AND PARTS</t>
        </is>
      </c>
      <c r="E5685" s="3" t="n">
        <v>0.5600000000000001</v>
      </c>
      <c r="F5685" s="3" t="n">
        <v>0.37</v>
      </c>
      <c r="G5685" s="3">
        <f>F5685-E5685</f>
        <v/>
      </c>
      <c r="H5685" s="4">
        <f>IF(E5685=0,"",F5685/E5685-1)</f>
        <v/>
      </c>
      <c r="I5685" t="inlineStr"/>
    </row>
    <row r="5686">
      <c r="A5686" t="inlineStr">
        <is>
          <t>Other manufactured goods</t>
        </is>
      </c>
      <c r="B5686" t="inlineStr">
        <is>
          <t>96</t>
        </is>
      </c>
      <c r="C5686" t="inlineStr">
        <is>
          <t>96071910</t>
        </is>
      </c>
      <c r="D5686" t="inlineStr">
        <is>
          <t>JIP FASTENERS</t>
        </is>
      </c>
      <c r="E5686" s="3" t="n">
        <v>0.25</v>
      </c>
      <c r="F5686" s="3" t="n">
        <v>0.37</v>
      </c>
      <c r="G5686" s="3">
        <f>F5686-E5686</f>
        <v/>
      </c>
      <c r="H5686" s="4">
        <f>IF(E5686=0,"",F5686/E5686-1)</f>
        <v/>
      </c>
      <c r="I5686" t="inlineStr"/>
    </row>
    <row r="5687">
      <c r="A5687" t="inlineStr">
        <is>
          <t>Other manufactured goods</t>
        </is>
      </c>
      <c r="B5687" t="inlineStr">
        <is>
          <t>96</t>
        </is>
      </c>
      <c r="C5687" t="inlineStr">
        <is>
          <t>96190010</t>
        </is>
      </c>
      <c r="D5687" t="inlineStr">
        <is>
          <t>SANITARY TOWELS ( PADS) OR SANITARY NAPKINS</t>
        </is>
      </c>
      <c r="E5687" s="3" t="n">
        <v>0.19</v>
      </c>
      <c r="F5687" s="3" t="n">
        <v>0.35</v>
      </c>
      <c r="G5687" s="3">
        <f>F5687-E5687</f>
        <v/>
      </c>
      <c r="H5687" s="4">
        <f>IF(E5687=0,"",F5687/E5687-1)</f>
        <v/>
      </c>
      <c r="I5687" t="inlineStr"/>
    </row>
    <row r="5688">
      <c r="A5688" t="inlineStr">
        <is>
          <t>Other manufactured goods</t>
        </is>
      </c>
      <c r="B5688" t="inlineStr">
        <is>
          <t>94</t>
        </is>
      </c>
      <c r="C5688" t="inlineStr">
        <is>
          <t>94013900</t>
        </is>
      </c>
      <c r="D5688" t="inlineStr">
        <is>
          <t>OTHERS-OF-OTHERS-OF-SEATS (OTHER THAN THOSE OF HEADING 9402), WHETHER OR NOT CONVERTIBLE INTO BEDS, AND PARTS THEREOF</t>
        </is>
      </c>
      <c r="E5688" s="3" t="n">
        <v>0.16</v>
      </c>
      <c r="F5688" s="3" t="n">
        <v>0.31</v>
      </c>
      <c r="G5688" s="3">
        <f>F5688-E5688</f>
        <v/>
      </c>
      <c r="H5688" s="4">
        <f>IF(E5688=0,"",F5688/E5688-1)</f>
        <v/>
      </c>
      <c r="I5688" t="inlineStr"/>
    </row>
    <row r="5689">
      <c r="A5689" t="inlineStr">
        <is>
          <t>Other manufactured goods</t>
        </is>
      </c>
      <c r="B5689" t="inlineStr">
        <is>
          <t>94</t>
        </is>
      </c>
      <c r="C5689" t="inlineStr">
        <is>
          <t>94039900</t>
        </is>
      </c>
      <c r="D5689" t="inlineStr">
        <is>
          <t>OTHERS-OF-OTHERS-OF-OTHER FURNITURE AND PARTS THEREOF</t>
        </is>
      </c>
      <c r="E5689" s="3" t="n">
        <v>0.18</v>
      </c>
      <c r="F5689" s="3" t="n">
        <v>0.3</v>
      </c>
      <c r="G5689" s="3">
        <f>F5689-E5689</f>
        <v/>
      </c>
      <c r="H5689" s="4">
        <f>IF(E5689=0,"",F5689/E5689-1)</f>
        <v/>
      </c>
      <c r="I5689" t="inlineStr"/>
    </row>
    <row r="5690">
      <c r="A5690" t="inlineStr">
        <is>
          <t>Other manufactured goods</t>
        </is>
      </c>
      <c r="B5690" t="inlineStr">
        <is>
          <t>96</t>
        </is>
      </c>
      <c r="C5690" t="inlineStr">
        <is>
          <t>96019090</t>
        </is>
      </c>
      <c r="D5690" t="inlineStr">
        <is>
          <t>OTHR UNDER HDNG 9601</t>
        </is>
      </c>
      <c r="E5690" s="3" t="n">
        <v>0.04</v>
      </c>
      <c r="F5690" s="3" t="n">
        <v>0.3</v>
      </c>
      <c r="G5690" s="3">
        <f>F5690-E5690</f>
        <v/>
      </c>
      <c r="H5690" s="4">
        <f>IF(E5690=0,"",F5690/E5690-1)</f>
        <v/>
      </c>
      <c r="I5690" t="inlineStr"/>
    </row>
    <row r="5691">
      <c r="A5691" t="inlineStr">
        <is>
          <t>Other manufactured goods</t>
        </is>
      </c>
      <c r="B5691" t="inlineStr">
        <is>
          <t>94</t>
        </is>
      </c>
      <c r="C5691" t="inlineStr">
        <is>
          <t>94016900</t>
        </is>
      </c>
      <c r="D5691" t="inlineStr">
        <is>
          <t>OTHR SEATS WTH WOODEN FRAMES</t>
        </is>
      </c>
      <c r="E5691" s="3" t="n">
        <v>0.59</v>
      </c>
      <c r="F5691" s="3" t="n">
        <v>0.25</v>
      </c>
      <c r="G5691" s="3">
        <f>F5691-E5691</f>
        <v/>
      </c>
      <c r="H5691" s="4">
        <f>IF(E5691=0,"",F5691/E5691-1)</f>
        <v/>
      </c>
      <c r="I5691" t="inlineStr"/>
    </row>
    <row r="5692">
      <c r="A5692" t="inlineStr">
        <is>
          <t>Other manufactured goods</t>
        </is>
      </c>
      <c r="B5692" t="inlineStr">
        <is>
          <t>95</t>
        </is>
      </c>
      <c r="C5692" t="inlineStr">
        <is>
          <t>95030099</t>
        </is>
      </c>
      <c r="D5692" t="inlineStr">
        <is>
          <t>OTHERS-OF-TRICYCLES, SCOOTERS, PEDAL CARS AND SIMILAR WHEELED TOYS; DOLLS CARRIAGES; DOLLS; OTHER TOYS; REDUCED-SIZE</t>
        </is>
      </c>
      <c r="E5692" s="3" t="n">
        <v>0.34</v>
      </c>
      <c r="F5692" s="3" t="n">
        <v>0.24</v>
      </c>
      <c r="G5692" s="3">
        <f>F5692-E5692</f>
        <v/>
      </c>
      <c r="H5692" s="4">
        <f>IF(E5692=0,"",F5692/E5692-1)</f>
        <v/>
      </c>
      <c r="I5692" t="inlineStr"/>
    </row>
    <row r="5693">
      <c r="A5693" t="inlineStr">
        <is>
          <t>Other manufactured goods</t>
        </is>
      </c>
      <c r="B5693" t="inlineStr">
        <is>
          <t>94</t>
        </is>
      </c>
      <c r="C5693" t="inlineStr">
        <is>
          <t>94033010</t>
        </is>
      </c>
      <c r="D5693" t="inlineStr">
        <is>
          <t>CABINETWARE</t>
        </is>
      </c>
      <c r="E5693" s="3" t="n">
        <v>0.13</v>
      </c>
      <c r="F5693" s="3" t="n">
        <v>0.23</v>
      </c>
      <c r="G5693" s="3">
        <f>F5693-E5693</f>
        <v/>
      </c>
      <c r="H5693" s="4">
        <f>IF(E5693=0,"",F5693/E5693-1)</f>
        <v/>
      </c>
      <c r="I5693" t="inlineStr"/>
    </row>
    <row r="5694">
      <c r="A5694" t="inlineStr">
        <is>
          <t>Other manufactured goods</t>
        </is>
      </c>
      <c r="B5694" t="inlineStr">
        <is>
          <t>94</t>
        </is>
      </c>
      <c r="C5694" t="inlineStr">
        <is>
          <t>94035090</t>
        </is>
      </c>
      <c r="D5694" t="inlineStr">
        <is>
          <t>OTHER WOODEN FURNITURE USED IN BEDROOM</t>
        </is>
      </c>
      <c r="E5694" s="3" t="n">
        <v>0.26</v>
      </c>
      <c r="F5694" s="3" t="n">
        <v>0.23</v>
      </c>
      <c r="G5694" s="3">
        <f>F5694-E5694</f>
        <v/>
      </c>
      <c r="H5694" s="4">
        <f>IF(E5694=0,"",F5694/E5694-1)</f>
        <v/>
      </c>
      <c r="I5694" t="inlineStr"/>
    </row>
    <row r="5695">
      <c r="A5695" t="inlineStr">
        <is>
          <t>Other manufactured goods</t>
        </is>
      </c>
      <c r="B5695" t="inlineStr">
        <is>
          <t>95</t>
        </is>
      </c>
      <c r="C5695" t="inlineStr">
        <is>
          <t>95066920</t>
        </is>
      </c>
      <c r="D5695" t="inlineStr">
        <is>
          <t>CRICKET BALL</t>
        </is>
      </c>
      <c r="E5695" s="3" t="n">
        <v>0.02</v>
      </c>
      <c r="F5695" s="3" t="n">
        <v>0.22</v>
      </c>
      <c r="G5695" s="3">
        <f>F5695-E5695</f>
        <v/>
      </c>
      <c r="H5695" s="4">
        <f>IF(E5695=0,"",F5695/E5695-1)</f>
        <v/>
      </c>
      <c r="I5695" t="inlineStr"/>
    </row>
    <row r="5696">
      <c r="A5696" t="inlineStr">
        <is>
          <t>Other manufactured goods</t>
        </is>
      </c>
      <c r="B5696" t="inlineStr">
        <is>
          <t>94</t>
        </is>
      </c>
      <c r="C5696" t="inlineStr">
        <is>
          <t>94018000</t>
        </is>
      </c>
      <c r="D5696" t="inlineStr">
        <is>
          <t>OTHER SEATS</t>
        </is>
      </c>
      <c r="E5696" s="3" t="n">
        <v>0.17</v>
      </c>
      <c r="F5696" s="3" t="n">
        <v>0.21</v>
      </c>
      <c r="G5696" s="3">
        <f>F5696-E5696</f>
        <v/>
      </c>
      <c r="H5696" s="4">
        <f>IF(E5696=0,"",F5696/E5696-1)</f>
        <v/>
      </c>
      <c r="I5696" t="inlineStr"/>
    </row>
    <row r="5697">
      <c r="A5697" t="inlineStr">
        <is>
          <t>Other manufactured goods</t>
        </is>
      </c>
      <c r="B5697" t="inlineStr">
        <is>
          <t>94</t>
        </is>
      </c>
      <c r="C5697" t="inlineStr">
        <is>
          <t>94031090</t>
        </is>
      </c>
      <c r="D5697" t="inlineStr">
        <is>
          <t>OTHERS-OF-MTL FRNTR OF A KND USD IN OFFICES</t>
        </is>
      </c>
      <c r="E5697" s="3" t="n">
        <v>2.16</v>
      </c>
      <c r="F5697" s="3" t="n">
        <v>0.21</v>
      </c>
      <c r="G5697" s="3">
        <f>F5697-E5697</f>
        <v/>
      </c>
      <c r="H5697" s="4">
        <f>IF(E5697=0,"",F5697/E5697-1)</f>
        <v/>
      </c>
      <c r="I5697" t="inlineStr"/>
    </row>
    <row r="5698">
      <c r="A5698" t="inlineStr">
        <is>
          <t>Other manufactured goods</t>
        </is>
      </c>
      <c r="B5698" t="inlineStr">
        <is>
          <t>96</t>
        </is>
      </c>
      <c r="C5698" t="inlineStr">
        <is>
          <t>96190030</t>
        </is>
      </c>
      <c r="D5698" t="inlineStr">
        <is>
          <t>NAPKINS AND NAPKIN LINERS FOR BABIES</t>
        </is>
      </c>
      <c r="E5698" s="3" t="n">
        <v>0</v>
      </c>
      <c r="F5698" s="3" t="n">
        <v>0.2</v>
      </c>
      <c r="G5698" s="3">
        <f>F5698-E5698</f>
        <v/>
      </c>
      <c r="H5698" s="4">
        <f>IF(E5698=0,"",F5698/E5698-1)</f>
        <v/>
      </c>
      <c r="I5698" t="inlineStr"/>
    </row>
    <row r="5699">
      <c r="A5699" t="inlineStr">
        <is>
          <t>Other manufactured goods</t>
        </is>
      </c>
      <c r="B5699" t="inlineStr">
        <is>
          <t>94</t>
        </is>
      </c>
      <c r="C5699" t="inlineStr">
        <is>
          <t>94069090</t>
        </is>
      </c>
      <c r="D5699" t="inlineStr">
        <is>
          <t>OTHERS-OF-PREFABRICATED BUILDINGS OF OTHER THAN WOOD</t>
        </is>
      </c>
      <c r="E5699" s="3" t="n">
        <v>4.48</v>
      </c>
      <c r="F5699" s="3" t="n">
        <v>0.18</v>
      </c>
      <c r="G5699" s="3">
        <f>F5699-E5699</f>
        <v/>
      </c>
      <c r="H5699" s="4">
        <f>IF(E5699=0,"",F5699/E5699-1)</f>
        <v/>
      </c>
      <c r="I5699" t="inlineStr"/>
    </row>
    <row r="5700">
      <c r="A5700" t="inlineStr">
        <is>
          <t>Other manufactured goods</t>
        </is>
      </c>
      <c r="B5700" t="inlineStr">
        <is>
          <t>96</t>
        </is>
      </c>
      <c r="C5700" t="inlineStr">
        <is>
          <t>96121010</t>
        </is>
      </c>
      <c r="D5700" t="inlineStr">
        <is>
          <t>COMPUTERS PRINTER RIBBON</t>
        </is>
      </c>
      <c r="E5700" s="3" t="n">
        <v>0.07000000000000001</v>
      </c>
      <c r="F5700" s="3" t="n">
        <v>0.18</v>
      </c>
      <c r="G5700" s="3">
        <f>F5700-E5700</f>
        <v/>
      </c>
      <c r="H5700" s="4">
        <f>IF(E5700=0,"",F5700/E5700-1)</f>
        <v/>
      </c>
      <c r="I5700" t="inlineStr"/>
    </row>
    <row r="5701">
      <c r="A5701" t="inlineStr">
        <is>
          <t>Other manufactured goods</t>
        </is>
      </c>
      <c r="B5701" t="inlineStr">
        <is>
          <t>96</t>
        </is>
      </c>
      <c r="C5701" t="inlineStr">
        <is>
          <t>96121090</t>
        </is>
      </c>
      <c r="D5701" t="inlineStr">
        <is>
          <t>OTHERS-OF-RIBBONS</t>
        </is>
      </c>
      <c r="E5701" s="3" t="n">
        <v>0.26</v>
      </c>
      <c r="F5701" s="3" t="n">
        <v>0.18</v>
      </c>
      <c r="G5701" s="3">
        <f>F5701-E5701</f>
        <v/>
      </c>
      <c r="H5701" s="4">
        <f>IF(E5701=0,"",F5701/E5701-1)</f>
        <v/>
      </c>
      <c r="I5701" t="inlineStr"/>
    </row>
    <row r="5702">
      <c r="A5702" t="inlineStr">
        <is>
          <t>Other manufactured goods</t>
        </is>
      </c>
      <c r="B5702" t="inlineStr">
        <is>
          <t>95</t>
        </is>
      </c>
      <c r="C5702" t="inlineStr">
        <is>
          <t>95064000</t>
        </is>
      </c>
      <c r="D5702" t="inlineStr">
        <is>
          <t>ARTICLES AND EQUIPMENT FOR TABLE-TENNIS</t>
        </is>
      </c>
      <c r="E5702" s="3" t="n">
        <v>0.11</v>
      </c>
      <c r="F5702" s="3" t="n">
        <v>0.17</v>
      </c>
      <c r="G5702" s="3">
        <f>F5702-E5702</f>
        <v/>
      </c>
      <c r="H5702" s="4">
        <f>IF(E5702=0,"",F5702/E5702-1)</f>
        <v/>
      </c>
      <c r="I5702" t="inlineStr"/>
    </row>
    <row r="5703">
      <c r="A5703" t="inlineStr">
        <is>
          <t>Other manufactured goods</t>
        </is>
      </c>
      <c r="B5703" t="inlineStr">
        <is>
          <t>96</t>
        </is>
      </c>
      <c r="C5703" t="inlineStr">
        <is>
          <t>96072000</t>
        </is>
      </c>
      <c r="D5703" t="inlineStr">
        <is>
          <t>PARTS OF SLIDE FASTENERS</t>
        </is>
      </c>
      <c r="E5703" s="3" t="n">
        <v>0.09</v>
      </c>
      <c r="F5703" s="3" t="n">
        <v>0.16</v>
      </c>
      <c r="G5703" s="3">
        <f>F5703-E5703</f>
        <v/>
      </c>
      <c r="H5703" s="4">
        <f>IF(E5703=0,"",F5703/E5703-1)</f>
        <v/>
      </c>
      <c r="I5703" t="inlineStr"/>
    </row>
    <row r="5704">
      <c r="A5704" t="inlineStr">
        <is>
          <t>Other manufactured goods</t>
        </is>
      </c>
      <c r="B5704" t="inlineStr">
        <is>
          <t>96</t>
        </is>
      </c>
      <c r="C5704" t="inlineStr">
        <is>
          <t>96170011</t>
        </is>
      </c>
      <c r="D5704" t="inlineStr">
        <is>
          <t>VACUUM FLASKS HAVING A CAPACITY &lt;= 0.75 LT</t>
        </is>
      </c>
      <c r="E5704" s="3" t="n">
        <v>0.2</v>
      </c>
      <c r="F5704" s="3" t="n">
        <v>0.16</v>
      </c>
      <c r="G5704" s="3">
        <f>F5704-E5704</f>
        <v/>
      </c>
      <c r="H5704" s="4">
        <f>IF(E5704=0,"",F5704/E5704-1)</f>
        <v/>
      </c>
      <c r="I5704" t="inlineStr"/>
    </row>
    <row r="5705">
      <c r="A5705" t="inlineStr">
        <is>
          <t>Other manufactured goods</t>
        </is>
      </c>
      <c r="B5705" t="inlineStr">
        <is>
          <t>96</t>
        </is>
      </c>
      <c r="C5705" t="inlineStr">
        <is>
          <t>96035000</t>
        </is>
      </c>
      <c r="D5705" t="inlineStr">
        <is>
          <t>OTHR BRSHS CONSTNG PRTS OF MCHNS,VHCLS ETC</t>
        </is>
      </c>
      <c r="E5705" s="3" t="n">
        <v>0.21</v>
      </c>
      <c r="F5705" s="3" t="n">
        <v>0.14</v>
      </c>
      <c r="G5705" s="3">
        <f>F5705-E5705</f>
        <v/>
      </c>
      <c r="H5705" s="4">
        <f>IF(E5705=0,"",F5705/E5705-1)</f>
        <v/>
      </c>
      <c r="I5705" t="inlineStr"/>
    </row>
    <row r="5706">
      <c r="A5706" t="inlineStr">
        <is>
          <t>Other manufactured goods</t>
        </is>
      </c>
      <c r="B5706" t="inlineStr">
        <is>
          <t>94</t>
        </is>
      </c>
      <c r="C5706" t="inlineStr">
        <is>
          <t>94021010</t>
        </is>
      </c>
      <c r="D5706" t="inlineStr">
        <is>
          <t>DENTISTS CHAIRS AND PARTS THEREOF</t>
        </is>
      </c>
      <c r="E5706" s="3" t="n">
        <v>0</v>
      </c>
      <c r="F5706" s="3" t="n">
        <v>0.13</v>
      </c>
      <c r="G5706" s="3">
        <f>F5706-E5706</f>
        <v/>
      </c>
      <c r="H5706" s="4">
        <f>IF(E5706=0,"",F5706/E5706-1)</f>
        <v/>
      </c>
      <c r="I5706" t="inlineStr"/>
    </row>
    <row r="5707">
      <c r="A5707" t="inlineStr">
        <is>
          <t>Other manufactured goods</t>
        </is>
      </c>
      <c r="B5707" t="inlineStr">
        <is>
          <t>94</t>
        </is>
      </c>
      <c r="C5707" t="inlineStr">
        <is>
          <t>94044040</t>
        </is>
      </c>
      <c r="D5707" t="inlineStr">
        <is>
          <t>DUVETS(COMFORTERS)</t>
        </is>
      </c>
      <c r="E5707" s="3" t="n">
        <v>0.2</v>
      </c>
      <c r="F5707" s="3" t="n">
        <v>0.13</v>
      </c>
      <c r="G5707" s="3">
        <f>F5707-E5707</f>
        <v/>
      </c>
      <c r="H5707" s="4">
        <f>IF(E5707=0,"",F5707/E5707-1)</f>
        <v/>
      </c>
      <c r="I5707" t="inlineStr"/>
    </row>
    <row r="5708">
      <c r="A5708" t="inlineStr">
        <is>
          <t>Other manufactured goods</t>
        </is>
      </c>
      <c r="B5708" t="inlineStr">
        <is>
          <t>96</t>
        </is>
      </c>
      <c r="C5708" t="inlineStr">
        <is>
          <t>96100000</t>
        </is>
      </c>
      <c r="D5708" t="inlineStr">
        <is>
          <t>SLATES AND BOARDS,WITH WRITING/DRAWING SURFACES,W/N FRAMED</t>
        </is>
      </c>
      <c r="E5708" s="3" t="n">
        <v>0</v>
      </c>
      <c r="F5708" s="3" t="n">
        <v>0.12</v>
      </c>
      <c r="G5708" s="3">
        <f>F5708-E5708</f>
        <v/>
      </c>
      <c r="H5708" s="4">
        <f>IF(E5708=0,"",F5708/E5708-1)</f>
        <v/>
      </c>
      <c r="I5708" t="inlineStr"/>
    </row>
    <row r="5709">
      <c r="A5709" t="inlineStr">
        <is>
          <t>Other manufactured goods</t>
        </is>
      </c>
      <c r="B5709" t="inlineStr">
        <is>
          <t>94</t>
        </is>
      </c>
      <c r="C5709" t="inlineStr">
        <is>
          <t>94055000</t>
        </is>
      </c>
      <c r="D5709" t="inlineStr">
        <is>
          <t>NON ELECTRICAL LUMINARIES AND LIGHTING FITTINGS</t>
        </is>
      </c>
      <c r="E5709" s="3" t="n">
        <v>0.01</v>
      </c>
      <c r="F5709" s="3" t="n">
        <v>0.11</v>
      </c>
      <c r="G5709" s="3">
        <f>F5709-E5709</f>
        <v/>
      </c>
      <c r="H5709" s="4">
        <f>IF(E5709=0,"",F5709/E5709-1)</f>
        <v/>
      </c>
      <c r="I5709" t="inlineStr"/>
    </row>
    <row r="5710">
      <c r="A5710" t="inlineStr">
        <is>
          <t>Other manufactured goods</t>
        </is>
      </c>
      <c r="B5710" t="inlineStr">
        <is>
          <t>94</t>
        </is>
      </c>
      <c r="C5710" t="inlineStr">
        <is>
          <t>94021090</t>
        </is>
      </c>
      <c r="D5710" t="inlineStr">
        <is>
          <t>BARBERS OR SIMILAR CHAIRS AND PARTS THEREOF</t>
        </is>
      </c>
      <c r="E5710" s="3" t="n">
        <v>0</v>
      </c>
      <c r="F5710" s="3" t="n">
        <v>0.1</v>
      </c>
      <c r="G5710" s="3">
        <f>F5710-E5710</f>
        <v/>
      </c>
      <c r="H5710" s="4">
        <f>IF(E5710=0,"",F5710/E5710-1)</f>
        <v/>
      </c>
      <c r="I5710" t="inlineStr"/>
    </row>
    <row r="5711">
      <c r="A5711" t="inlineStr">
        <is>
          <t>Other manufactured goods</t>
        </is>
      </c>
      <c r="B5711" t="inlineStr">
        <is>
          <t>94</t>
        </is>
      </c>
      <c r="C5711" t="inlineStr">
        <is>
          <t>94017900</t>
        </is>
      </c>
      <c r="D5711" t="inlineStr">
        <is>
          <t>OTHR SEATS WTH MTL FRMS</t>
        </is>
      </c>
      <c r="E5711" s="3" t="n">
        <v>0.11</v>
      </c>
      <c r="F5711" s="3" t="n">
        <v>0.08</v>
      </c>
      <c r="G5711" s="3">
        <f>F5711-E5711</f>
        <v/>
      </c>
      <c r="H5711" s="4">
        <f>IF(E5711=0,"",F5711/E5711-1)</f>
        <v/>
      </c>
      <c r="I5711" t="inlineStr"/>
    </row>
    <row r="5712">
      <c r="A5712" t="inlineStr">
        <is>
          <t>Other manufactured goods</t>
        </is>
      </c>
      <c r="B5712" t="inlineStr">
        <is>
          <t>94</t>
        </is>
      </c>
      <c r="C5712" t="inlineStr">
        <is>
          <t>94041000</t>
        </is>
      </c>
      <c r="D5712" t="inlineStr">
        <is>
          <t>MATTRESS SUPPORTS</t>
        </is>
      </c>
      <c r="E5712" s="3" t="n">
        <v>0.15</v>
      </c>
      <c r="F5712" s="3" t="n">
        <v>0.08</v>
      </c>
      <c r="G5712" s="3">
        <f>F5712-E5712</f>
        <v/>
      </c>
      <c r="H5712" s="4">
        <f>IF(E5712=0,"",F5712/E5712-1)</f>
        <v/>
      </c>
      <c r="I5712" t="inlineStr"/>
    </row>
    <row r="5713">
      <c r="A5713" t="inlineStr">
        <is>
          <t>Other manufactured goods</t>
        </is>
      </c>
      <c r="B5713" t="inlineStr">
        <is>
          <t>95</t>
        </is>
      </c>
      <c r="C5713" t="inlineStr">
        <is>
          <t>95066990</t>
        </is>
      </c>
      <c r="D5713" t="inlineStr">
        <is>
          <t>OTHERS-OF-OTHER BALLS</t>
        </is>
      </c>
      <c r="E5713" s="3" t="n">
        <v>0</v>
      </c>
      <c r="F5713" s="3" t="n">
        <v>0.08</v>
      </c>
      <c r="G5713" s="3">
        <f>F5713-E5713</f>
        <v/>
      </c>
      <c r="H5713" s="4">
        <f>IF(E5713=0,"",F5713/E5713-1)</f>
        <v/>
      </c>
      <c r="I5713" t="inlineStr"/>
    </row>
    <row r="5714">
      <c r="A5714" t="inlineStr">
        <is>
          <t>Other manufactured goods</t>
        </is>
      </c>
      <c r="B5714" t="inlineStr">
        <is>
          <t>94</t>
        </is>
      </c>
      <c r="C5714" t="inlineStr">
        <is>
          <t>94054100</t>
        </is>
      </c>
      <c r="D5714" t="inlineStr">
        <is>
          <t>PHOTOVOLATIC, DESIGNED FOR USE SOLELY WITH LED LIGHT SOURCES</t>
        </is>
      </c>
      <c r="E5714" s="3" t="n">
        <v>0.01</v>
      </c>
      <c r="F5714" s="3" t="n">
        <v>0.07000000000000001</v>
      </c>
      <c r="G5714" s="3">
        <f>F5714-E5714</f>
        <v/>
      </c>
      <c r="H5714" s="4">
        <f>IF(E5714=0,"",F5714/E5714-1)</f>
        <v/>
      </c>
      <c r="I5714" t="inlineStr"/>
    </row>
    <row r="5715">
      <c r="A5715" t="inlineStr">
        <is>
          <t>Other manufactured goods</t>
        </is>
      </c>
      <c r="B5715" t="inlineStr">
        <is>
          <t>94</t>
        </is>
      </c>
      <c r="C5715" t="inlineStr">
        <is>
          <t>94061090</t>
        </is>
      </c>
      <c r="D5715" t="inlineStr">
        <is>
          <t>OTHERS-OF-PREFABRICATED BUILDINGS OF WOOD</t>
        </is>
      </c>
      <c r="E5715" s="3" t="n">
        <v>0</v>
      </c>
      <c r="F5715" s="3" t="n">
        <v>0.07000000000000001</v>
      </c>
      <c r="G5715" s="3">
        <f>F5715-E5715</f>
        <v/>
      </c>
      <c r="H5715" s="4">
        <f>IF(E5715=0,"",F5715/E5715-1)</f>
        <v/>
      </c>
      <c r="I5715" t="inlineStr"/>
    </row>
    <row r="5716">
      <c r="A5716" t="inlineStr">
        <is>
          <t>Other manufactured goods</t>
        </is>
      </c>
      <c r="B5716" t="inlineStr">
        <is>
          <t>94</t>
        </is>
      </c>
      <c r="C5716" t="inlineStr">
        <is>
          <t>94069010</t>
        </is>
      </c>
      <c r="D5716" t="inlineStr">
        <is>
          <t>PREFABRICATED BUILDINGS OF OTHER THAN WOOD GREEN-HOUSES</t>
        </is>
      </c>
      <c r="E5716" s="3" t="n">
        <v>0</v>
      </c>
      <c r="F5716" s="3" t="n">
        <v>0.07000000000000001</v>
      </c>
      <c r="G5716" s="3">
        <f>F5716-E5716</f>
        <v/>
      </c>
      <c r="H5716" s="4">
        <f>IF(E5716=0,"",F5716/E5716-1)</f>
        <v/>
      </c>
      <c r="I5716" t="inlineStr"/>
    </row>
    <row r="5717">
      <c r="A5717" t="inlineStr">
        <is>
          <t>Other manufactured goods</t>
        </is>
      </c>
      <c r="B5717" t="inlineStr">
        <is>
          <t>95</t>
        </is>
      </c>
      <c r="C5717" t="inlineStr">
        <is>
          <t>95069920</t>
        </is>
      </c>
      <c r="D5717" t="inlineStr">
        <is>
          <t>LEG PADS AND BATS FOR CRICKET</t>
        </is>
      </c>
      <c r="E5717" s="3" t="n">
        <v>0.04</v>
      </c>
      <c r="F5717" s="3" t="n">
        <v>0.07000000000000001</v>
      </c>
      <c r="G5717" s="3">
        <f>F5717-E5717</f>
        <v/>
      </c>
      <c r="H5717" s="4">
        <f>IF(E5717=0,"",F5717/E5717-1)</f>
        <v/>
      </c>
      <c r="I5717" t="inlineStr"/>
    </row>
    <row r="5718">
      <c r="A5718" t="inlineStr">
        <is>
          <t>Other manufactured goods</t>
        </is>
      </c>
      <c r="B5718" t="inlineStr">
        <is>
          <t>95</t>
        </is>
      </c>
      <c r="C5718" t="inlineStr">
        <is>
          <t>95069960</t>
        </is>
      </c>
      <c r="D5718" t="inlineStr">
        <is>
          <t>SPORTS NETS</t>
        </is>
      </c>
      <c r="E5718" s="3" t="n">
        <v>0.05</v>
      </c>
      <c r="F5718" s="3" t="n">
        <v>0.07000000000000001</v>
      </c>
      <c r="G5718" s="3">
        <f>F5718-E5718</f>
        <v/>
      </c>
      <c r="H5718" s="4">
        <f>IF(E5718=0,"",F5718/E5718-1)</f>
        <v/>
      </c>
      <c r="I5718" t="inlineStr"/>
    </row>
    <row r="5719">
      <c r="A5719" t="inlineStr">
        <is>
          <t>Other manufactured goods</t>
        </is>
      </c>
      <c r="B5719" t="inlineStr">
        <is>
          <t>96</t>
        </is>
      </c>
      <c r="C5719" t="inlineStr">
        <is>
          <t>96033010</t>
        </is>
      </c>
      <c r="D5719" t="inlineStr">
        <is>
          <t>ARTIST BRUSHES</t>
        </is>
      </c>
      <c r="E5719" s="3" t="n">
        <v>0.14</v>
      </c>
      <c r="F5719" s="3" t="n">
        <v>0.07000000000000001</v>
      </c>
      <c r="G5719" s="3">
        <f>F5719-E5719</f>
        <v/>
      </c>
      <c r="H5719" s="4">
        <f>IF(E5719=0,"",F5719/E5719-1)</f>
        <v/>
      </c>
      <c r="I5719" t="inlineStr"/>
    </row>
    <row r="5720">
      <c r="A5720" t="inlineStr">
        <is>
          <t>Other manufactured goods</t>
        </is>
      </c>
      <c r="B5720" t="inlineStr">
        <is>
          <t>96</t>
        </is>
      </c>
      <c r="C5720" t="inlineStr">
        <is>
          <t>96040000</t>
        </is>
      </c>
      <c r="D5720" t="inlineStr">
        <is>
          <t>HAND SIEVES AND HAND RIDDLES</t>
        </is>
      </c>
      <c r="E5720" s="3" t="n">
        <v>0.01</v>
      </c>
      <c r="F5720" s="3" t="n">
        <v>0.07000000000000001</v>
      </c>
      <c r="G5720" s="3">
        <f>F5720-E5720</f>
        <v/>
      </c>
      <c r="H5720" s="4">
        <f>IF(E5720=0,"",F5720/E5720-1)</f>
        <v/>
      </c>
      <c r="I5720" t="inlineStr"/>
    </row>
    <row r="5721">
      <c r="A5721" t="inlineStr">
        <is>
          <t>Other manufactured goods</t>
        </is>
      </c>
      <c r="B5721" t="inlineStr">
        <is>
          <t>96</t>
        </is>
      </c>
      <c r="C5721" t="inlineStr">
        <is>
          <t>96099090</t>
        </is>
      </c>
      <c r="D5721" t="inlineStr">
        <is>
          <t>OTHR PNCLS;PSTLS,CHARCOALSAND CHALKS</t>
        </is>
      </c>
      <c r="E5721" s="3" t="n">
        <v>0.08</v>
      </c>
      <c r="F5721" s="3" t="n">
        <v>0.07000000000000001</v>
      </c>
      <c r="G5721" s="3">
        <f>F5721-E5721</f>
        <v/>
      </c>
      <c r="H5721" s="4">
        <f>IF(E5721=0,"",F5721/E5721-1)</f>
        <v/>
      </c>
      <c r="I5721" t="inlineStr"/>
    </row>
    <row r="5722">
      <c r="A5722" t="inlineStr">
        <is>
          <t>Other manufactured goods</t>
        </is>
      </c>
      <c r="B5722" t="inlineStr">
        <is>
          <t>96</t>
        </is>
      </c>
      <c r="C5722" t="inlineStr">
        <is>
          <t>96161020</t>
        </is>
      </c>
      <c r="D5722" t="inlineStr">
        <is>
          <t>MOUNTS AND HEADS</t>
        </is>
      </c>
      <c r="E5722" s="3" t="n">
        <v>0</v>
      </c>
      <c r="F5722" s="3" t="n">
        <v>0.06</v>
      </c>
      <c r="G5722" s="3">
        <f>F5722-E5722</f>
        <v/>
      </c>
      <c r="H5722" s="4">
        <f>IF(E5722=0,"",F5722/E5722-1)</f>
        <v/>
      </c>
      <c r="I5722" t="inlineStr"/>
    </row>
    <row r="5723">
      <c r="A5723" t="inlineStr">
        <is>
          <t>Other manufactured goods</t>
        </is>
      </c>
      <c r="B5723" t="inlineStr">
        <is>
          <t>94</t>
        </is>
      </c>
      <c r="C5723" t="inlineStr">
        <is>
          <t>94035010</t>
        </is>
      </c>
      <c r="D5723" t="inlineStr">
        <is>
          <t>BED STEAD</t>
        </is>
      </c>
      <c r="E5723" s="3" t="n">
        <v>0.08</v>
      </c>
      <c r="F5723" s="3" t="n">
        <v>0.05</v>
      </c>
      <c r="G5723" s="3">
        <f>F5723-E5723</f>
        <v/>
      </c>
      <c r="H5723" s="4">
        <f>IF(E5723=0,"",F5723/E5723-1)</f>
        <v/>
      </c>
      <c r="I5723" t="inlineStr"/>
    </row>
    <row r="5724">
      <c r="A5724" t="inlineStr">
        <is>
          <t>Other manufactured goods</t>
        </is>
      </c>
      <c r="B5724" t="inlineStr">
        <is>
          <t>94</t>
        </is>
      </c>
      <c r="C5724" t="inlineStr">
        <is>
          <t>94042990</t>
        </is>
      </c>
      <c r="D5724" t="inlineStr">
        <is>
          <t>OTHR MATTRESSES OF OTHR MATERIAL</t>
        </is>
      </c>
      <c r="E5724" s="3" t="n">
        <v>0.07000000000000001</v>
      </c>
      <c r="F5724" s="3" t="n">
        <v>0.05</v>
      </c>
      <c r="G5724" s="3">
        <f>F5724-E5724</f>
        <v/>
      </c>
      <c r="H5724" s="4">
        <f>IF(E5724=0,"",F5724/E5724-1)</f>
        <v/>
      </c>
      <c r="I5724" t="inlineStr"/>
    </row>
    <row r="5725">
      <c r="A5725" t="inlineStr">
        <is>
          <t>Other manufactured goods</t>
        </is>
      </c>
      <c r="B5725" t="inlineStr">
        <is>
          <t>95</t>
        </is>
      </c>
      <c r="C5725" t="inlineStr">
        <is>
          <t>95049090</t>
        </is>
      </c>
      <c r="D5725" t="inlineStr">
        <is>
          <t>0THERS</t>
        </is>
      </c>
      <c r="E5725" s="3" t="n">
        <v>0.11</v>
      </c>
      <c r="F5725" s="3" t="n">
        <v>0.05</v>
      </c>
      <c r="G5725" s="3">
        <f>F5725-E5725</f>
        <v/>
      </c>
      <c r="H5725" s="4">
        <f>IF(E5725=0,"",F5725/E5725-1)</f>
        <v/>
      </c>
      <c r="I5725" t="inlineStr"/>
    </row>
    <row r="5726">
      <c r="A5726" t="inlineStr">
        <is>
          <t>Other manufactured goods</t>
        </is>
      </c>
      <c r="B5726" t="inlineStr">
        <is>
          <t>95</t>
        </is>
      </c>
      <c r="C5726" t="inlineStr">
        <is>
          <t>95082900</t>
        </is>
      </c>
      <c r="D5726" t="inlineStr">
        <is>
          <t>OTHERS-OF-OTHERS-OF-TRVLING( CIRCUESAND MENAGES)PARK RIDE( AMSMENTANDWATR ) ; FAIGRND AMSENTS, INCLUDING SHTING GALRIES; TRAVL</t>
        </is>
      </c>
      <c r="E5726" s="3" t="n">
        <v>0</v>
      </c>
      <c r="F5726" s="3" t="n">
        <v>0.05</v>
      </c>
      <c r="G5726" s="3">
        <f>F5726-E5726</f>
        <v/>
      </c>
      <c r="H5726" s="4">
        <f>IF(E5726=0,"",F5726/E5726-1)</f>
        <v/>
      </c>
      <c r="I5726" t="inlineStr"/>
    </row>
    <row r="5727">
      <c r="A5727" t="inlineStr">
        <is>
          <t>Other manufactured goods</t>
        </is>
      </c>
      <c r="B5727" t="inlineStr">
        <is>
          <t>96</t>
        </is>
      </c>
      <c r="C5727" t="inlineStr">
        <is>
          <t>96180000</t>
        </is>
      </c>
      <c r="D5727" t="inlineStr">
        <is>
          <t>TALRSDUMIS AND OTHRLAY FGRS;AUTMTA AND OTHR ANMTD DISPLAYS USED FR SHOP WINDOW DRSSNG</t>
        </is>
      </c>
      <c r="E5727" s="3" t="n">
        <v>0.04</v>
      </c>
      <c r="F5727" s="3" t="n">
        <v>0.05</v>
      </c>
      <c r="G5727" s="3">
        <f>F5727-E5727</f>
        <v/>
      </c>
      <c r="H5727" s="4">
        <f>IF(E5727=0,"",F5727/E5727-1)</f>
        <v/>
      </c>
      <c r="I5727" t="inlineStr"/>
    </row>
    <row r="5728">
      <c r="A5728" t="inlineStr">
        <is>
          <t>Other manufactured goods</t>
        </is>
      </c>
      <c r="B5728" t="inlineStr">
        <is>
          <t>97</t>
        </is>
      </c>
      <c r="C5728" t="inlineStr">
        <is>
          <t>97019100</t>
        </is>
      </c>
      <c r="D5728" t="inlineStr">
        <is>
          <t>PAINTINGS, DRAWINGS AND PASTELS</t>
        </is>
      </c>
      <c r="E5728" s="3" t="n">
        <v>0</v>
      </c>
      <c r="F5728" s="3" t="n">
        <v>0.04</v>
      </c>
      <c r="G5728" s="3">
        <f>F5728-E5728</f>
        <v/>
      </c>
      <c r="H5728" s="4">
        <f>IF(E5728=0,"",F5728/E5728-1)</f>
        <v/>
      </c>
      <c r="I5728" t="inlineStr"/>
    </row>
    <row r="5729">
      <c r="A5729" t="inlineStr">
        <is>
          <t>Other manufactured goods</t>
        </is>
      </c>
      <c r="B5729" t="inlineStr">
        <is>
          <t>94</t>
        </is>
      </c>
      <c r="C5729" t="inlineStr">
        <is>
          <t>94017100</t>
        </is>
      </c>
      <c r="D5729" t="inlineStr">
        <is>
          <t>UPHOLSTERED SEATS WTH MTL FRMS</t>
        </is>
      </c>
      <c r="E5729" s="3" t="n">
        <v>0.13</v>
      </c>
      <c r="F5729" s="3" t="n">
        <v>0.03</v>
      </c>
      <c r="G5729" s="3">
        <f>F5729-E5729</f>
        <v/>
      </c>
      <c r="H5729" s="4">
        <f>IF(E5729=0,"",F5729/E5729-1)</f>
        <v/>
      </c>
      <c r="I5729" t="inlineStr"/>
    </row>
    <row r="5730">
      <c r="A5730" t="inlineStr">
        <is>
          <t>Other manufactured goods</t>
        </is>
      </c>
      <c r="B5730" t="inlineStr">
        <is>
          <t>94</t>
        </is>
      </c>
      <c r="C5730" t="inlineStr">
        <is>
          <t>94052900</t>
        </is>
      </c>
      <c r="D5730" t="inlineStr">
        <is>
          <t>OTHERS-OF-OTHERS-OF-LUMINAIRES AND LIGHTING FTTNGS INCL SEARCH LIGHT AND SPOTLIGHT ETC N.E.S.ILLUMINATD SIGN AND THE LIKE WTH</t>
        </is>
      </c>
      <c r="E5730" s="3" t="n">
        <v>0.01</v>
      </c>
      <c r="F5730" s="3" t="n">
        <v>0.03</v>
      </c>
      <c r="G5730" s="3">
        <f>F5730-E5730</f>
        <v/>
      </c>
      <c r="H5730" s="4">
        <f>IF(E5730=0,"",F5730/E5730-1)</f>
        <v/>
      </c>
      <c r="I5730" t="inlineStr"/>
    </row>
    <row r="5731">
      <c r="A5731" t="inlineStr">
        <is>
          <t>Other manufactured goods</t>
        </is>
      </c>
      <c r="B5731" t="inlineStr">
        <is>
          <t>94</t>
        </is>
      </c>
      <c r="C5731" t="inlineStr">
        <is>
          <t>94053900</t>
        </is>
      </c>
      <c r="D5731" t="inlineStr">
        <is>
          <t>OTHERS-OF-OTHERS-OF-LUMINAIRES AND LIGHTING FTTNGS INCL SEARCH LIGHT AND SPOTLIGHT ETC N.E.S.ILLUMINATD SIGN AND THE LIKE WTH</t>
        </is>
      </c>
      <c r="E5731" s="3" t="n">
        <v>0</v>
      </c>
      <c r="F5731" s="3" t="n">
        <v>0.03</v>
      </c>
      <c r="G5731" s="3">
        <f>F5731-E5731</f>
        <v/>
      </c>
      <c r="H5731" s="4">
        <f>IF(E5731=0,"",F5731/E5731-1)</f>
        <v/>
      </c>
      <c r="I5731" t="inlineStr"/>
    </row>
    <row r="5732">
      <c r="A5732" t="inlineStr">
        <is>
          <t>Other manufactured goods</t>
        </is>
      </c>
      <c r="B5732" t="inlineStr">
        <is>
          <t>96</t>
        </is>
      </c>
      <c r="C5732" t="inlineStr">
        <is>
          <t>96032900</t>
        </is>
      </c>
      <c r="D5732" t="inlineStr">
        <is>
          <t>SAVNG,HAIR,NAIL,EYELASH AND FR PRSONAL USE,CONSTUTNG PRTS OF APPLNCS</t>
        </is>
      </c>
      <c r="E5732" s="3" t="n">
        <v>0.14</v>
      </c>
      <c r="F5732" s="3" t="n">
        <v>0.03</v>
      </c>
      <c r="G5732" s="3">
        <f>F5732-E5732</f>
        <v/>
      </c>
      <c r="H5732" s="4">
        <f>IF(E5732=0,"",F5732/E5732-1)</f>
        <v/>
      </c>
      <c r="I5732" t="inlineStr"/>
    </row>
    <row r="5733">
      <c r="A5733" t="inlineStr">
        <is>
          <t>Other manufactured goods</t>
        </is>
      </c>
      <c r="B5733" t="inlineStr">
        <is>
          <t>96</t>
        </is>
      </c>
      <c r="C5733" t="inlineStr">
        <is>
          <t>96033090</t>
        </is>
      </c>
      <c r="D5733" t="inlineStr">
        <is>
          <t>OTHR BRUSHES UNDER SUB-HDNG 960330</t>
        </is>
      </c>
      <c r="E5733" s="3" t="n">
        <v>0.01</v>
      </c>
      <c r="F5733" s="3" t="n">
        <v>0.03</v>
      </c>
      <c r="G5733" s="3">
        <f>F5733-E5733</f>
        <v/>
      </c>
      <c r="H5733" s="4">
        <f>IF(E5733=0,"",F5733/E5733-1)</f>
        <v/>
      </c>
      <c r="I5733" t="inlineStr"/>
    </row>
    <row r="5734">
      <c r="A5734" t="inlineStr">
        <is>
          <t>Other manufactured goods</t>
        </is>
      </c>
      <c r="B5734" t="inlineStr">
        <is>
          <t>96</t>
        </is>
      </c>
      <c r="C5734" t="inlineStr">
        <is>
          <t>96083099</t>
        </is>
      </c>
      <c r="D5734" t="inlineStr">
        <is>
          <t>OTHER PENS OF HDG. 9608</t>
        </is>
      </c>
      <c r="E5734" s="3" t="n">
        <v>0.13</v>
      </c>
      <c r="F5734" s="3" t="n">
        <v>0.03</v>
      </c>
      <c r="G5734" s="3">
        <f>F5734-E5734</f>
        <v/>
      </c>
      <c r="H5734" s="4">
        <f>IF(E5734=0,"",F5734/E5734-1)</f>
        <v/>
      </c>
      <c r="I5734" t="inlineStr"/>
    </row>
    <row r="5735">
      <c r="A5735" t="inlineStr">
        <is>
          <t>Other manufactured goods</t>
        </is>
      </c>
      <c r="B5735" t="inlineStr">
        <is>
          <t>96</t>
        </is>
      </c>
      <c r="C5735" t="inlineStr">
        <is>
          <t>96138090</t>
        </is>
      </c>
      <c r="D5735" t="inlineStr">
        <is>
          <t>OTHERS-OF-OTHER LIGHTERS :</t>
        </is>
      </c>
      <c r="E5735" s="3" t="n">
        <v>0.02</v>
      </c>
      <c r="F5735" s="3" t="n">
        <v>0.03</v>
      </c>
      <c r="G5735" s="3">
        <f>F5735-E5735</f>
        <v/>
      </c>
      <c r="H5735" s="4">
        <f>IF(E5735=0,"",F5735/E5735-1)</f>
        <v/>
      </c>
      <c r="I5735" t="inlineStr"/>
    </row>
    <row r="5736">
      <c r="A5736" t="inlineStr">
        <is>
          <t>Other manufactured goods</t>
        </is>
      </c>
      <c r="B5736" t="inlineStr">
        <is>
          <t>96</t>
        </is>
      </c>
      <c r="C5736" t="inlineStr">
        <is>
          <t>96170012</t>
        </is>
      </c>
      <c r="D5736" t="inlineStr">
        <is>
          <t>VACUUM FLASKS HAVING A CAPACITY &gt; 0.75 LT</t>
        </is>
      </c>
      <c r="E5736" s="3" t="n">
        <v>0.05</v>
      </c>
      <c r="F5736" s="3" t="n">
        <v>0.03</v>
      </c>
      <c r="G5736" s="3">
        <f>F5736-E5736</f>
        <v/>
      </c>
      <c r="H5736" s="4">
        <f>IF(E5736=0,"",F5736/E5736-1)</f>
        <v/>
      </c>
      <c r="I5736" t="inlineStr"/>
    </row>
    <row r="5737">
      <c r="A5737" t="inlineStr">
        <is>
          <t>Other manufactured goods</t>
        </is>
      </c>
      <c r="B5737" t="inlineStr">
        <is>
          <t>97</t>
        </is>
      </c>
      <c r="C5737" t="inlineStr">
        <is>
          <t>97039090</t>
        </is>
      </c>
      <c r="D5737" t="inlineStr">
        <is>
          <t>OTHERS-OF-OTHERS-OF-ORIGNL SCLPTRS AND STATUARY,IN ANY MATRL</t>
        </is>
      </c>
      <c r="E5737" s="3" t="n">
        <v>0.03</v>
      </c>
      <c r="F5737" s="3" t="n">
        <v>0.03</v>
      </c>
      <c r="G5737" s="3">
        <f>F5737-E5737</f>
        <v/>
      </c>
      <c r="H5737" s="4">
        <f>IF(E5737=0,"",F5737/E5737-1)</f>
        <v/>
      </c>
      <c r="I5737" t="inlineStr"/>
    </row>
    <row r="5738">
      <c r="A5738" t="inlineStr">
        <is>
          <t>Other manufactured goods</t>
        </is>
      </c>
      <c r="B5738" t="inlineStr">
        <is>
          <t>94</t>
        </is>
      </c>
      <c r="C5738" t="inlineStr">
        <is>
          <t>94039100</t>
        </is>
      </c>
      <c r="D5738" t="inlineStr">
        <is>
          <t>OF WOOD</t>
        </is>
      </c>
      <c r="E5738" s="3" t="n">
        <v>0</v>
      </c>
      <c r="F5738" s="3" t="n">
        <v>0.02</v>
      </c>
      <c r="G5738" s="3">
        <f>F5738-E5738</f>
        <v/>
      </c>
      <c r="H5738" s="4">
        <f>IF(E5738=0,"",F5738/E5738-1)</f>
        <v/>
      </c>
      <c r="I5738" t="inlineStr"/>
    </row>
    <row r="5739">
      <c r="A5739" t="inlineStr">
        <is>
          <t>Other manufactured goods</t>
        </is>
      </c>
      <c r="B5739" t="inlineStr">
        <is>
          <t>94</t>
        </is>
      </c>
      <c r="C5739" t="inlineStr">
        <is>
          <t>94056900</t>
        </is>
      </c>
      <c r="D5739" t="inlineStr">
        <is>
          <t>OTHERS-OF-OTHERS-OF-LUMINAIRES AND LIGHTING FTTNGS INCL SEARCH LIGHT AND SPOTLIGHT ETC N.E.S.ILLUMINATD SIGN AND THE LIKE WTH</t>
        </is>
      </c>
      <c r="E5739" s="3" t="n">
        <v>0.05</v>
      </c>
      <c r="F5739" s="3" t="n">
        <v>0.02</v>
      </c>
      <c r="G5739" s="3">
        <f>F5739-E5739</f>
        <v/>
      </c>
      <c r="H5739" s="4">
        <f>IF(E5739=0,"",F5739/E5739-1)</f>
        <v/>
      </c>
      <c r="I5739" t="inlineStr"/>
    </row>
    <row r="5740">
      <c r="A5740" t="inlineStr">
        <is>
          <t>Other manufactured goods</t>
        </is>
      </c>
      <c r="B5740" t="inlineStr">
        <is>
          <t>95</t>
        </is>
      </c>
      <c r="C5740" t="inlineStr">
        <is>
          <t>95042000</t>
        </is>
      </c>
      <c r="D5740" t="inlineStr">
        <is>
          <t>ARTICLES AND ACCESSORIES FOR BILLIARD</t>
        </is>
      </c>
      <c r="E5740" s="3" t="n">
        <v>0.14</v>
      </c>
      <c r="F5740" s="3" t="n">
        <v>0.02</v>
      </c>
      <c r="G5740" s="3">
        <f>F5740-E5740</f>
        <v/>
      </c>
      <c r="H5740" s="4">
        <f>IF(E5740=0,"",F5740/E5740-1)</f>
        <v/>
      </c>
      <c r="I5740" t="inlineStr"/>
    </row>
    <row r="5741">
      <c r="A5741" t="inlineStr">
        <is>
          <t>Other manufactured goods</t>
        </is>
      </c>
      <c r="B5741" t="inlineStr">
        <is>
          <t>95</t>
        </is>
      </c>
      <c r="C5741" t="inlineStr">
        <is>
          <t>95049020</t>
        </is>
      </c>
      <c r="D5741" t="inlineStr">
        <is>
          <t>CAROM BOARD, WITH OR WITHOUT COINS AND STRIKERS</t>
        </is>
      </c>
      <c r="E5741" s="3" t="n">
        <v>0.02</v>
      </c>
      <c r="F5741" s="3" t="n">
        <v>0.02</v>
      </c>
      <c r="G5741" s="3">
        <f>F5741-E5741</f>
        <v/>
      </c>
      <c r="H5741" s="4">
        <f>IF(E5741=0,"",F5741/E5741-1)</f>
        <v/>
      </c>
      <c r="I5741" t="inlineStr"/>
    </row>
    <row r="5742">
      <c r="A5742" t="inlineStr">
        <is>
          <t>Other manufactured goods</t>
        </is>
      </c>
      <c r="B5742" t="inlineStr">
        <is>
          <t>95</t>
        </is>
      </c>
      <c r="C5742" t="inlineStr">
        <is>
          <t>95059090</t>
        </is>
      </c>
      <c r="D5742" t="inlineStr">
        <is>
          <t>OTHERS(CRNVL AND ENTRTNMNT ARTCLS ETC)</t>
        </is>
      </c>
      <c r="E5742" s="3" t="n">
        <v>0.09</v>
      </c>
      <c r="F5742" s="3" t="n">
        <v>0.02</v>
      </c>
      <c r="G5742" s="3">
        <f>F5742-E5742</f>
        <v/>
      </c>
      <c r="H5742" s="4">
        <f>IF(E5742=0,"",F5742/E5742-1)</f>
        <v/>
      </c>
      <c r="I5742" t="inlineStr"/>
    </row>
    <row r="5743">
      <c r="A5743" t="inlineStr">
        <is>
          <t>Other manufactured goods</t>
        </is>
      </c>
      <c r="B5743" t="inlineStr">
        <is>
          <t>95</t>
        </is>
      </c>
      <c r="C5743" t="inlineStr">
        <is>
          <t>95065910</t>
        </is>
      </c>
      <c r="D5743" t="inlineStr">
        <is>
          <t>BADMINTON RACKETS,W/N STRUNG</t>
        </is>
      </c>
      <c r="E5743" s="3" t="n">
        <v>0</v>
      </c>
      <c r="F5743" s="3" t="n">
        <v>0.02</v>
      </c>
      <c r="G5743" s="3">
        <f>F5743-E5743</f>
        <v/>
      </c>
      <c r="H5743" s="4">
        <f>IF(E5743=0,"",F5743/E5743-1)</f>
        <v/>
      </c>
      <c r="I5743" t="inlineStr"/>
    </row>
    <row r="5744">
      <c r="A5744" t="inlineStr">
        <is>
          <t>Other manufactured goods</t>
        </is>
      </c>
      <c r="B5744" t="inlineStr">
        <is>
          <t>95</t>
        </is>
      </c>
      <c r="C5744" t="inlineStr">
        <is>
          <t>95082200</t>
        </is>
      </c>
      <c r="D5744" t="inlineStr">
        <is>
          <t>CAROUSELS, SWINGS AND ROUNDABOUTS</t>
        </is>
      </c>
      <c r="E5744" s="3" t="n">
        <v>0</v>
      </c>
      <c r="F5744" s="3" t="n">
        <v>0.02</v>
      </c>
      <c r="G5744" s="3">
        <f>F5744-E5744</f>
        <v/>
      </c>
      <c r="H5744" s="4">
        <f>IF(E5744=0,"",F5744/E5744-1)</f>
        <v/>
      </c>
      <c r="I5744" t="inlineStr"/>
    </row>
    <row r="5745">
      <c r="A5745" t="inlineStr">
        <is>
          <t>Other manufactured goods</t>
        </is>
      </c>
      <c r="B5745" t="inlineStr">
        <is>
          <t>96</t>
        </is>
      </c>
      <c r="C5745" t="inlineStr">
        <is>
          <t>96071190</t>
        </is>
      </c>
      <c r="D5745" t="inlineStr">
        <is>
          <t>OTHERS-OF-SLIDE FSTNRS FITD WTH CHAIN SCPS OF BS MTL</t>
        </is>
      </c>
      <c r="E5745" s="3" t="n">
        <v>0</v>
      </c>
      <c r="F5745" s="3" t="n">
        <v>0.02</v>
      </c>
      <c r="G5745" s="3">
        <f>F5745-E5745</f>
        <v/>
      </c>
      <c r="H5745" s="4">
        <f>IF(E5745=0,"",F5745/E5745-1)</f>
        <v/>
      </c>
      <c r="I5745" t="inlineStr"/>
    </row>
    <row r="5746">
      <c r="A5746" t="inlineStr">
        <is>
          <t>Other manufactured goods</t>
        </is>
      </c>
      <c r="B5746" t="inlineStr">
        <is>
          <t>96</t>
        </is>
      </c>
      <c r="C5746" t="inlineStr">
        <is>
          <t>96151900</t>
        </is>
      </c>
      <c r="D5746" t="inlineStr">
        <is>
          <t>COMBS,HAIR-SLDS AND THE LIKE OF OTHR MATRLS</t>
        </is>
      </c>
      <c r="E5746" s="3" t="n">
        <v>0</v>
      </c>
      <c r="F5746" s="3" t="n">
        <v>0.02</v>
      </c>
      <c r="G5746" s="3">
        <f>F5746-E5746</f>
        <v/>
      </c>
      <c r="H5746" s="4">
        <f>IF(E5746=0,"",F5746/E5746-1)</f>
        <v/>
      </c>
      <c r="I5746" t="inlineStr"/>
    </row>
    <row r="5747">
      <c r="A5747" t="inlineStr">
        <is>
          <t>Other manufactured goods</t>
        </is>
      </c>
      <c r="B5747" t="inlineStr">
        <is>
          <t>97</t>
        </is>
      </c>
      <c r="C5747" t="inlineStr">
        <is>
          <t>97031010</t>
        </is>
      </c>
      <c r="D5747" t="inlineStr">
        <is>
          <t>OF METAL</t>
        </is>
      </c>
      <c r="E5747" s="3" t="n">
        <v>0.01</v>
      </c>
      <c r="F5747" s="3" t="n">
        <v>0.02</v>
      </c>
      <c r="G5747" s="3">
        <f>F5747-E5747</f>
        <v/>
      </c>
      <c r="H5747" s="4">
        <f>IF(E5747=0,"",F5747/E5747-1)</f>
        <v/>
      </c>
      <c r="I5747" t="inlineStr"/>
    </row>
    <row r="5748">
      <c r="A5748" t="inlineStr">
        <is>
          <t>Other manufactured goods</t>
        </is>
      </c>
      <c r="B5748" t="inlineStr">
        <is>
          <t>97</t>
        </is>
      </c>
      <c r="C5748" t="inlineStr">
        <is>
          <t>97031090</t>
        </is>
      </c>
      <c r="D5748" t="inlineStr">
        <is>
          <t>OTHERS-OF-OF AN AGE EXCEEDING 100 YEARS:</t>
        </is>
      </c>
      <c r="E5748" s="3" t="n">
        <v>0</v>
      </c>
      <c r="F5748" s="3" t="n">
        <v>0.02</v>
      </c>
      <c r="G5748" s="3">
        <f>F5748-E5748</f>
        <v/>
      </c>
      <c r="H5748" s="4">
        <f>IF(E5748=0,"",F5748/E5748-1)</f>
        <v/>
      </c>
      <c r="I5748" t="inlineStr"/>
    </row>
    <row r="5749">
      <c r="A5749" t="inlineStr">
        <is>
          <t>Other manufactured goods</t>
        </is>
      </c>
      <c r="B5749" t="inlineStr">
        <is>
          <t>94</t>
        </is>
      </c>
      <c r="C5749" t="inlineStr">
        <is>
          <t>94011000</t>
        </is>
      </c>
      <c r="D5749" t="inlineStr">
        <is>
          <t>SEATS OF A KIND USED FOR AIRCRAFT</t>
        </is>
      </c>
      <c r="E5749" s="3" t="n">
        <v>0.01</v>
      </c>
      <c r="F5749" s="3" t="n">
        <v>0.01</v>
      </c>
      <c r="G5749" s="3">
        <f>F5749-E5749</f>
        <v/>
      </c>
      <c r="H5749" s="4">
        <f>IF(E5749=0,"",F5749/E5749-1)</f>
        <v/>
      </c>
      <c r="I5749" t="inlineStr"/>
    </row>
    <row r="5750">
      <c r="A5750" t="inlineStr">
        <is>
          <t>Other manufactured goods</t>
        </is>
      </c>
      <c r="B5750" t="inlineStr">
        <is>
          <t>94</t>
        </is>
      </c>
      <c r="C5750" t="inlineStr">
        <is>
          <t>94012000</t>
        </is>
      </c>
      <c r="D5750" t="inlineStr">
        <is>
          <t>SEATS OF A KIND USED FOR MOTOR VEHICLES</t>
        </is>
      </c>
      <c r="E5750" s="3" t="n">
        <v>0.01</v>
      </c>
      <c r="F5750" s="3" t="n">
        <v>0.01</v>
      </c>
      <c r="G5750" s="3">
        <f>F5750-E5750</f>
        <v/>
      </c>
      <c r="H5750" s="4">
        <f>IF(E5750=0,"",F5750/E5750-1)</f>
        <v/>
      </c>
      <c r="I5750" t="inlineStr"/>
    </row>
    <row r="5751">
      <c r="A5751" t="inlineStr">
        <is>
          <t>Other manufactured goods</t>
        </is>
      </c>
      <c r="B5751" t="inlineStr">
        <is>
          <t>94</t>
        </is>
      </c>
      <c r="C5751" t="inlineStr">
        <is>
          <t>94019900</t>
        </is>
      </c>
      <c r="D5751" t="inlineStr">
        <is>
          <t>OTHERS-OF-OTHERS-OF-SEATS (OTHER THAN THOSE OF HEADING 9402), WHETHER OR NOT CONVERTIBLE INTO BEDS, AND PARTS THEREOF</t>
        </is>
      </c>
      <c r="E5751" s="3" t="n">
        <v>0</v>
      </c>
      <c r="F5751" s="3" t="n">
        <v>0.01</v>
      </c>
      <c r="G5751" s="3">
        <f>F5751-E5751</f>
        <v/>
      </c>
      <c r="H5751" s="4">
        <f>IF(E5751=0,"",F5751/E5751-1)</f>
        <v/>
      </c>
      <c r="I5751" t="inlineStr"/>
    </row>
    <row r="5752">
      <c r="A5752" t="inlineStr">
        <is>
          <t>Other manufactured goods</t>
        </is>
      </c>
      <c r="B5752" t="inlineStr">
        <is>
          <t>94</t>
        </is>
      </c>
      <c r="C5752" t="inlineStr">
        <is>
          <t>94029020</t>
        </is>
      </c>
      <c r="D5752" t="inlineStr">
        <is>
          <t>PARTS</t>
        </is>
      </c>
      <c r="E5752" s="3" t="n">
        <v>0.01</v>
      </c>
      <c r="F5752" s="3" t="n">
        <v>0.01</v>
      </c>
      <c r="G5752" s="3">
        <f>F5752-E5752</f>
        <v/>
      </c>
      <c r="H5752" s="4">
        <f>IF(E5752=0,"",F5752/E5752-1)</f>
        <v/>
      </c>
      <c r="I5752" t="inlineStr"/>
    </row>
    <row r="5753">
      <c r="A5753" t="inlineStr">
        <is>
          <t>Other manufactured goods</t>
        </is>
      </c>
      <c r="B5753" t="inlineStr">
        <is>
          <t>94</t>
        </is>
      </c>
      <c r="C5753" t="inlineStr">
        <is>
          <t>94052100</t>
        </is>
      </c>
      <c r="D5753" t="inlineStr">
        <is>
          <t>DESIGNED FOR USE SOLELY WITH LED LIGHT SOURCES</t>
        </is>
      </c>
      <c r="E5753" s="3" t="n">
        <v>0.01</v>
      </c>
      <c r="F5753" s="3" t="n">
        <v>0.01</v>
      </c>
      <c r="G5753" s="3">
        <f>F5753-E5753</f>
        <v/>
      </c>
      <c r="H5753" s="4">
        <f>IF(E5753=0,"",F5753/E5753-1)</f>
        <v/>
      </c>
      <c r="I5753" t="inlineStr"/>
    </row>
    <row r="5754">
      <c r="A5754" t="inlineStr">
        <is>
          <t>Other manufactured goods</t>
        </is>
      </c>
      <c r="B5754" t="inlineStr">
        <is>
          <t>95</t>
        </is>
      </c>
      <c r="C5754" t="inlineStr">
        <is>
          <t>95051000</t>
        </is>
      </c>
      <c r="D5754" t="inlineStr">
        <is>
          <t>ARTICLES FOR CHRISTMAS FESTIVITIES</t>
        </is>
      </c>
      <c r="E5754" s="3" t="n">
        <v>0.02</v>
      </c>
      <c r="F5754" s="3" t="n">
        <v>0.01</v>
      </c>
      <c r="G5754" s="3">
        <f>F5754-E5754</f>
        <v/>
      </c>
      <c r="H5754" s="4">
        <f>IF(E5754=0,"",F5754/E5754-1)</f>
        <v/>
      </c>
      <c r="I5754" t="inlineStr"/>
    </row>
    <row r="5755">
      <c r="A5755" t="inlineStr">
        <is>
          <t>Other manufactured goods</t>
        </is>
      </c>
      <c r="B5755" t="inlineStr">
        <is>
          <t>95</t>
        </is>
      </c>
      <c r="C5755" t="inlineStr">
        <is>
          <t>95061100</t>
        </is>
      </c>
      <c r="D5755" t="inlineStr">
        <is>
          <t>SKIS</t>
        </is>
      </c>
      <c r="E5755" s="3" t="n">
        <v>0</v>
      </c>
      <c r="F5755" s="3" t="n">
        <v>0.01</v>
      </c>
      <c r="G5755" s="3">
        <f>F5755-E5755</f>
        <v/>
      </c>
      <c r="H5755" s="4">
        <f>IF(E5755=0,"",F5755/E5755-1)</f>
        <v/>
      </c>
      <c r="I5755" t="inlineStr"/>
    </row>
    <row r="5756">
      <c r="A5756" t="inlineStr">
        <is>
          <t>Other manufactured goods</t>
        </is>
      </c>
      <c r="B5756" t="inlineStr">
        <is>
          <t>95</t>
        </is>
      </c>
      <c r="C5756" t="inlineStr">
        <is>
          <t>95066230</t>
        </is>
      </c>
      <c r="D5756" t="inlineStr">
        <is>
          <t>BASKET BALL</t>
        </is>
      </c>
      <c r="E5756" s="3" t="n">
        <v>0.01</v>
      </c>
      <c r="F5756" s="3" t="n">
        <v>0.01</v>
      </c>
      <c r="G5756" s="3">
        <f>F5756-E5756</f>
        <v/>
      </c>
      <c r="H5756" s="4">
        <f>IF(E5756=0,"",F5756/E5756-1)</f>
        <v/>
      </c>
      <c r="I5756" t="inlineStr"/>
    </row>
    <row r="5757">
      <c r="A5757" t="inlineStr">
        <is>
          <t>Other manufactured goods</t>
        </is>
      </c>
      <c r="B5757" t="inlineStr">
        <is>
          <t>95</t>
        </is>
      </c>
      <c r="C5757" t="inlineStr">
        <is>
          <t>95066290</t>
        </is>
      </c>
      <c r="D5757" t="inlineStr">
        <is>
          <t>OTHERS-OF-INFLATABLE BALLS</t>
        </is>
      </c>
      <c r="E5757" s="3" t="n">
        <v>0.01</v>
      </c>
      <c r="F5757" s="3" t="n">
        <v>0.01</v>
      </c>
      <c r="G5757" s="3">
        <f>F5757-E5757</f>
        <v/>
      </c>
      <c r="H5757" s="4">
        <f>IF(E5757=0,"",F5757/E5757-1)</f>
        <v/>
      </c>
      <c r="I5757" t="inlineStr"/>
    </row>
    <row r="5758">
      <c r="A5758" t="inlineStr">
        <is>
          <t>Other manufactured goods</t>
        </is>
      </c>
      <c r="B5758" t="inlineStr">
        <is>
          <t>95</t>
        </is>
      </c>
      <c r="C5758" t="inlineStr">
        <is>
          <t>95066940</t>
        </is>
      </c>
      <c r="D5758" t="inlineStr">
        <is>
          <t>RUGBY BALL</t>
        </is>
      </c>
      <c r="E5758" s="3" t="n">
        <v>0.02</v>
      </c>
      <c r="F5758" s="3" t="n">
        <v>0.01</v>
      </c>
      <c r="G5758" s="3">
        <f>F5758-E5758</f>
        <v/>
      </c>
      <c r="H5758" s="4">
        <f>IF(E5758=0,"",F5758/E5758-1)</f>
        <v/>
      </c>
      <c r="I5758" t="inlineStr"/>
    </row>
    <row r="5759">
      <c r="A5759" t="inlineStr">
        <is>
          <t>Other manufactured goods</t>
        </is>
      </c>
      <c r="B5759" t="inlineStr">
        <is>
          <t>95</t>
        </is>
      </c>
      <c r="C5759" t="inlineStr">
        <is>
          <t>95069110</t>
        </is>
      </c>
      <c r="D5759" t="inlineStr">
        <is>
          <t>BOXING EQUIPMENTS</t>
        </is>
      </c>
      <c r="E5759" s="3" t="n">
        <v>0</v>
      </c>
      <c r="F5759" s="3" t="n">
        <v>0.01</v>
      </c>
      <c r="G5759" s="3">
        <f>F5759-E5759</f>
        <v/>
      </c>
      <c r="H5759" s="4">
        <f>IF(E5759=0,"",F5759/E5759-1)</f>
        <v/>
      </c>
      <c r="I5759" t="inlineStr"/>
    </row>
    <row r="5760">
      <c r="A5760" t="inlineStr">
        <is>
          <t>Other manufactured goods</t>
        </is>
      </c>
      <c r="B5760" t="inlineStr">
        <is>
          <t>96</t>
        </is>
      </c>
      <c r="C5760" t="inlineStr">
        <is>
          <t>96062100</t>
        </is>
      </c>
      <c r="D5760" t="inlineStr">
        <is>
          <t>BUTTONS OF PLSTCS,NT CVRD WTH TXTL MTRL</t>
        </is>
      </c>
      <c r="E5760" s="3" t="n">
        <v>0.01</v>
      </c>
      <c r="F5760" s="3" t="n">
        <v>0.01</v>
      </c>
      <c r="G5760" s="3">
        <f>F5760-E5760</f>
        <v/>
      </c>
      <c r="H5760" s="4">
        <f>IF(E5760=0,"",F5760/E5760-1)</f>
        <v/>
      </c>
      <c r="I5760" t="inlineStr"/>
    </row>
    <row r="5761">
      <c r="A5761" t="inlineStr">
        <is>
          <t>Other manufactured goods</t>
        </is>
      </c>
      <c r="B5761" t="inlineStr">
        <is>
          <t>96</t>
        </is>
      </c>
      <c r="C5761" t="inlineStr">
        <is>
          <t>96062990</t>
        </is>
      </c>
      <c r="D5761" t="inlineStr">
        <is>
          <t>OTHERS-OF-OTHER BUTTONS</t>
        </is>
      </c>
      <c r="E5761" s="3" t="n">
        <v>0</v>
      </c>
      <c r="F5761" s="3" t="n">
        <v>0.01</v>
      </c>
      <c r="G5761" s="3">
        <f>F5761-E5761</f>
        <v/>
      </c>
      <c r="H5761" s="4">
        <f>IF(E5761=0,"",F5761/E5761-1)</f>
        <v/>
      </c>
      <c r="I5761" t="inlineStr"/>
    </row>
    <row r="5762">
      <c r="A5762" t="inlineStr">
        <is>
          <t>Other manufactured goods</t>
        </is>
      </c>
      <c r="B5762" t="inlineStr">
        <is>
          <t>96</t>
        </is>
      </c>
      <c r="C5762" t="inlineStr">
        <is>
          <t>96063090</t>
        </is>
      </c>
      <c r="D5762" t="inlineStr">
        <is>
          <t>PRTS OF BUTTON</t>
        </is>
      </c>
      <c r="E5762" s="3" t="n">
        <v>0</v>
      </c>
      <c r="F5762" s="3" t="n">
        <v>0.01</v>
      </c>
      <c r="G5762" s="3">
        <f>F5762-E5762</f>
        <v/>
      </c>
      <c r="H5762" s="4">
        <f>IF(E5762=0,"",F5762/E5762-1)</f>
        <v/>
      </c>
      <c r="I5762" t="inlineStr"/>
    </row>
    <row r="5763">
      <c r="A5763" t="inlineStr">
        <is>
          <t>Other manufactured goods</t>
        </is>
      </c>
      <c r="B5763" t="inlineStr">
        <is>
          <t>96</t>
        </is>
      </c>
      <c r="C5763" t="inlineStr">
        <is>
          <t>96071990</t>
        </is>
      </c>
      <c r="D5763" t="inlineStr">
        <is>
          <t>OTHERS-OF-OTHER SLIDE FASTENERS</t>
        </is>
      </c>
      <c r="E5763" s="3" t="n">
        <v>0</v>
      </c>
      <c r="F5763" s="3" t="n">
        <v>0.01</v>
      </c>
      <c r="G5763" s="3">
        <f>F5763-E5763</f>
        <v/>
      </c>
      <c r="H5763" s="4">
        <f>IF(E5763=0,"",F5763/E5763-1)</f>
        <v/>
      </c>
      <c r="I5763" t="inlineStr"/>
    </row>
    <row r="5764">
      <c r="A5764" t="inlineStr">
        <is>
          <t>Other manufactured goods</t>
        </is>
      </c>
      <c r="B5764" t="inlineStr">
        <is>
          <t>96</t>
        </is>
      </c>
      <c r="C5764" t="inlineStr">
        <is>
          <t>96086090</t>
        </is>
      </c>
      <c r="D5764" t="inlineStr">
        <is>
          <t>OTHR REFILLS FOR BALL POINT PENS</t>
        </is>
      </c>
      <c r="E5764" s="3" t="n">
        <v>0.14</v>
      </c>
      <c r="F5764" s="3" t="n">
        <v>0.01</v>
      </c>
      <c r="G5764" s="3">
        <f>F5764-E5764</f>
        <v/>
      </c>
      <c r="H5764" s="4">
        <f>IF(E5764=0,"",F5764/E5764-1)</f>
        <v/>
      </c>
      <c r="I5764" t="inlineStr"/>
    </row>
    <row r="5765">
      <c r="A5765" t="inlineStr">
        <is>
          <t>Other manufactured goods</t>
        </is>
      </c>
      <c r="B5765" t="inlineStr">
        <is>
          <t>96</t>
        </is>
      </c>
      <c r="C5765" t="inlineStr">
        <is>
          <t>96089990</t>
        </is>
      </c>
      <c r="D5765" t="inlineStr">
        <is>
          <t>PRTS EXCL PEN NIBS,NIB PNTS AND PENCL LEADS</t>
        </is>
      </c>
      <c r="E5765" s="3" t="n">
        <v>0.03</v>
      </c>
      <c r="F5765" s="3" t="n">
        <v>0.01</v>
      </c>
      <c r="G5765" s="3">
        <f>F5765-E5765</f>
        <v/>
      </c>
      <c r="H5765" s="4">
        <f>IF(E5765=0,"",F5765/E5765-1)</f>
        <v/>
      </c>
      <c r="I5765" t="inlineStr"/>
    </row>
    <row r="5766">
      <c r="A5766" t="inlineStr">
        <is>
          <t>Other manufactured goods</t>
        </is>
      </c>
      <c r="B5766" t="inlineStr">
        <is>
          <t>96</t>
        </is>
      </c>
      <c r="C5766" t="inlineStr">
        <is>
          <t>96099020</t>
        </is>
      </c>
      <c r="D5766" t="inlineStr">
        <is>
          <t>OTHER PENCILS</t>
        </is>
      </c>
      <c r="E5766" s="3" t="n">
        <v>0.3</v>
      </c>
      <c r="F5766" s="3" t="n">
        <v>0.01</v>
      </c>
      <c r="G5766" s="3">
        <f>F5766-E5766</f>
        <v/>
      </c>
      <c r="H5766" s="4">
        <f>IF(E5766=0,"",F5766/E5766-1)</f>
        <v/>
      </c>
      <c r="I5766" t="inlineStr"/>
    </row>
    <row r="5767">
      <c r="A5767" t="inlineStr">
        <is>
          <t>Other manufactured goods</t>
        </is>
      </c>
      <c r="B5767" t="inlineStr">
        <is>
          <t>96</t>
        </is>
      </c>
      <c r="C5767" t="inlineStr">
        <is>
          <t>96099030</t>
        </is>
      </c>
      <c r="D5767" t="inlineStr">
        <is>
          <t>PASTELS,DRAWING CHARCOALS AND WRITING OR DRAWING CHALKS AND TAILORS CHALKS</t>
        </is>
      </c>
      <c r="E5767" s="3" t="n">
        <v>0.03</v>
      </c>
      <c r="F5767" s="3" t="n">
        <v>0.01</v>
      </c>
      <c r="G5767" s="3">
        <f>F5767-E5767</f>
        <v/>
      </c>
      <c r="H5767" s="4">
        <f>IF(E5767=0,"",F5767/E5767-1)</f>
        <v/>
      </c>
      <c r="I5767" t="inlineStr"/>
    </row>
    <row r="5768">
      <c r="A5768" t="inlineStr">
        <is>
          <t>Other manufactured goods</t>
        </is>
      </c>
      <c r="B5768" t="inlineStr">
        <is>
          <t>96</t>
        </is>
      </c>
      <c r="C5768" t="inlineStr">
        <is>
          <t>96110000</t>
        </is>
      </c>
      <c r="D5768" t="inlineStr">
        <is>
          <t>DATE;SEALNG/NUMBRNG STMPS(INCL DVCS FR PRNTG/EMBOSNG LBLS),DSGND FR OPRTNG IN HND;HND-OPRTD CMPSNG STCKS AND HND-P</t>
        </is>
      </c>
      <c r="E5768" s="3" t="n">
        <v>0.02</v>
      </c>
      <c r="F5768" s="3" t="n">
        <v>0.01</v>
      </c>
      <c r="G5768" s="3">
        <f>F5768-E5768</f>
        <v/>
      </c>
      <c r="H5768" s="4">
        <f>IF(E5768=0,"",F5768/E5768-1)</f>
        <v/>
      </c>
      <c r="I5768" t="inlineStr"/>
    </row>
    <row r="5769">
      <c r="A5769" t="inlineStr">
        <is>
          <t>Other manufactured goods</t>
        </is>
      </c>
      <c r="B5769" t="inlineStr">
        <is>
          <t>96</t>
        </is>
      </c>
      <c r="C5769" t="inlineStr">
        <is>
          <t>96122000</t>
        </is>
      </c>
      <c r="D5769" t="inlineStr">
        <is>
          <t>INK-PADS</t>
        </is>
      </c>
      <c r="E5769" s="3" t="n">
        <v>0</v>
      </c>
      <c r="F5769" s="3" t="n">
        <v>0.01</v>
      </c>
      <c r="G5769" s="3">
        <f>F5769-E5769</f>
        <v/>
      </c>
      <c r="H5769" s="4">
        <f>IF(E5769=0,"",F5769/E5769-1)</f>
        <v/>
      </c>
      <c r="I5769" t="inlineStr"/>
    </row>
    <row r="5770">
      <c r="A5770" t="inlineStr">
        <is>
          <t>Other manufactured goods</t>
        </is>
      </c>
      <c r="B5770" t="inlineStr">
        <is>
          <t>96</t>
        </is>
      </c>
      <c r="C5770" t="inlineStr">
        <is>
          <t>96151100</t>
        </is>
      </c>
      <c r="D5770" t="inlineStr">
        <is>
          <t>COMBS,HAIR-SLDS AND LIKE OF HRD-RUBR/PLSTCS</t>
        </is>
      </c>
      <c r="E5770" s="3" t="n">
        <v>0.19</v>
      </c>
      <c r="F5770" s="3" t="n">
        <v>0.01</v>
      </c>
      <c r="G5770" s="3">
        <f>F5770-E5770</f>
        <v/>
      </c>
      <c r="H5770" s="4">
        <f>IF(E5770=0,"",F5770/E5770-1)</f>
        <v/>
      </c>
      <c r="I5770" t="inlineStr"/>
    </row>
    <row r="5771">
      <c r="A5771" t="inlineStr">
        <is>
          <t>Other manufactured goods</t>
        </is>
      </c>
      <c r="B5771" t="inlineStr">
        <is>
          <t>96</t>
        </is>
      </c>
      <c r="C5771" t="inlineStr">
        <is>
          <t>96170090</t>
        </is>
      </c>
      <c r="D5771" t="inlineStr">
        <is>
          <t>PARTS (EXCL GLASS INNERS)</t>
        </is>
      </c>
      <c r="E5771" s="3" t="n">
        <v>0</v>
      </c>
      <c r="F5771" s="3" t="n">
        <v>0.01</v>
      </c>
      <c r="G5771" s="3">
        <f>F5771-E5771</f>
        <v/>
      </c>
      <c r="H5771" s="4">
        <f>IF(E5771=0,"",F5771/E5771-1)</f>
        <v/>
      </c>
      <c r="I5771" t="inlineStr"/>
    </row>
    <row r="5772">
      <c r="A5772" t="inlineStr">
        <is>
          <t>Other manufactured goods</t>
        </is>
      </c>
      <c r="B5772" t="inlineStr">
        <is>
          <t>97</t>
        </is>
      </c>
      <c r="C5772" t="inlineStr">
        <is>
          <t>97019900</t>
        </is>
      </c>
      <c r="D5772" t="inlineStr">
        <is>
          <t>OTHERS-OF-OTHERS-OF-PNTG DRNG AND PASTEL BY HAND,EXCL DRNG OF HDG 4906 AND EXCL HNDPRNT/HND DCRTMNFTDARTCL COLLAGE, MOSAIC AND</t>
        </is>
      </c>
      <c r="E5772" s="3" t="n">
        <v>56.85</v>
      </c>
      <c r="F5772" s="3" t="n">
        <v>0.01</v>
      </c>
      <c r="G5772" s="3">
        <f>F5772-E5772</f>
        <v/>
      </c>
      <c r="H5772" s="4">
        <f>IF(E5772=0,"",F5772/E5772-1)</f>
        <v/>
      </c>
      <c r="I5772" t="inlineStr"/>
    </row>
    <row r="5773">
      <c r="A5773" t="inlineStr">
        <is>
          <t>Other manufactured goods</t>
        </is>
      </c>
      <c r="B5773" t="inlineStr">
        <is>
          <t>93</t>
        </is>
      </c>
      <c r="C5773" t="inlineStr">
        <is>
          <t>93040000</t>
        </is>
      </c>
      <c r="D5773" t="inlineStr">
        <is>
          <t>OTHR ARMS(E.G.SPRNG,AIR/GAS GUN AND PSTOLS, TRUNCHEONS),EXCL THOSE OF HDG.NO.9307</t>
        </is>
      </c>
      <c r="E5773" s="3" t="n">
        <v>0</v>
      </c>
      <c r="F5773" s="3" t="n">
        <v>0</v>
      </c>
      <c r="G5773" s="3">
        <f>F5773-E5773</f>
        <v/>
      </c>
      <c r="H5773" s="4">
        <f>IF(E5773=0,"",F5773/E5773-1)</f>
        <v/>
      </c>
      <c r="I5773" t="inlineStr"/>
    </row>
    <row r="5774">
      <c r="A5774" t="inlineStr">
        <is>
          <t>Other manufactured goods</t>
        </is>
      </c>
      <c r="B5774" t="inlineStr">
        <is>
          <t>93</t>
        </is>
      </c>
      <c r="C5774" t="inlineStr">
        <is>
          <t>93052090</t>
        </is>
      </c>
      <c r="D5774" t="inlineStr">
        <is>
          <t>PARTS AND ACCESSORIES OF SHOTGUN, RIFLE EXCL. SHOTGUN BARREL</t>
        </is>
      </c>
      <c r="E5774" s="3" t="n">
        <v>0</v>
      </c>
      <c r="F5774" s="3" t="n">
        <v>0</v>
      </c>
      <c r="G5774" s="3">
        <f>F5774-E5774</f>
        <v/>
      </c>
      <c r="H5774" s="4">
        <f>IF(E5774=0,"",F5774/E5774-1)</f>
        <v/>
      </c>
      <c r="I5774" t="inlineStr"/>
    </row>
    <row r="5775">
      <c r="A5775" t="inlineStr">
        <is>
          <t>Other manufactured goods</t>
        </is>
      </c>
      <c r="B5775" t="inlineStr">
        <is>
          <t>94</t>
        </is>
      </c>
      <c r="C5775" t="inlineStr">
        <is>
          <t>94034000</t>
        </is>
      </c>
      <c r="D5775" t="inlineStr">
        <is>
          <t>WOODEN FRNTR OF A KND USED IN THE KITCHEN</t>
        </is>
      </c>
      <c r="E5775" s="3" t="n">
        <v>0</v>
      </c>
      <c r="F5775" s="3" t="n">
        <v>0</v>
      </c>
      <c r="G5775" s="3">
        <f>F5775-E5775</f>
        <v/>
      </c>
      <c r="H5775" s="4">
        <f>IF(E5775=0,"",F5775/E5775-1)</f>
        <v/>
      </c>
      <c r="I5775" t="inlineStr"/>
    </row>
    <row r="5776">
      <c r="A5776" t="inlineStr">
        <is>
          <t>Other manufactured goods</t>
        </is>
      </c>
      <c r="B5776" t="inlineStr">
        <is>
          <t>94</t>
        </is>
      </c>
      <c r="C5776" t="inlineStr">
        <is>
          <t>94043090</t>
        </is>
      </c>
      <c r="D5776" t="inlineStr">
        <is>
          <t>OTHR SLEEPING BAGS</t>
        </is>
      </c>
      <c r="E5776" s="3" t="n">
        <v>0.01</v>
      </c>
      <c r="F5776" s="3" t="n">
        <v>0</v>
      </c>
      <c r="G5776" s="3">
        <f>F5776-E5776</f>
        <v/>
      </c>
      <c r="H5776" s="4">
        <f>IF(E5776=0,"",F5776/E5776-1)</f>
        <v/>
      </c>
      <c r="I5776" t="inlineStr"/>
    </row>
    <row r="5777">
      <c r="A5777" t="inlineStr">
        <is>
          <t>Other manufactured goods</t>
        </is>
      </c>
      <c r="B5777" t="inlineStr">
        <is>
          <t>94</t>
        </is>
      </c>
      <c r="C5777" t="inlineStr">
        <is>
          <t>94056100</t>
        </is>
      </c>
      <c r="D5777" t="inlineStr">
        <is>
          <t>DESIGNED FOR USE SOLELY WITH LED LIGHT SOURCES</t>
        </is>
      </c>
      <c r="E5777" s="3" t="n">
        <v>0</v>
      </c>
      <c r="F5777" s="3" t="n">
        <v>0</v>
      </c>
      <c r="G5777" s="3">
        <f>F5777-E5777</f>
        <v/>
      </c>
      <c r="H5777" s="4">
        <f>IF(E5777=0,"",F5777/E5777-1)</f>
        <v/>
      </c>
      <c r="I5777" t="inlineStr"/>
    </row>
    <row r="5778">
      <c r="A5778" t="inlineStr">
        <is>
          <t>Other manufactured goods</t>
        </is>
      </c>
      <c r="B5778" t="inlineStr">
        <is>
          <t>94</t>
        </is>
      </c>
      <c r="C5778" t="inlineStr">
        <is>
          <t>94059100</t>
        </is>
      </c>
      <c r="D5778" t="inlineStr">
        <is>
          <t>PARTS OF LAMPS ETC OF GLASS</t>
        </is>
      </c>
      <c r="E5778" s="3" t="n">
        <v>0</v>
      </c>
      <c r="F5778" s="3" t="n">
        <v>0</v>
      </c>
      <c r="G5778" s="3">
        <f>F5778-E5778</f>
        <v/>
      </c>
      <c r="H5778" s="4">
        <f>IF(E5778=0,"",F5778/E5778-1)</f>
        <v/>
      </c>
      <c r="I5778" t="inlineStr"/>
    </row>
    <row r="5779">
      <c r="A5779" t="inlineStr">
        <is>
          <t>Other manufactured goods</t>
        </is>
      </c>
      <c r="B5779" t="inlineStr">
        <is>
          <t>95</t>
        </is>
      </c>
      <c r="C5779" t="inlineStr">
        <is>
          <t>95030010</t>
        </is>
      </c>
      <c r="D5779" t="inlineStr">
        <is>
          <t>ELECTRONIC TOYS ETC.</t>
        </is>
      </c>
      <c r="E5779" s="3" t="n">
        <v>0</v>
      </c>
      <c r="F5779" s="3" t="n">
        <v>0</v>
      </c>
      <c r="G5779" s="3">
        <f>F5779-E5779</f>
        <v/>
      </c>
      <c r="H5779" s="4">
        <f>IF(E5779=0,"",F5779/E5779-1)</f>
        <v/>
      </c>
      <c r="I5779" t="inlineStr"/>
    </row>
    <row r="5780">
      <c r="A5780" t="inlineStr">
        <is>
          <t>Other manufactured goods</t>
        </is>
      </c>
      <c r="B5780" t="inlineStr">
        <is>
          <t>95</t>
        </is>
      </c>
      <c r="C5780" t="inlineStr">
        <is>
          <t>95030020</t>
        </is>
      </c>
      <c r="D5780" t="inlineStr">
        <is>
          <t>NON-ELECTRONIC TOYS ETC.</t>
        </is>
      </c>
      <c r="E5780" s="3" t="n">
        <v>0.09</v>
      </c>
      <c r="F5780" s="3" t="n">
        <v>0</v>
      </c>
      <c r="G5780" s="3">
        <f>F5780-E5780</f>
        <v/>
      </c>
      <c r="H5780" s="4">
        <f>IF(E5780=0,"",F5780/E5780-1)</f>
        <v/>
      </c>
      <c r="I5780" t="inlineStr"/>
    </row>
    <row r="5781">
      <c r="A5781" t="inlineStr">
        <is>
          <t>Other manufactured goods</t>
        </is>
      </c>
      <c r="B5781" t="inlineStr">
        <is>
          <t>95</t>
        </is>
      </c>
      <c r="C5781" t="inlineStr">
        <is>
          <t>95043000</t>
        </is>
      </c>
      <c r="D5781" t="inlineStr">
        <is>
          <t>OTHER GAMES, OPERATED BY COINS, NOTES, BANK CARDS, TOKENS , OTHER THAN BOWLING ALLEY EQUIPMENT.</t>
        </is>
      </c>
      <c r="E5781" s="3" t="n">
        <v>0.01</v>
      </c>
      <c r="F5781" s="3" t="n">
        <v>0</v>
      </c>
      <c r="G5781" s="3">
        <f>F5781-E5781</f>
        <v/>
      </c>
      <c r="H5781" s="4">
        <f>IF(E5781=0,"",F5781/E5781-1)</f>
        <v/>
      </c>
      <c r="I5781" t="inlineStr"/>
    </row>
    <row r="5782">
      <c r="A5782" t="inlineStr">
        <is>
          <t>Other manufactured goods</t>
        </is>
      </c>
      <c r="B5782" t="inlineStr">
        <is>
          <t>95</t>
        </is>
      </c>
      <c r="C5782" t="inlineStr">
        <is>
          <t>95044000</t>
        </is>
      </c>
      <c r="D5782" t="inlineStr">
        <is>
          <t>PLAYING CARDS</t>
        </is>
      </c>
      <c r="E5782" s="3" t="n">
        <v>0</v>
      </c>
      <c r="F5782" s="3" t="n">
        <v>0</v>
      </c>
      <c r="G5782" s="3">
        <f>F5782-E5782</f>
        <v/>
      </c>
      <c r="H5782" s="4">
        <f>IF(E5782=0,"",F5782/E5782-1)</f>
        <v/>
      </c>
      <c r="I5782" t="inlineStr"/>
    </row>
    <row r="5783">
      <c r="A5783" t="inlineStr">
        <is>
          <t>Other manufactured goods</t>
        </is>
      </c>
      <c r="B5783" t="inlineStr">
        <is>
          <t>95</t>
        </is>
      </c>
      <c r="C5783" t="inlineStr">
        <is>
          <t>95049010</t>
        </is>
      </c>
      <c r="D5783" t="inlineStr">
        <is>
          <t>CHESS SET, ALL TYPES</t>
        </is>
      </c>
      <c r="E5783" s="3" t="n">
        <v>0.01</v>
      </c>
      <c r="F5783" s="3" t="n">
        <v>0</v>
      </c>
      <c r="G5783" s="3">
        <f>F5783-E5783</f>
        <v/>
      </c>
      <c r="H5783" s="4">
        <f>IF(E5783=0,"",F5783/E5783-1)</f>
        <v/>
      </c>
      <c r="I5783" t="inlineStr"/>
    </row>
    <row r="5784">
      <c r="A5784" t="inlineStr">
        <is>
          <t>Other manufactured goods</t>
        </is>
      </c>
      <c r="B5784" t="inlineStr">
        <is>
          <t>95</t>
        </is>
      </c>
      <c r="C5784" t="inlineStr">
        <is>
          <t>95063900</t>
        </is>
      </c>
      <c r="D5784" t="inlineStr">
        <is>
          <t>OTHER GOLF EQUIPMENTS</t>
        </is>
      </c>
      <c r="E5784" s="3" t="n">
        <v>0.02</v>
      </c>
      <c r="F5784" s="3" t="n">
        <v>0</v>
      </c>
      <c r="G5784" s="3">
        <f>F5784-E5784</f>
        <v/>
      </c>
      <c r="H5784" s="4">
        <f>IF(E5784=0,"",F5784/E5784-1)</f>
        <v/>
      </c>
      <c r="I5784" t="inlineStr"/>
    </row>
    <row r="5785">
      <c r="A5785" t="inlineStr">
        <is>
          <t>Other manufactured goods</t>
        </is>
      </c>
      <c r="B5785" t="inlineStr">
        <is>
          <t>95</t>
        </is>
      </c>
      <c r="C5785" t="inlineStr">
        <is>
          <t>95065100</t>
        </is>
      </c>
      <c r="D5785" t="inlineStr">
        <is>
          <t>LAWN-TENNIS RACKETS,W/N STRUNG</t>
        </is>
      </c>
      <c r="E5785" s="3" t="n">
        <v>0</v>
      </c>
      <c r="F5785" s="3" t="n">
        <v>0</v>
      </c>
      <c r="G5785" s="3">
        <f>F5785-E5785</f>
        <v/>
      </c>
      <c r="H5785" s="4">
        <f>IF(E5785=0,"",F5785/E5785-1)</f>
        <v/>
      </c>
      <c r="I5785" t="inlineStr"/>
    </row>
    <row r="5786">
      <c r="A5786" t="inlineStr">
        <is>
          <t>Other manufactured goods</t>
        </is>
      </c>
      <c r="B5786" t="inlineStr">
        <is>
          <t>95</t>
        </is>
      </c>
      <c r="C5786" t="inlineStr">
        <is>
          <t>95065990</t>
        </is>
      </c>
      <c r="D5786" t="inlineStr">
        <is>
          <t>OTHERS-OF-OTHER(BADMINTON/SMLR RACKETS,W/N STRUNG)</t>
        </is>
      </c>
      <c r="E5786" s="3" t="n">
        <v>0.01</v>
      </c>
      <c r="F5786" s="3" t="n">
        <v>0</v>
      </c>
      <c r="G5786" s="3">
        <f>F5786-E5786</f>
        <v/>
      </c>
      <c r="H5786" s="4">
        <f>IF(E5786=0,"",F5786/E5786-1)</f>
        <v/>
      </c>
      <c r="I5786" t="inlineStr"/>
    </row>
    <row r="5787">
      <c r="A5787" t="inlineStr">
        <is>
          <t>Other manufactured goods</t>
        </is>
      </c>
      <c r="B5787" t="inlineStr">
        <is>
          <t>95</t>
        </is>
      </c>
      <c r="C5787" t="inlineStr">
        <is>
          <t>95066100</t>
        </is>
      </c>
      <c r="D5787" t="inlineStr">
        <is>
          <t>LAWN-TENNIS BALLS</t>
        </is>
      </c>
      <c r="E5787" s="3" t="n">
        <v>0.25</v>
      </c>
      <c r="F5787" s="3" t="n">
        <v>0</v>
      </c>
      <c r="G5787" s="3">
        <f>F5787-E5787</f>
        <v/>
      </c>
      <c r="H5787" s="4">
        <f>IF(E5787=0,"",F5787/E5787-1)</f>
        <v/>
      </c>
      <c r="I5787" t="inlineStr"/>
    </row>
    <row r="5788">
      <c r="A5788" t="inlineStr">
        <is>
          <t>Other manufactured goods</t>
        </is>
      </c>
      <c r="B5788" t="inlineStr">
        <is>
          <t>95</t>
        </is>
      </c>
      <c r="C5788" t="inlineStr">
        <is>
          <t>95066210</t>
        </is>
      </c>
      <c r="D5788" t="inlineStr">
        <is>
          <t>FOOT BALL</t>
        </is>
      </c>
      <c r="E5788" s="3" t="n">
        <v>0.04</v>
      </c>
      <c r="F5788" s="3" t="n">
        <v>0</v>
      </c>
      <c r="G5788" s="3">
        <f>F5788-E5788</f>
        <v/>
      </c>
      <c r="H5788" s="4">
        <f>IF(E5788=0,"",F5788/E5788-1)</f>
        <v/>
      </c>
      <c r="I5788" t="inlineStr"/>
    </row>
    <row r="5789">
      <c r="A5789" t="inlineStr">
        <is>
          <t>Other manufactured goods</t>
        </is>
      </c>
      <c r="B5789" t="inlineStr">
        <is>
          <t>95</t>
        </is>
      </c>
      <c r="C5789" t="inlineStr">
        <is>
          <t>95066220</t>
        </is>
      </c>
      <c r="D5789" t="inlineStr">
        <is>
          <t>VOLLEY BALL</t>
        </is>
      </c>
      <c r="E5789" s="3" t="n">
        <v>0</v>
      </c>
      <c r="F5789" s="3" t="n">
        <v>0</v>
      </c>
      <c r="G5789" s="3">
        <f>F5789-E5789</f>
        <v/>
      </c>
      <c r="H5789" s="4">
        <f>IF(E5789=0,"",F5789/E5789-1)</f>
        <v/>
      </c>
      <c r="I5789" t="inlineStr"/>
    </row>
    <row r="5790">
      <c r="A5790" t="inlineStr">
        <is>
          <t>Other manufactured goods</t>
        </is>
      </c>
      <c r="B5790" t="inlineStr">
        <is>
          <t>95</t>
        </is>
      </c>
      <c r="C5790" t="inlineStr">
        <is>
          <t>95069910</t>
        </is>
      </c>
      <c r="D5790" t="inlineStr">
        <is>
          <t>BADMINTON SHUTTLE CORKS</t>
        </is>
      </c>
      <c r="E5790" s="3" t="n">
        <v>0</v>
      </c>
      <c r="F5790" s="3" t="n">
        <v>0</v>
      </c>
      <c r="G5790" s="3">
        <f>F5790-E5790</f>
        <v/>
      </c>
      <c r="H5790" s="4">
        <f>IF(E5790=0,"",F5790/E5790-1)</f>
        <v/>
      </c>
      <c r="I5790" t="inlineStr"/>
    </row>
    <row r="5791">
      <c r="A5791" t="inlineStr">
        <is>
          <t>Other manufactured goods</t>
        </is>
      </c>
      <c r="B5791" t="inlineStr">
        <is>
          <t>95</t>
        </is>
      </c>
      <c r="C5791" t="inlineStr">
        <is>
          <t>95069970</t>
        </is>
      </c>
      <c r="D5791" t="inlineStr">
        <is>
          <t>TENNIS AND BADMINTON RACKET PRESSURES</t>
        </is>
      </c>
      <c r="E5791" s="3" t="n">
        <v>0.01</v>
      </c>
      <c r="F5791" s="3" t="n">
        <v>0</v>
      </c>
      <c r="G5791" s="3">
        <f>F5791-E5791</f>
        <v/>
      </c>
      <c r="H5791" s="4">
        <f>IF(E5791=0,"",F5791/E5791-1)</f>
        <v/>
      </c>
      <c r="I5791" t="inlineStr"/>
    </row>
    <row r="5792">
      <c r="A5792" t="inlineStr">
        <is>
          <t>Other manufactured goods</t>
        </is>
      </c>
      <c r="B5792" t="inlineStr">
        <is>
          <t>95</t>
        </is>
      </c>
      <c r="C5792" t="inlineStr">
        <is>
          <t>95069980</t>
        </is>
      </c>
      <c r="D5792" t="inlineStr">
        <is>
          <t>OTHER GUARDS</t>
        </is>
      </c>
      <c r="E5792" s="3" t="n">
        <v>0</v>
      </c>
      <c r="F5792" s="3" t="n">
        <v>0</v>
      </c>
      <c r="G5792" s="3">
        <f>F5792-E5792</f>
        <v/>
      </c>
      <c r="H5792" s="4">
        <f>IF(E5792=0,"",F5792/E5792-1)</f>
        <v/>
      </c>
      <c r="I5792" t="inlineStr"/>
    </row>
    <row r="5793">
      <c r="A5793" t="inlineStr">
        <is>
          <t>Other manufactured goods</t>
        </is>
      </c>
      <c r="B5793" t="inlineStr">
        <is>
          <t>96</t>
        </is>
      </c>
      <c r="C5793" t="inlineStr">
        <is>
          <t>96019040</t>
        </is>
      </c>
      <c r="D5793" t="inlineStr">
        <is>
          <t>WRKD HRN,CORL ETC ANML CRVNG MTRL AND ARTCLS</t>
        </is>
      </c>
      <c r="E5793" s="3" t="n">
        <v>0</v>
      </c>
      <c r="F5793" s="3" t="n">
        <v>0</v>
      </c>
      <c r="G5793" s="3">
        <f>F5793-E5793</f>
        <v/>
      </c>
      <c r="H5793" s="4">
        <f>IF(E5793=0,"",F5793/E5793-1)</f>
        <v/>
      </c>
      <c r="I5793" t="inlineStr"/>
    </row>
    <row r="5794">
      <c r="A5794" t="inlineStr">
        <is>
          <t>Other manufactured goods</t>
        </is>
      </c>
      <c r="B5794" t="inlineStr">
        <is>
          <t>96</t>
        </is>
      </c>
      <c r="C5794" t="inlineStr">
        <is>
          <t>96020010</t>
        </is>
      </c>
      <c r="D5794" t="inlineStr">
        <is>
          <t>WRKD VGTBL CRVNG MTRL AND ARTCLS THEREOF</t>
        </is>
      </c>
      <c r="E5794" s="3" t="n">
        <v>0</v>
      </c>
      <c r="F5794" s="3" t="n">
        <v>0</v>
      </c>
      <c r="G5794" s="3">
        <f>F5794-E5794</f>
        <v/>
      </c>
      <c r="H5794" s="4">
        <f>IF(E5794=0,"",F5794/E5794-1)</f>
        <v/>
      </c>
      <c r="I5794" t="inlineStr"/>
    </row>
    <row r="5795">
      <c r="A5795" t="inlineStr">
        <is>
          <t>Other manufactured goods</t>
        </is>
      </c>
      <c r="B5795" t="inlineStr">
        <is>
          <t>96</t>
        </is>
      </c>
      <c r="C5795" t="inlineStr">
        <is>
          <t>96033020</t>
        </is>
      </c>
      <c r="D5795" t="inlineStr">
        <is>
          <t>BRUSHES FOR THE APPLICATION OF COSMETICS</t>
        </is>
      </c>
      <c r="E5795" s="3" t="n">
        <v>0</v>
      </c>
      <c r="F5795" s="3" t="n">
        <v>0</v>
      </c>
      <c r="G5795" s="3">
        <f>F5795-E5795</f>
        <v/>
      </c>
      <c r="H5795" s="4">
        <f>IF(E5795=0,"",F5795/E5795-1)</f>
        <v/>
      </c>
      <c r="I5795" t="inlineStr"/>
    </row>
    <row r="5796">
      <c r="A5796" t="inlineStr">
        <is>
          <t>Other manufactured goods</t>
        </is>
      </c>
      <c r="B5796" t="inlineStr">
        <is>
          <t>96</t>
        </is>
      </c>
      <c r="C5796" t="inlineStr">
        <is>
          <t>96034010</t>
        </is>
      </c>
      <c r="D5796" t="inlineStr">
        <is>
          <t>PAINT, DISTEMPER, VARNISH OR SIMILAR BRUSH</t>
        </is>
      </c>
      <c r="E5796" s="3" t="n">
        <v>0.01</v>
      </c>
      <c r="F5796" s="3" t="n">
        <v>0</v>
      </c>
      <c r="G5796" s="3">
        <f>F5796-E5796</f>
        <v/>
      </c>
      <c r="H5796" s="4">
        <f>IF(E5796=0,"",F5796/E5796-1)</f>
        <v/>
      </c>
      <c r="I5796" t="inlineStr"/>
    </row>
    <row r="5797">
      <c r="A5797" t="inlineStr">
        <is>
          <t>Other manufactured goods</t>
        </is>
      </c>
      <c r="B5797" t="inlineStr">
        <is>
          <t>96</t>
        </is>
      </c>
      <c r="C5797" t="inlineStr">
        <is>
          <t>96034020</t>
        </is>
      </c>
      <c r="D5797" t="inlineStr">
        <is>
          <t>PAINT PADS AND ROLLERS</t>
        </is>
      </c>
      <c r="E5797" s="3" t="n">
        <v>0</v>
      </c>
      <c r="F5797" s="3" t="n">
        <v>0</v>
      </c>
      <c r="G5797" s="3">
        <f>F5797-E5797</f>
        <v/>
      </c>
      <c r="H5797" s="4">
        <f>IF(E5797=0,"",F5797/E5797-1)</f>
        <v/>
      </c>
      <c r="I5797" t="inlineStr"/>
    </row>
    <row r="5798">
      <c r="A5798" t="inlineStr">
        <is>
          <t>Other manufactured goods</t>
        </is>
      </c>
      <c r="B5798" t="inlineStr">
        <is>
          <t>96</t>
        </is>
      </c>
      <c r="C5798" t="inlineStr">
        <is>
          <t>96061010</t>
        </is>
      </c>
      <c r="D5798" t="inlineStr">
        <is>
          <t>PRSS-FSTNRS,SNP-FSTNRS AND PRSS-STUDS</t>
        </is>
      </c>
      <c r="E5798" s="3" t="n">
        <v>0</v>
      </c>
      <c r="F5798" s="3" t="n">
        <v>0</v>
      </c>
      <c r="G5798" s="3">
        <f>F5798-E5798</f>
        <v/>
      </c>
      <c r="H5798" s="4">
        <f>IF(E5798=0,"",F5798/E5798-1)</f>
        <v/>
      </c>
      <c r="I5798" t="inlineStr"/>
    </row>
    <row r="5799">
      <c r="A5799" t="inlineStr">
        <is>
          <t>Other manufactured goods</t>
        </is>
      </c>
      <c r="B5799" t="inlineStr">
        <is>
          <t>96</t>
        </is>
      </c>
      <c r="C5799" t="inlineStr">
        <is>
          <t>96062200</t>
        </is>
      </c>
      <c r="D5799" t="inlineStr">
        <is>
          <t>BUTTONS OFBASE MTL,NT CVRD WTH TXTL MTRL</t>
        </is>
      </c>
      <c r="E5799" s="3" t="n">
        <v>0.01</v>
      </c>
      <c r="F5799" s="3" t="n">
        <v>0</v>
      </c>
      <c r="G5799" s="3">
        <f>F5799-E5799</f>
        <v/>
      </c>
      <c r="H5799" s="4">
        <f>IF(E5799=0,"",F5799/E5799-1)</f>
        <v/>
      </c>
      <c r="I5799" t="inlineStr"/>
    </row>
    <row r="5800">
      <c r="A5800" t="inlineStr">
        <is>
          <t>Other manufactured goods</t>
        </is>
      </c>
      <c r="B5800" t="inlineStr">
        <is>
          <t>96</t>
        </is>
      </c>
      <c r="C5800" t="inlineStr">
        <is>
          <t>96081011</t>
        </is>
      </c>
      <c r="D5800" t="inlineStr">
        <is>
          <t>HIGH VALUE BALL POINT PENS (US $ 100 AND ABOVE C.I.F. PER UNIT)</t>
        </is>
      </c>
      <c r="E5800" s="3" t="n">
        <v>0</v>
      </c>
      <c r="F5800" s="3" t="n">
        <v>0</v>
      </c>
      <c r="G5800" s="3">
        <f>F5800-E5800</f>
        <v/>
      </c>
      <c r="H5800" s="4">
        <f>IF(E5800=0,"",F5800/E5800-1)</f>
        <v/>
      </c>
      <c r="I5800" t="inlineStr"/>
    </row>
    <row r="5801">
      <c r="A5801" t="inlineStr">
        <is>
          <t>Other manufactured goods</t>
        </is>
      </c>
      <c r="B5801" t="inlineStr">
        <is>
          <t>96</t>
        </is>
      </c>
      <c r="C5801" t="inlineStr">
        <is>
          <t>96081012</t>
        </is>
      </c>
      <c r="D5801" t="inlineStr">
        <is>
          <t>BALL POINT PENS WITH BODY OR CAP OF PRECIOUS METAL OR ROLLED PRECIOUS METAL</t>
        </is>
      </c>
      <c r="E5801" s="3" t="n">
        <v>0</v>
      </c>
      <c r="F5801" s="3" t="n">
        <v>0</v>
      </c>
      <c r="G5801" s="3">
        <f>F5801-E5801</f>
        <v/>
      </c>
      <c r="H5801" s="4">
        <f>IF(E5801=0,"",F5801/E5801-1)</f>
        <v/>
      </c>
      <c r="I5801" t="inlineStr"/>
    </row>
    <row r="5802">
      <c r="A5802" t="inlineStr">
        <is>
          <t>Other manufactured goods</t>
        </is>
      </c>
      <c r="B5802" t="inlineStr">
        <is>
          <t>96</t>
        </is>
      </c>
      <c r="C5802" t="inlineStr">
        <is>
          <t>96081091</t>
        </is>
      </c>
      <c r="D5802" t="inlineStr">
        <is>
          <t>HIGH VALUE BALL POINT PENS (US $ 100 AND ABOVE C.I.F. PER UNIT)</t>
        </is>
      </c>
      <c r="E5802" s="3" t="n">
        <v>0</v>
      </c>
      <c r="F5802" s="3" t="n">
        <v>0</v>
      </c>
      <c r="G5802" s="3">
        <f>F5802-E5802</f>
        <v/>
      </c>
      <c r="H5802" s="4">
        <f>IF(E5802=0,"",F5802/E5802-1)</f>
        <v/>
      </c>
      <c r="I5802" t="inlineStr"/>
    </row>
    <row r="5803">
      <c r="A5803" t="inlineStr">
        <is>
          <t>Other manufactured goods</t>
        </is>
      </c>
      <c r="B5803" t="inlineStr">
        <is>
          <t>96</t>
        </is>
      </c>
      <c r="C5803" t="inlineStr">
        <is>
          <t>96081092</t>
        </is>
      </c>
      <c r="D5803" t="inlineStr">
        <is>
          <t>BALL POINT PENS WITH BODY OR CAP OF PRECIOUS METAL OR ROLLED PRECIOUS METAL</t>
        </is>
      </c>
      <c r="E5803" s="3" t="n">
        <v>0</v>
      </c>
      <c r="F5803" s="3" t="n">
        <v>0</v>
      </c>
      <c r="G5803" s="3">
        <f>F5803-E5803</f>
        <v/>
      </c>
      <c r="H5803" s="4">
        <f>IF(E5803=0,"",F5803/E5803-1)</f>
        <v/>
      </c>
      <c r="I5803" t="inlineStr"/>
    </row>
    <row r="5804">
      <c r="A5804" t="inlineStr">
        <is>
          <t>Other manufactured goods</t>
        </is>
      </c>
      <c r="B5804" t="inlineStr">
        <is>
          <t>96</t>
        </is>
      </c>
      <c r="C5804" t="inlineStr">
        <is>
          <t>96083012</t>
        </is>
      </c>
      <c r="D5804" t="inlineStr">
        <is>
          <t>WITH BODY OR CAP OF PRECIOUS METAL OR ROLLED PRECIOUS METAL</t>
        </is>
      </c>
      <c r="E5804" s="3" t="n">
        <v>0</v>
      </c>
      <c r="F5804" s="3" t="n">
        <v>0</v>
      </c>
      <c r="G5804" s="3">
        <f>F5804-E5804</f>
        <v/>
      </c>
      <c r="H5804" s="4">
        <f>IF(E5804=0,"",F5804/E5804-1)</f>
        <v/>
      </c>
      <c r="I5804" t="inlineStr"/>
    </row>
    <row r="5805">
      <c r="A5805" t="inlineStr">
        <is>
          <t>Other manufactured goods</t>
        </is>
      </c>
      <c r="B5805" t="inlineStr">
        <is>
          <t>96</t>
        </is>
      </c>
      <c r="C5805" t="inlineStr">
        <is>
          <t>96083019</t>
        </is>
      </c>
      <c r="D5805" t="inlineStr">
        <is>
          <t>OTHER FOUNTAIN PENS</t>
        </is>
      </c>
      <c r="E5805" s="3" t="n">
        <v>0</v>
      </c>
      <c r="F5805" s="3" t="n">
        <v>0</v>
      </c>
      <c r="G5805" s="3">
        <f>F5805-E5805</f>
        <v/>
      </c>
      <c r="H5805" s="4">
        <f>IF(E5805=0,"",F5805/E5805-1)</f>
        <v/>
      </c>
      <c r="I5805" t="inlineStr"/>
    </row>
    <row r="5806">
      <c r="A5806" t="inlineStr">
        <is>
          <t>Other manufactured goods</t>
        </is>
      </c>
      <c r="B5806" t="inlineStr">
        <is>
          <t>96</t>
        </is>
      </c>
      <c r="C5806" t="inlineStr">
        <is>
          <t>96083029</t>
        </is>
      </c>
      <c r="D5806" t="inlineStr">
        <is>
          <t>OTHERS-OF-FOUNTAIN PENS, STYLOGRAPH PENS AND OTHER PENS:</t>
        </is>
      </c>
      <c r="E5806" s="3" t="n">
        <v>0</v>
      </c>
      <c r="F5806" s="3" t="n">
        <v>0</v>
      </c>
      <c r="G5806" s="3">
        <f>F5806-E5806</f>
        <v/>
      </c>
      <c r="H5806" s="4">
        <f>IF(E5806=0,"",F5806/E5806-1)</f>
        <v/>
      </c>
      <c r="I5806" t="inlineStr"/>
    </row>
    <row r="5807">
      <c r="A5807" t="inlineStr">
        <is>
          <t>Other manufactured goods</t>
        </is>
      </c>
      <c r="B5807" t="inlineStr">
        <is>
          <t>96</t>
        </is>
      </c>
      <c r="C5807" t="inlineStr">
        <is>
          <t>96084000</t>
        </is>
      </c>
      <c r="D5807" t="inlineStr">
        <is>
          <t>PROPELLING/SLIDING PENCILS</t>
        </is>
      </c>
      <c r="E5807" s="3" t="n">
        <v>0</v>
      </c>
      <c r="F5807" s="3" t="n">
        <v>0</v>
      </c>
      <c r="G5807" s="3">
        <f>F5807-E5807</f>
        <v/>
      </c>
      <c r="H5807" s="4">
        <f>IF(E5807=0,"",F5807/E5807-1)</f>
        <v/>
      </c>
      <c r="I5807" t="inlineStr"/>
    </row>
    <row r="5808">
      <c r="A5808" t="inlineStr">
        <is>
          <t>Other manufactured goods</t>
        </is>
      </c>
      <c r="B5808" t="inlineStr">
        <is>
          <t>96</t>
        </is>
      </c>
      <c r="C5808" t="inlineStr">
        <is>
          <t>96085000</t>
        </is>
      </c>
      <c r="D5808" t="inlineStr">
        <is>
          <t>SETS OF ARTICLS FROM TWO/MORE OF THE SUBHEADINGS 960810 TO 960840</t>
        </is>
      </c>
      <c r="E5808" s="3" t="n">
        <v>0</v>
      </c>
      <c r="F5808" s="3" t="n">
        <v>0</v>
      </c>
      <c r="G5808" s="3">
        <f>F5808-E5808</f>
        <v/>
      </c>
      <c r="H5808" s="4">
        <f>IF(E5808=0,"",F5808/E5808-1)</f>
        <v/>
      </c>
      <c r="I5808" t="inlineStr"/>
    </row>
    <row r="5809">
      <c r="A5809" t="inlineStr">
        <is>
          <t>Other manufactured goods</t>
        </is>
      </c>
      <c r="B5809" t="inlineStr">
        <is>
          <t>96</t>
        </is>
      </c>
      <c r="C5809" t="inlineStr">
        <is>
          <t>96086010</t>
        </is>
      </c>
      <c r="D5809" t="inlineStr">
        <is>
          <t>REFILLS WTH LIQUD INK (FOR ROLNG BALL-PT)</t>
        </is>
      </c>
      <c r="E5809" s="3" t="n">
        <v>0.01</v>
      </c>
      <c r="F5809" s="3" t="n">
        <v>0</v>
      </c>
      <c r="G5809" s="3">
        <f>F5809-E5809</f>
        <v/>
      </c>
      <c r="H5809" s="4">
        <f>IF(E5809=0,"",F5809/E5809-1)</f>
        <v/>
      </c>
      <c r="I5809" t="inlineStr"/>
    </row>
    <row r="5810">
      <c r="A5810" t="inlineStr">
        <is>
          <t>Other manufactured goods</t>
        </is>
      </c>
      <c r="B5810" t="inlineStr">
        <is>
          <t>96</t>
        </is>
      </c>
      <c r="C5810" t="inlineStr">
        <is>
          <t>96089910</t>
        </is>
      </c>
      <c r="D5810" t="inlineStr">
        <is>
          <t>PEN HOLDERS AND SMLR HOLDERS</t>
        </is>
      </c>
      <c r="E5810" s="3" t="n">
        <v>0</v>
      </c>
      <c r="F5810" s="3" t="n">
        <v>0</v>
      </c>
      <c r="G5810" s="3">
        <f>F5810-E5810</f>
        <v/>
      </c>
      <c r="H5810" s="4">
        <f>IF(E5810=0,"",F5810/E5810-1)</f>
        <v/>
      </c>
      <c r="I5810" t="inlineStr"/>
    </row>
    <row r="5811">
      <c r="A5811" t="inlineStr">
        <is>
          <t>Other manufactured goods</t>
        </is>
      </c>
      <c r="B5811" t="inlineStr">
        <is>
          <t>96</t>
        </is>
      </c>
      <c r="C5811" t="inlineStr">
        <is>
          <t>96092000</t>
        </is>
      </c>
      <c r="D5811" t="inlineStr">
        <is>
          <t>PENCIL LEADS,BLACK/COLOURED</t>
        </is>
      </c>
      <c r="E5811" s="3" t="n">
        <v>0</v>
      </c>
      <c r="F5811" s="3" t="n">
        <v>0</v>
      </c>
      <c r="G5811" s="3">
        <f>F5811-E5811</f>
        <v/>
      </c>
      <c r="H5811" s="4">
        <f>IF(E5811=0,"",F5811/E5811-1)</f>
        <v/>
      </c>
      <c r="I5811" t="inlineStr"/>
    </row>
    <row r="5812">
      <c r="A5812" t="inlineStr">
        <is>
          <t>Other manufactured goods</t>
        </is>
      </c>
      <c r="B5812" t="inlineStr">
        <is>
          <t>96</t>
        </is>
      </c>
      <c r="C5812" t="inlineStr">
        <is>
          <t>96131000</t>
        </is>
      </c>
      <c r="D5812" t="inlineStr">
        <is>
          <t>POCKET LIGHTER,GAS FUELLED,NON-REFILLABLE</t>
        </is>
      </c>
      <c r="E5812" s="3" t="n">
        <v>0</v>
      </c>
      <c r="F5812" s="3" t="n">
        <v>0</v>
      </c>
      <c r="G5812" s="3">
        <f>F5812-E5812</f>
        <v/>
      </c>
      <c r="H5812" s="4">
        <f>IF(E5812=0,"",F5812/E5812-1)</f>
        <v/>
      </c>
      <c r="I5812" t="inlineStr"/>
    </row>
    <row r="5813">
      <c r="A5813" t="inlineStr">
        <is>
          <t>Other manufactured goods</t>
        </is>
      </c>
      <c r="B5813" t="inlineStr">
        <is>
          <t>96</t>
        </is>
      </c>
      <c r="C5813" t="inlineStr">
        <is>
          <t>96140000</t>
        </is>
      </c>
      <c r="D5813" t="inlineStr">
        <is>
          <t>PIPES AND PIPE BOWLS</t>
        </is>
      </c>
      <c r="E5813" s="3" t="n">
        <v>0.05</v>
      </c>
      <c r="F5813" s="3" t="n">
        <v>0</v>
      </c>
      <c r="G5813" s="3">
        <f>F5813-E5813</f>
        <v/>
      </c>
      <c r="H5813" s="4">
        <f>IF(E5813=0,"",F5813/E5813-1)</f>
        <v/>
      </c>
      <c r="I5813" t="inlineStr"/>
    </row>
    <row r="5814">
      <c r="A5814" t="inlineStr">
        <is>
          <t>Other manufactured goods</t>
        </is>
      </c>
      <c r="B5814" t="inlineStr">
        <is>
          <t>96</t>
        </is>
      </c>
      <c r="C5814" t="inlineStr">
        <is>
          <t>96159000</t>
        </is>
      </c>
      <c r="D5814" t="inlineStr">
        <is>
          <t>CURLING PINS/GRIPS; HAIR PINS, CRLR AND LIKE</t>
        </is>
      </c>
      <c r="E5814" s="3" t="n">
        <v>0.02</v>
      </c>
      <c r="F5814" s="3" t="n">
        <v>0</v>
      </c>
      <c r="G5814" s="3">
        <f>F5814-E5814</f>
        <v/>
      </c>
      <c r="H5814" s="4">
        <f>IF(E5814=0,"",F5814/E5814-1)</f>
        <v/>
      </c>
      <c r="I5814" t="inlineStr"/>
    </row>
    <row r="5815">
      <c r="A5815" t="inlineStr">
        <is>
          <t>Other manufactured goods</t>
        </is>
      </c>
      <c r="B5815" t="inlineStr">
        <is>
          <t>96</t>
        </is>
      </c>
      <c r="C5815" t="inlineStr">
        <is>
          <t>96161010</t>
        </is>
      </c>
      <c r="D5815" t="inlineStr">
        <is>
          <t>SCENT SPRAYS AND SIMILAR TOILET SPRAYS</t>
        </is>
      </c>
      <c r="E5815" s="3" t="n">
        <v>0.02</v>
      </c>
      <c r="F5815" s="3" t="n">
        <v>0</v>
      </c>
      <c r="G5815" s="3">
        <f>F5815-E5815</f>
        <v/>
      </c>
      <c r="H5815" s="4">
        <f>IF(E5815=0,"",F5815/E5815-1)</f>
        <v/>
      </c>
      <c r="I5815" t="inlineStr"/>
    </row>
    <row r="5816">
      <c r="A5816" t="inlineStr">
        <is>
          <t>Other manufactured goods</t>
        </is>
      </c>
      <c r="B5816" t="inlineStr">
        <is>
          <t>96</t>
        </is>
      </c>
      <c r="C5816" t="inlineStr">
        <is>
          <t>96170013</t>
        </is>
      </c>
      <c r="D5816" t="inlineStr">
        <is>
          <t>CASSEROL AND OTHER VACCUM CONTAINERS</t>
        </is>
      </c>
      <c r="E5816" s="3" t="n">
        <v>0</v>
      </c>
      <c r="F5816" s="3" t="n">
        <v>0</v>
      </c>
      <c r="G5816" s="3">
        <f>F5816-E5816</f>
        <v/>
      </c>
      <c r="H5816" s="4">
        <f>IF(E5816=0,"",F5816/E5816-1)</f>
        <v/>
      </c>
      <c r="I5816" t="inlineStr"/>
    </row>
    <row r="5817">
      <c r="A5817" t="inlineStr">
        <is>
          <t>Other manufactured goods</t>
        </is>
      </c>
      <c r="B5817" t="inlineStr">
        <is>
          <t>96</t>
        </is>
      </c>
      <c r="C5817" t="inlineStr">
        <is>
          <t>96170019</t>
        </is>
      </c>
      <c r="D5817" t="inlineStr">
        <is>
          <t>OTHR VACUUM VSSLS WTH CASES</t>
        </is>
      </c>
      <c r="E5817" s="3" t="n">
        <v>0.11</v>
      </c>
      <c r="F5817" s="3" t="n">
        <v>0</v>
      </c>
      <c r="G5817" s="3">
        <f>F5817-E5817</f>
        <v/>
      </c>
      <c r="H5817" s="4">
        <f>IF(E5817=0,"",F5817/E5817-1)</f>
        <v/>
      </c>
      <c r="I5817" t="inlineStr"/>
    </row>
    <row r="5818">
      <c r="A5818" t="inlineStr">
        <is>
          <t>Other manufactured goods</t>
        </is>
      </c>
      <c r="B5818" t="inlineStr">
        <is>
          <t>96</t>
        </is>
      </c>
      <c r="C5818" t="inlineStr">
        <is>
          <t>96200000</t>
        </is>
      </c>
      <c r="D5818" t="inlineStr">
        <is>
          <t>MONOPODS, BIPODS, TRIPODS AND SIMILAR ARTICLES</t>
        </is>
      </c>
      <c r="E5818" s="3" t="n">
        <v>0</v>
      </c>
      <c r="F5818" s="3" t="n">
        <v>0</v>
      </c>
      <c r="G5818" s="3">
        <f>F5818-E5818</f>
        <v/>
      </c>
      <c r="H5818" s="4">
        <f>IF(E5818=0,"",F5818/E5818-1)</f>
        <v/>
      </c>
      <c r="I5818" t="inlineStr"/>
    </row>
    <row r="5819">
      <c r="A5819" t="inlineStr">
        <is>
          <t>Other manufactured goods</t>
        </is>
      </c>
      <c r="B5819" t="inlineStr">
        <is>
          <t>97</t>
        </is>
      </c>
      <c r="C5819" t="inlineStr">
        <is>
          <t>97012900</t>
        </is>
      </c>
      <c r="D5819" t="inlineStr">
        <is>
          <t>OTHERS-OF-OTHERS-OF-PNTG DRNG AND PASTEL BY HAND,EXCL DRNG OF HDG 4906 AND EXCL HNDPRNT/HND DCRTMNFTDARTCL COLLAGE, MOSAIC AND</t>
        </is>
      </c>
      <c r="E5819" s="3" t="n">
        <v>0.01</v>
      </c>
      <c r="F5819" s="3" t="n">
        <v>0</v>
      </c>
      <c r="G5819" s="3">
        <f>F5819-E5819</f>
        <v/>
      </c>
      <c r="H5819" s="4">
        <f>IF(E5819=0,"",F5819/E5819-1)</f>
        <v/>
      </c>
      <c r="I5819" t="inlineStr"/>
    </row>
    <row r="5820">
      <c r="A5820" t="inlineStr">
        <is>
          <t>Other manufactured goods</t>
        </is>
      </c>
      <c r="B5820" t="inlineStr">
        <is>
          <t>97</t>
        </is>
      </c>
      <c r="C5820" t="inlineStr">
        <is>
          <t>97039010</t>
        </is>
      </c>
      <c r="D5820" t="inlineStr">
        <is>
          <t>OF METAL</t>
        </is>
      </c>
      <c r="E5820" s="3" t="n">
        <v>0.01</v>
      </c>
      <c r="F5820" s="3" t="n">
        <v>0</v>
      </c>
      <c r="G5820" s="3">
        <f>F5820-E5820</f>
        <v/>
      </c>
      <c r="H5820" s="4">
        <f>IF(E5820=0,"",F5820/E5820-1)</f>
        <v/>
      </c>
      <c r="I5820" t="inlineStr"/>
    </row>
    <row r="5821">
      <c r="A5821" t="inlineStr">
        <is>
          <t>Other manufactured goods</t>
        </is>
      </c>
      <c r="B5821" t="inlineStr">
        <is>
          <t>97</t>
        </is>
      </c>
      <c r="C5821" t="inlineStr">
        <is>
          <t>97053900</t>
        </is>
      </c>
      <c r="D5821" t="inlineStr">
        <is>
          <t>OTHERS-OF-OTHERS-OF-COLECTNS OF ARCHLGICAL,ETHNOGRAPHIC,ZOOLOGICL BOTANICL,MINERALOGICL,ANATOMICL,PALENTOLGICAL,HISTCL ARCHLOG</t>
        </is>
      </c>
      <c r="E5821" s="3" t="n">
        <v>0</v>
      </c>
      <c r="F5821" s="3" t="n">
        <v>0</v>
      </c>
      <c r="G5821" s="3">
        <f>F5821-E5821</f>
        <v/>
      </c>
      <c r="H5821" s="4">
        <f>IF(E5821=0,"",F5821/E5821-1)</f>
        <v/>
      </c>
      <c r="I5821" t="inlineStr"/>
    </row>
    <row r="5822">
      <c r="A5822" s="6" t="inlineStr">
        <is>
          <t>Footwear &amp; accessories  —  60 lines</t>
        </is>
      </c>
      <c r="B5822" s="6" t="inlineStr"/>
      <c r="C5822" s="6" t="inlineStr"/>
      <c r="D5822" s="6" t="inlineStr"/>
      <c r="E5822" s="7" t="n">
        <v>69.14</v>
      </c>
      <c r="F5822" s="7" t="n">
        <v>60.12</v>
      </c>
      <c r="G5822" s="7" t="n">
        <v>-9.02</v>
      </c>
      <c r="H5822" s="8" t="n">
        <v>-0.1304599363610064</v>
      </c>
      <c r="I5822" s="6" t="inlineStr"/>
    </row>
    <row r="5823">
      <c r="A5823" t="inlineStr">
        <is>
          <t>Footwear &amp; accessories</t>
        </is>
      </c>
      <c r="B5823" t="inlineStr">
        <is>
          <t>64</t>
        </is>
      </c>
      <c r="C5823" t="inlineStr">
        <is>
          <t>64029990</t>
        </is>
      </c>
      <c r="D5823" t="inlineStr">
        <is>
          <t>OTHERS-OF-OTHER FOOTWEAR OF 6402</t>
        </is>
      </c>
      <c r="E5823" s="3" t="n">
        <v>19.25</v>
      </c>
      <c r="F5823" s="3" t="n">
        <v>17.01</v>
      </c>
      <c r="G5823" s="3">
        <f>F5823-E5823</f>
        <v/>
      </c>
      <c r="H5823" s="4">
        <f>IF(E5823=0,"",F5823/E5823-1)</f>
        <v/>
      </c>
      <c r="I5823" t="inlineStr"/>
    </row>
    <row r="5824">
      <c r="A5824" t="inlineStr">
        <is>
          <t>Footwear &amp; accessories</t>
        </is>
      </c>
      <c r="B5824" t="inlineStr">
        <is>
          <t>64</t>
        </is>
      </c>
      <c r="C5824" t="inlineStr">
        <is>
          <t>64061020</t>
        </is>
      </c>
      <c r="D5824" t="inlineStr">
        <is>
          <t>LEATHER UPPERS(PREPARED)</t>
        </is>
      </c>
      <c r="E5824" s="3" t="n">
        <v>14.81</v>
      </c>
      <c r="F5824" s="3" t="n">
        <v>13.28</v>
      </c>
      <c r="G5824" s="3">
        <f>F5824-E5824</f>
        <v/>
      </c>
      <c r="H5824" s="4">
        <f>IF(E5824=0,"",F5824/E5824-1)</f>
        <v/>
      </c>
      <c r="I5824" t="inlineStr"/>
    </row>
    <row r="5825">
      <c r="A5825" t="inlineStr">
        <is>
          <t>Footwear &amp; accessories</t>
        </is>
      </c>
      <c r="B5825" t="inlineStr">
        <is>
          <t>64</t>
        </is>
      </c>
      <c r="C5825" t="inlineStr">
        <is>
          <t>64041990</t>
        </is>
      </c>
      <c r="D5825" t="inlineStr">
        <is>
          <t>OTHERS-OF-OTHR FTWEAR WTH OUTR SOLES OF RUBR/PLSTCS AND WITH UPPER OF TEXTILE MATERIALS</t>
        </is>
      </c>
      <c r="E5825" s="3" t="n">
        <v>5.1</v>
      </c>
      <c r="F5825" s="3" t="n">
        <v>4.38</v>
      </c>
      <c r="G5825" s="3">
        <f>F5825-E5825</f>
        <v/>
      </c>
      <c r="H5825" s="4">
        <f>IF(E5825=0,"",F5825/E5825-1)</f>
        <v/>
      </c>
      <c r="I5825" t="inlineStr"/>
    </row>
    <row r="5826">
      <c r="A5826" t="inlineStr">
        <is>
          <t>Footwear &amp; accessories</t>
        </is>
      </c>
      <c r="B5826" t="inlineStr">
        <is>
          <t>64</t>
        </is>
      </c>
      <c r="C5826" t="inlineStr">
        <is>
          <t>64022090</t>
        </is>
      </c>
      <c r="D5826" t="inlineStr">
        <is>
          <t>OTHER FOOTWEAR WITH UPPER STRAPS OR THONG ASMBLD TO SOLE BY MEANS OF PLUGS</t>
        </is>
      </c>
      <c r="E5826" s="3" t="n">
        <v>4.74</v>
      </c>
      <c r="F5826" s="3" t="n">
        <v>3.09</v>
      </c>
      <c r="G5826" s="3">
        <f>F5826-E5826</f>
        <v/>
      </c>
      <c r="H5826" s="4">
        <f>IF(E5826=0,"",F5826/E5826-1)</f>
        <v/>
      </c>
      <c r="I5826" t="inlineStr"/>
    </row>
    <row r="5827">
      <c r="A5827" t="inlineStr">
        <is>
          <t>Footwear &amp; accessories</t>
        </is>
      </c>
      <c r="B5827" t="inlineStr">
        <is>
          <t>64</t>
        </is>
      </c>
      <c r="C5827" t="inlineStr">
        <is>
          <t>64021990</t>
        </is>
      </c>
      <c r="D5827" t="inlineStr">
        <is>
          <t>OTHERS-OF-OTHER SPORTS FOOTWEAR WITH OUTER SOLES AND UPPER OF RUBBER/PLASTIC</t>
        </is>
      </c>
      <c r="E5827" s="3" t="n">
        <v>4.03</v>
      </c>
      <c r="F5827" s="3" t="n">
        <v>3.01</v>
      </c>
      <c r="G5827" s="3">
        <f>F5827-E5827</f>
        <v/>
      </c>
      <c r="H5827" s="4">
        <f>IF(E5827=0,"",F5827/E5827-1)</f>
        <v/>
      </c>
      <c r="I5827" t="inlineStr"/>
    </row>
    <row r="5828">
      <c r="A5828" t="inlineStr">
        <is>
          <t>Footwear &amp; accessories</t>
        </is>
      </c>
      <c r="B5828" t="inlineStr">
        <is>
          <t>64</t>
        </is>
      </c>
      <c r="C5828" t="inlineStr">
        <is>
          <t>64039990</t>
        </is>
      </c>
      <c r="D5828" t="inlineStr">
        <is>
          <t>LTHR SANDALS WITH OTHR SOLE</t>
        </is>
      </c>
      <c r="E5828" s="3" t="n">
        <v>3.79</v>
      </c>
      <c r="F5828" s="3" t="n">
        <v>2.77</v>
      </c>
      <c r="G5828" s="3">
        <f>F5828-E5828</f>
        <v/>
      </c>
      <c r="H5828" s="4">
        <f>IF(E5828=0,"",F5828/E5828-1)</f>
        <v/>
      </c>
      <c r="I5828" t="inlineStr"/>
    </row>
    <row r="5829">
      <c r="A5829" t="inlineStr">
        <is>
          <t>Footwear &amp; accessories</t>
        </is>
      </c>
      <c r="B5829" t="inlineStr">
        <is>
          <t>64</t>
        </is>
      </c>
      <c r="C5829" t="inlineStr">
        <is>
          <t>64039110</t>
        </is>
      </c>
      <c r="D5829" t="inlineStr">
        <is>
          <t>LTHR BOOTS AND OTHR FOOTWEAR WTH RUBR SOLE</t>
        </is>
      </c>
      <c r="E5829" s="3" t="n">
        <v>0.84</v>
      </c>
      <c r="F5829" s="3" t="n">
        <v>2.74</v>
      </c>
      <c r="G5829" s="3">
        <f>F5829-E5829</f>
        <v/>
      </c>
      <c r="H5829" s="4">
        <f>IF(E5829=0,"",F5829/E5829-1)</f>
        <v/>
      </c>
      <c r="I5829" t="inlineStr"/>
    </row>
    <row r="5830">
      <c r="A5830" t="inlineStr">
        <is>
          <t>Footwear &amp; accessories</t>
        </is>
      </c>
      <c r="B5830" t="inlineStr">
        <is>
          <t>65</t>
        </is>
      </c>
      <c r="C5830" t="inlineStr">
        <is>
          <t>65050090</t>
        </is>
      </c>
      <c r="D5830" t="inlineStr">
        <is>
          <t>HATS AND OTHER HEADGEARS ETC. EXCL. HAIR-NETS</t>
        </is>
      </c>
      <c r="E5830" s="3" t="n">
        <v>1.49</v>
      </c>
      <c r="F5830" s="3" t="n">
        <v>2.4</v>
      </c>
      <c r="G5830" s="3">
        <f>F5830-E5830</f>
        <v/>
      </c>
      <c r="H5830" s="4">
        <f>IF(E5830=0,"",F5830/E5830-1)</f>
        <v/>
      </c>
      <c r="I5830" t="inlineStr"/>
    </row>
    <row r="5831">
      <c r="A5831" t="inlineStr">
        <is>
          <t>Footwear &amp; accessories</t>
        </is>
      </c>
      <c r="B5831" t="inlineStr">
        <is>
          <t>64</t>
        </is>
      </c>
      <c r="C5831" t="inlineStr">
        <is>
          <t>64034000</t>
        </is>
      </c>
      <c r="D5831" t="inlineStr">
        <is>
          <t>OTHR FTWEAR INCRPRTNG PRTCVE METL TOE-CAP</t>
        </is>
      </c>
      <c r="E5831" s="3" t="n">
        <v>0.79</v>
      </c>
      <c r="F5831" s="3" t="n">
        <v>2.21</v>
      </c>
      <c r="G5831" s="3">
        <f>F5831-E5831</f>
        <v/>
      </c>
      <c r="H5831" s="4">
        <f>IF(E5831=0,"",F5831/E5831-1)</f>
        <v/>
      </c>
      <c r="I5831" t="inlineStr"/>
    </row>
    <row r="5832">
      <c r="A5832" t="inlineStr">
        <is>
          <t>Footwear &amp; accessories</t>
        </is>
      </c>
      <c r="B5832" t="inlineStr">
        <is>
          <t>64</t>
        </is>
      </c>
      <c r="C5832" t="inlineStr">
        <is>
          <t>64039190</t>
        </is>
      </c>
      <c r="D5832" t="inlineStr">
        <is>
          <t>LTHR FTWEAR OF OTHR SOLE</t>
        </is>
      </c>
      <c r="E5832" s="3" t="n">
        <v>0.22</v>
      </c>
      <c r="F5832" s="3" t="n">
        <v>1.68</v>
      </c>
      <c r="G5832" s="3">
        <f>F5832-E5832</f>
        <v/>
      </c>
      <c r="H5832" s="4">
        <f>IF(E5832=0,"",F5832/E5832-1)</f>
        <v/>
      </c>
      <c r="I5832" t="inlineStr"/>
    </row>
    <row r="5833">
      <c r="A5833" t="inlineStr">
        <is>
          <t>Footwear &amp; accessories</t>
        </is>
      </c>
      <c r="B5833" t="inlineStr">
        <is>
          <t>64</t>
        </is>
      </c>
      <c r="C5833" t="inlineStr">
        <is>
          <t>64041190</t>
        </is>
      </c>
      <c r="D5833" t="inlineStr">
        <is>
          <t>OTHERS-OF-SPORTS FTWEAR-TENNS SHOES BSKTBL SHOES GYNGYMSHOES ETC WTH OUTR SOLES OFRUBR/PLSTCS</t>
        </is>
      </c>
      <c r="E5833" s="3" t="n">
        <v>0.87</v>
      </c>
      <c r="F5833" s="3" t="n">
        <v>1.12</v>
      </c>
      <c r="G5833" s="3">
        <f>F5833-E5833</f>
        <v/>
      </c>
      <c r="H5833" s="4">
        <f>IF(E5833=0,"",F5833/E5833-1)</f>
        <v/>
      </c>
      <c r="I5833" t="inlineStr"/>
    </row>
    <row r="5834">
      <c r="A5834" t="inlineStr">
        <is>
          <t>Footwear &amp; accessories</t>
        </is>
      </c>
      <c r="B5834" t="inlineStr">
        <is>
          <t>64</t>
        </is>
      </c>
      <c r="C5834" t="inlineStr">
        <is>
          <t>64035111</t>
        </is>
      </c>
      <c r="D5834" t="inlineStr">
        <is>
          <t>ANKLE CVRD ALL LTHR SHOES FOR MEN</t>
        </is>
      </c>
      <c r="E5834" s="3" t="n">
        <v>2.52</v>
      </c>
      <c r="F5834" s="3" t="n">
        <v>1.05</v>
      </c>
      <c r="G5834" s="3">
        <f>F5834-E5834</f>
        <v/>
      </c>
      <c r="H5834" s="4">
        <f>IF(E5834=0,"",F5834/E5834-1)</f>
        <v/>
      </c>
      <c r="I5834" t="inlineStr"/>
    </row>
    <row r="5835">
      <c r="A5835" t="inlineStr">
        <is>
          <t>Footwear &amp; accessories</t>
        </is>
      </c>
      <c r="B5835" t="inlineStr">
        <is>
          <t>64</t>
        </is>
      </c>
      <c r="C5835" t="inlineStr">
        <is>
          <t>64039920</t>
        </is>
      </c>
      <c r="D5835" t="inlineStr">
        <is>
          <t>LEATHER SANDALS WITH PLASTC/SYNTHTC SOLE</t>
        </is>
      </c>
      <c r="E5835" s="3" t="n">
        <v>1.12</v>
      </c>
      <c r="F5835" s="3" t="n">
        <v>0.75</v>
      </c>
      <c r="G5835" s="3">
        <f>F5835-E5835</f>
        <v/>
      </c>
      <c r="H5835" s="4">
        <f>IF(E5835=0,"",F5835/E5835-1)</f>
        <v/>
      </c>
      <c r="I5835" t="inlineStr"/>
    </row>
    <row r="5836">
      <c r="A5836" t="inlineStr">
        <is>
          <t>Footwear &amp; accessories</t>
        </is>
      </c>
      <c r="B5836" t="inlineStr">
        <is>
          <t>64</t>
        </is>
      </c>
      <c r="C5836" t="inlineStr">
        <is>
          <t>64039120</t>
        </is>
      </c>
      <c r="D5836" t="inlineStr">
        <is>
          <t>LTHR FOOTWEAR OF PLSTC AND SYNTHTC SOLE</t>
        </is>
      </c>
      <c r="E5836" s="3" t="n">
        <v>1.05</v>
      </c>
      <c r="F5836" s="3" t="n">
        <v>0.6</v>
      </c>
      <c r="G5836" s="3">
        <f>F5836-E5836</f>
        <v/>
      </c>
      <c r="H5836" s="4">
        <f>IF(E5836=0,"",F5836/E5836-1)</f>
        <v/>
      </c>
      <c r="I5836" t="inlineStr"/>
    </row>
    <row r="5837">
      <c r="A5837" t="inlineStr">
        <is>
          <t>Footwear &amp; accessories</t>
        </is>
      </c>
      <c r="B5837" t="inlineStr">
        <is>
          <t>64</t>
        </is>
      </c>
      <c r="C5837" t="inlineStr">
        <is>
          <t>64062000</t>
        </is>
      </c>
      <c r="D5837" t="inlineStr">
        <is>
          <t>OUTER SOLES AND HEELS OF RBBER/PLSTCS</t>
        </is>
      </c>
      <c r="E5837" s="3" t="n">
        <v>0.55</v>
      </c>
      <c r="F5837" s="3" t="n">
        <v>0.57</v>
      </c>
      <c r="G5837" s="3">
        <f>F5837-E5837</f>
        <v/>
      </c>
      <c r="H5837" s="4">
        <f>IF(E5837=0,"",F5837/E5837-1)</f>
        <v/>
      </c>
      <c r="I5837" t="inlineStr"/>
    </row>
    <row r="5838">
      <c r="A5838" t="inlineStr">
        <is>
          <t>Footwear &amp; accessories</t>
        </is>
      </c>
      <c r="B5838" t="inlineStr">
        <is>
          <t>64</t>
        </is>
      </c>
      <c r="C5838" t="inlineStr">
        <is>
          <t>64059000</t>
        </is>
      </c>
      <c r="D5838" t="inlineStr">
        <is>
          <t>ALL OTHER FOOTWEAR</t>
        </is>
      </c>
      <c r="E5838" s="3" t="n">
        <v>0.57</v>
      </c>
      <c r="F5838" s="3" t="n">
        <v>0.5600000000000001</v>
      </c>
      <c r="G5838" s="3">
        <f>F5838-E5838</f>
        <v/>
      </c>
      <c r="H5838" s="4">
        <f>IF(E5838=0,"",F5838/E5838-1)</f>
        <v/>
      </c>
      <c r="I5838" t="inlineStr"/>
    </row>
    <row r="5839">
      <c r="A5839" t="inlineStr">
        <is>
          <t>Footwear &amp; accessories</t>
        </is>
      </c>
      <c r="B5839" t="inlineStr">
        <is>
          <t>64</t>
        </is>
      </c>
      <c r="C5839" t="inlineStr">
        <is>
          <t>64041120</t>
        </is>
      </c>
      <c r="D5839" t="inlineStr">
        <is>
          <t>RUBBER SOLE WITH LEATHER CLOTH UPPERS</t>
        </is>
      </c>
      <c r="E5839" s="3" t="n">
        <v>2.37</v>
      </c>
      <c r="F5839" s="3" t="n">
        <v>0.46</v>
      </c>
      <c r="G5839" s="3">
        <f>F5839-E5839</f>
        <v/>
      </c>
      <c r="H5839" s="4">
        <f>IF(E5839=0,"",F5839/E5839-1)</f>
        <v/>
      </c>
      <c r="I5839" t="inlineStr"/>
    </row>
    <row r="5840">
      <c r="A5840" t="inlineStr">
        <is>
          <t>Footwear &amp; accessories</t>
        </is>
      </c>
      <c r="B5840" t="inlineStr">
        <is>
          <t>66</t>
        </is>
      </c>
      <c r="C5840" t="inlineStr">
        <is>
          <t>66020000</t>
        </is>
      </c>
      <c r="D5840" t="inlineStr">
        <is>
          <t>WALKING STICKS SEAT STICKS WHIPS RIDING CROPS AND THE LIKE</t>
        </is>
      </c>
      <c r="E5840" s="3" t="n">
        <v>0.32</v>
      </c>
      <c r="F5840" s="3" t="n">
        <v>0.37</v>
      </c>
      <c r="G5840" s="3">
        <f>F5840-E5840</f>
        <v/>
      </c>
      <c r="H5840" s="4">
        <f>IF(E5840=0,"",F5840/E5840-1)</f>
        <v/>
      </c>
      <c r="I5840" t="inlineStr"/>
    </row>
    <row r="5841">
      <c r="A5841" t="inlineStr">
        <is>
          <t>Footwear &amp; accessories</t>
        </is>
      </c>
      <c r="B5841" t="inlineStr">
        <is>
          <t>64</t>
        </is>
      </c>
      <c r="C5841" t="inlineStr">
        <is>
          <t>64069090</t>
        </is>
      </c>
      <c r="D5841" t="inlineStr">
        <is>
          <t>OTHER OF HDG 640690</t>
        </is>
      </c>
      <c r="E5841" s="3" t="n">
        <v>0.44</v>
      </c>
      <c r="F5841" s="3" t="n">
        <v>0.29</v>
      </c>
      <c r="G5841" s="3">
        <f>F5841-E5841</f>
        <v/>
      </c>
      <c r="H5841" s="4">
        <f>IF(E5841=0,"",F5841/E5841-1)</f>
        <v/>
      </c>
      <c r="I5841" t="inlineStr"/>
    </row>
    <row r="5842">
      <c r="A5842" t="inlineStr">
        <is>
          <t>Footwear &amp; accessories</t>
        </is>
      </c>
      <c r="B5842" t="inlineStr">
        <is>
          <t>64</t>
        </is>
      </c>
      <c r="C5842" t="inlineStr">
        <is>
          <t>64031920</t>
        </is>
      </c>
      <c r="D5842" t="inlineStr">
        <is>
          <t>OTHR SPORT FTWR WITH OUTER SOLES OF RUBBER</t>
        </is>
      </c>
      <c r="E5842" s="3" t="n">
        <v>0.05</v>
      </c>
      <c r="F5842" s="3" t="n">
        <v>0.26</v>
      </c>
      <c r="G5842" s="3">
        <f>F5842-E5842</f>
        <v/>
      </c>
      <c r="H5842" s="4">
        <f>IF(E5842=0,"",F5842/E5842-1)</f>
        <v/>
      </c>
      <c r="I5842" t="inlineStr"/>
    </row>
    <row r="5843">
      <c r="A5843" t="inlineStr">
        <is>
          <t>Footwear &amp; accessories</t>
        </is>
      </c>
      <c r="B5843" t="inlineStr">
        <is>
          <t>64</t>
        </is>
      </c>
      <c r="C5843" t="inlineStr">
        <is>
          <t>64032090</t>
        </is>
      </c>
      <c r="D5843" t="inlineStr">
        <is>
          <t>OTHERS-OF-FTWEAR WTH OUTR SOLES OF LTHR AND UPPRS WHICH CONSIST OF LTHR STRPS ACRS THEINSTEP AND AROUND THE BIG TOE</t>
        </is>
      </c>
      <c r="E5843" s="3" t="n">
        <v>0.19</v>
      </c>
      <c r="F5843" s="3" t="n">
        <v>0.24</v>
      </c>
      <c r="G5843" s="3">
        <f>F5843-E5843</f>
        <v/>
      </c>
      <c r="H5843" s="4">
        <f>IF(E5843=0,"",F5843/E5843-1)</f>
        <v/>
      </c>
      <c r="I5843" t="inlineStr"/>
    </row>
    <row r="5844">
      <c r="A5844" t="inlineStr">
        <is>
          <t>Footwear &amp; accessories</t>
        </is>
      </c>
      <c r="B5844" t="inlineStr">
        <is>
          <t>64</t>
        </is>
      </c>
      <c r="C5844" t="inlineStr">
        <is>
          <t>64041110</t>
        </is>
      </c>
      <c r="D5844" t="inlineStr">
        <is>
          <t>RUBBER SOLE WITH CANVAS UPPER</t>
        </is>
      </c>
      <c r="E5844" s="3" t="n">
        <v>0.89</v>
      </c>
      <c r="F5844" s="3" t="n">
        <v>0.19</v>
      </c>
      <c r="G5844" s="3">
        <f>F5844-E5844</f>
        <v/>
      </c>
      <c r="H5844" s="4">
        <f>IF(E5844=0,"",F5844/E5844-1)</f>
        <v/>
      </c>
      <c r="I5844" t="inlineStr"/>
    </row>
    <row r="5845">
      <c r="A5845" t="inlineStr">
        <is>
          <t>Footwear &amp; accessories</t>
        </is>
      </c>
      <c r="B5845" t="inlineStr">
        <is>
          <t>64</t>
        </is>
      </c>
      <c r="C5845" t="inlineStr">
        <is>
          <t>64035910</t>
        </is>
      </c>
      <c r="D5845" t="inlineStr">
        <is>
          <t>OTHR FTWEAR WTH OUTER SOLE OF LTHR FOR MEN</t>
        </is>
      </c>
      <c r="E5845" s="3" t="n">
        <v>0.49</v>
      </c>
      <c r="F5845" s="3" t="n">
        <v>0.17</v>
      </c>
      <c r="G5845" s="3">
        <f>F5845-E5845</f>
        <v/>
      </c>
      <c r="H5845" s="4">
        <f>IF(E5845=0,"",F5845/E5845-1)</f>
        <v/>
      </c>
      <c r="I5845" t="inlineStr"/>
    </row>
    <row r="5846">
      <c r="A5846" t="inlineStr">
        <is>
          <t>Footwear &amp; accessories</t>
        </is>
      </c>
      <c r="B5846" t="inlineStr">
        <is>
          <t>64</t>
        </is>
      </c>
      <c r="C5846" t="inlineStr">
        <is>
          <t>64069030</t>
        </is>
      </c>
      <c r="D5846" t="inlineStr">
        <is>
          <t>LEATHER SOLES</t>
        </is>
      </c>
      <c r="E5846" s="3" t="n">
        <v>0.15</v>
      </c>
      <c r="F5846" s="3" t="n">
        <v>0.15</v>
      </c>
      <c r="G5846" s="3">
        <f>F5846-E5846</f>
        <v/>
      </c>
      <c r="H5846" s="4">
        <f>IF(E5846=0,"",F5846/E5846-1)</f>
        <v/>
      </c>
      <c r="I5846" t="inlineStr"/>
    </row>
    <row r="5847">
      <c r="A5847" t="inlineStr">
        <is>
          <t>Footwear &amp; accessories</t>
        </is>
      </c>
      <c r="B5847" t="inlineStr">
        <is>
          <t>65</t>
        </is>
      </c>
      <c r="C5847" t="inlineStr">
        <is>
          <t>65061010</t>
        </is>
      </c>
      <c r="D5847" t="inlineStr">
        <is>
          <t>SPD GLS WELDNG HLMTS/OTHR HLMTS MEANT FOR INDUSTRIAL USE</t>
        </is>
      </c>
      <c r="E5847" s="3" t="n">
        <v>0.05</v>
      </c>
      <c r="F5847" s="3" t="n">
        <v>0.12</v>
      </c>
      <c r="G5847" s="3">
        <f>F5847-E5847</f>
        <v/>
      </c>
      <c r="H5847" s="4">
        <f>IF(E5847=0,"",F5847/E5847-1)</f>
        <v/>
      </c>
      <c r="I5847" t="inlineStr"/>
    </row>
    <row r="5848">
      <c r="A5848" t="inlineStr">
        <is>
          <t>Footwear &amp; accessories</t>
        </is>
      </c>
      <c r="B5848" t="inlineStr">
        <is>
          <t>65</t>
        </is>
      </c>
      <c r="C5848" t="inlineStr">
        <is>
          <t>65050010</t>
        </is>
      </c>
      <c r="D5848" t="inlineStr">
        <is>
          <t>HAIR-NETS</t>
        </is>
      </c>
      <c r="E5848" s="3" t="n">
        <v>0</v>
      </c>
      <c r="F5848" s="3" t="n">
        <v>0.11</v>
      </c>
      <c r="G5848" s="3">
        <f>F5848-E5848</f>
        <v/>
      </c>
      <c r="H5848" s="4">
        <f>IF(E5848=0,"",F5848/E5848-1)</f>
        <v/>
      </c>
      <c r="I5848" t="inlineStr"/>
    </row>
    <row r="5849">
      <c r="A5849" t="inlineStr">
        <is>
          <t>Footwear &amp; accessories</t>
        </is>
      </c>
      <c r="B5849" t="inlineStr">
        <is>
          <t>64</t>
        </is>
      </c>
      <c r="C5849" t="inlineStr">
        <is>
          <t>64061090</t>
        </is>
      </c>
      <c r="D5849" t="inlineStr">
        <is>
          <t>OTHERS-OF-UPPERS AND PRTS THEREOF OTHR THN STIFFENERS</t>
        </is>
      </c>
      <c r="E5849" s="3" t="n">
        <v>0.06</v>
      </c>
      <c r="F5849" s="3" t="n">
        <v>0.1</v>
      </c>
      <c r="G5849" s="3">
        <f>F5849-E5849</f>
        <v/>
      </c>
      <c r="H5849" s="4">
        <f>IF(E5849=0,"",F5849/E5849-1)</f>
        <v/>
      </c>
      <c r="I5849" t="inlineStr"/>
    </row>
    <row r="5850">
      <c r="A5850" t="inlineStr">
        <is>
          <t>Footwear &amp; accessories</t>
        </is>
      </c>
      <c r="B5850" t="inlineStr">
        <is>
          <t>64</t>
        </is>
      </c>
      <c r="C5850" t="inlineStr">
        <is>
          <t>64011010</t>
        </is>
      </c>
      <c r="D5850" t="inlineStr">
        <is>
          <t>ALL RUBBER FTWR WTH TOE-CAP</t>
        </is>
      </c>
      <c r="E5850" s="3" t="n">
        <v>0</v>
      </c>
      <c r="F5850" s="3" t="n">
        <v>0.07000000000000001</v>
      </c>
      <c r="G5850" s="3">
        <f>F5850-E5850</f>
        <v/>
      </c>
      <c r="H5850" s="4">
        <f>IF(E5850=0,"",F5850/E5850-1)</f>
        <v/>
      </c>
      <c r="I5850" t="inlineStr"/>
    </row>
    <row r="5851">
      <c r="A5851" t="inlineStr">
        <is>
          <t>Footwear &amp; accessories</t>
        </is>
      </c>
      <c r="B5851" t="inlineStr">
        <is>
          <t>65</t>
        </is>
      </c>
      <c r="C5851" t="inlineStr">
        <is>
          <t>65069900</t>
        </is>
      </c>
      <c r="D5851" t="inlineStr">
        <is>
          <t>OTHER HEADGEAR OF FURSKIN</t>
        </is>
      </c>
      <c r="E5851" s="3" t="n">
        <v>0.01</v>
      </c>
      <c r="F5851" s="3" t="n">
        <v>0.06</v>
      </c>
      <c r="G5851" s="3">
        <f>F5851-E5851</f>
        <v/>
      </c>
      <c r="H5851" s="4">
        <f>IF(E5851=0,"",F5851/E5851-1)</f>
        <v/>
      </c>
      <c r="I5851" t="inlineStr"/>
    </row>
    <row r="5852">
      <c r="A5852" t="inlineStr">
        <is>
          <t>Footwear &amp; accessories</t>
        </is>
      </c>
      <c r="B5852" t="inlineStr">
        <is>
          <t>64</t>
        </is>
      </c>
      <c r="C5852" t="inlineStr">
        <is>
          <t>64039910</t>
        </is>
      </c>
      <c r="D5852" t="inlineStr">
        <is>
          <t>LEATHER SANDALS WITH RUBBER SOLE</t>
        </is>
      </c>
      <c r="E5852" s="3" t="n">
        <v>0.41</v>
      </c>
      <c r="F5852" s="3" t="n">
        <v>0.05</v>
      </c>
      <c r="G5852" s="3">
        <f>F5852-E5852</f>
        <v/>
      </c>
      <c r="H5852" s="4">
        <f>IF(E5852=0,"",F5852/E5852-1)</f>
        <v/>
      </c>
      <c r="I5852" t="inlineStr"/>
    </row>
    <row r="5853">
      <c r="A5853" t="inlineStr">
        <is>
          <t>Footwear &amp; accessories</t>
        </is>
      </c>
      <c r="B5853" t="inlineStr">
        <is>
          <t>67</t>
        </is>
      </c>
      <c r="C5853" t="inlineStr">
        <is>
          <t>67029090</t>
        </is>
      </c>
      <c r="D5853" t="inlineStr">
        <is>
          <t>OTHERS, OF ALL MATERIALS</t>
        </is>
      </c>
      <c r="E5853" s="3" t="n">
        <v>0.19</v>
      </c>
      <c r="F5853" s="3" t="n">
        <v>0.04</v>
      </c>
      <c r="G5853" s="3">
        <f>F5853-E5853</f>
        <v/>
      </c>
      <c r="H5853" s="4">
        <f>IF(E5853=0,"",F5853/E5853-1)</f>
        <v/>
      </c>
      <c r="I5853" t="inlineStr"/>
    </row>
    <row r="5854">
      <c r="A5854" t="inlineStr">
        <is>
          <t>Footwear &amp; accessories</t>
        </is>
      </c>
      <c r="B5854" t="inlineStr">
        <is>
          <t>64</t>
        </is>
      </c>
      <c r="C5854" t="inlineStr">
        <is>
          <t>64029190</t>
        </is>
      </c>
      <c r="D5854" t="inlineStr">
        <is>
          <t>OTHERS-OF-FOOTWEAR COVERING THE ANKLE WITH OUTER SOLES AND UPPER OF RUBBER/PLASTIC</t>
        </is>
      </c>
      <c r="E5854" s="3" t="n">
        <v>0.2</v>
      </c>
      <c r="F5854" s="3" t="n">
        <v>0.03</v>
      </c>
      <c r="G5854" s="3">
        <f>F5854-E5854</f>
        <v/>
      </c>
      <c r="H5854" s="4">
        <f>IF(E5854=0,"",F5854/E5854-1)</f>
        <v/>
      </c>
      <c r="I5854" t="inlineStr"/>
    </row>
    <row r="5855">
      <c r="A5855" t="inlineStr">
        <is>
          <t>Footwear &amp; accessories</t>
        </is>
      </c>
      <c r="B5855" t="inlineStr">
        <is>
          <t>65</t>
        </is>
      </c>
      <c r="C5855" t="inlineStr">
        <is>
          <t>65040000</t>
        </is>
      </c>
      <c r="D5855" t="inlineStr">
        <is>
          <t>HATS AND OTHR HEADGEAR PLTD/MADE BY ASSMBLNGSTRIPS OF ANY MATRLS W/N LIND/ TRMMD</t>
        </is>
      </c>
      <c r="E5855" s="3" t="n">
        <v>0.01</v>
      </c>
      <c r="F5855" s="3" t="n">
        <v>0.03</v>
      </c>
      <c r="G5855" s="3">
        <f>F5855-E5855</f>
        <v/>
      </c>
      <c r="H5855" s="4">
        <f>IF(E5855=0,"",F5855/E5855-1)</f>
        <v/>
      </c>
      <c r="I5855" t="inlineStr"/>
    </row>
    <row r="5856">
      <c r="A5856" t="inlineStr">
        <is>
          <t>Footwear &amp; accessories</t>
        </is>
      </c>
      <c r="B5856" t="inlineStr">
        <is>
          <t>66</t>
        </is>
      </c>
      <c r="C5856" t="inlineStr">
        <is>
          <t>66011000</t>
        </is>
      </c>
      <c r="D5856" t="inlineStr">
        <is>
          <t>GARDEN OR SIMILAR UMBRELLAS</t>
        </is>
      </c>
      <c r="E5856" s="3" t="n">
        <v>0.07000000000000001</v>
      </c>
      <c r="F5856" s="3" t="n">
        <v>0.03</v>
      </c>
      <c r="G5856" s="3">
        <f>F5856-E5856</f>
        <v/>
      </c>
      <c r="H5856" s="4">
        <f>IF(E5856=0,"",F5856/E5856-1)</f>
        <v/>
      </c>
      <c r="I5856" t="inlineStr"/>
    </row>
    <row r="5857">
      <c r="A5857" t="inlineStr">
        <is>
          <t>Footwear &amp; accessories</t>
        </is>
      </c>
      <c r="B5857" t="inlineStr">
        <is>
          <t>66</t>
        </is>
      </c>
      <c r="C5857" t="inlineStr">
        <is>
          <t>66019900</t>
        </is>
      </c>
      <c r="D5857" t="inlineStr">
        <is>
          <t>OTHER UMBRELLAS</t>
        </is>
      </c>
      <c r="E5857" s="3" t="n">
        <v>0.01</v>
      </c>
      <c r="F5857" s="3" t="n">
        <v>0.03</v>
      </c>
      <c r="G5857" s="3">
        <f>F5857-E5857</f>
        <v/>
      </c>
      <c r="H5857" s="4">
        <f>IF(E5857=0,"",F5857/E5857-1)</f>
        <v/>
      </c>
      <c r="I5857" t="inlineStr"/>
    </row>
    <row r="5858">
      <c r="A5858" t="inlineStr">
        <is>
          <t>Footwear &amp; accessories</t>
        </is>
      </c>
      <c r="B5858" t="inlineStr">
        <is>
          <t>64</t>
        </is>
      </c>
      <c r="C5858" t="inlineStr">
        <is>
          <t>64022010</t>
        </is>
      </c>
      <c r="D5858" t="inlineStr">
        <is>
          <t>ALL RUBBER FOOTWEAR WITH UPPER STRAPS OR THONGS ASMBLD TO SOLE BY MEANS OF PLUGS</t>
        </is>
      </c>
      <c r="E5858" s="3" t="n">
        <v>0</v>
      </c>
      <c r="F5858" s="3" t="n">
        <v>0.02</v>
      </c>
      <c r="G5858" s="3">
        <f>F5858-E5858</f>
        <v/>
      </c>
      <c r="H5858" s="4">
        <f>IF(E5858=0,"",F5858/E5858-1)</f>
        <v/>
      </c>
      <c r="I5858" t="inlineStr"/>
    </row>
    <row r="5859">
      <c r="A5859" t="inlineStr">
        <is>
          <t>Footwear &amp; accessories</t>
        </is>
      </c>
      <c r="B5859" t="inlineStr">
        <is>
          <t>65</t>
        </is>
      </c>
      <c r="C5859" t="inlineStr">
        <is>
          <t>65061090</t>
        </is>
      </c>
      <c r="D5859" t="inlineStr">
        <is>
          <t>OTHR SAFETY HEADGEAR</t>
        </is>
      </c>
      <c r="E5859" s="3" t="n">
        <v>0.07000000000000001</v>
      </c>
      <c r="F5859" s="3" t="n">
        <v>0.02</v>
      </c>
      <c r="G5859" s="3">
        <f>F5859-E5859</f>
        <v/>
      </c>
      <c r="H5859" s="4">
        <f>IF(E5859=0,"",F5859/E5859-1)</f>
        <v/>
      </c>
      <c r="I5859" t="inlineStr"/>
    </row>
    <row r="5860">
      <c r="A5860" t="inlineStr">
        <is>
          <t>Footwear &amp; accessories</t>
        </is>
      </c>
      <c r="B5860" t="inlineStr">
        <is>
          <t>67</t>
        </is>
      </c>
      <c r="C5860" t="inlineStr">
        <is>
          <t>67021010</t>
        </is>
      </c>
      <c r="D5860" t="inlineStr">
        <is>
          <t>DECORATIVE PLANTS</t>
        </is>
      </c>
      <c r="E5860" s="3" t="n">
        <v>0</v>
      </c>
      <c r="F5860" s="3" t="n">
        <v>0.02</v>
      </c>
      <c r="G5860" s="3">
        <f>F5860-E5860</f>
        <v/>
      </c>
      <c r="H5860" s="4">
        <f>IF(E5860=0,"",F5860/E5860-1)</f>
        <v/>
      </c>
      <c r="I5860" t="inlineStr"/>
    </row>
    <row r="5861">
      <c r="A5861" t="inlineStr">
        <is>
          <t>Footwear &amp; accessories</t>
        </is>
      </c>
      <c r="B5861" t="inlineStr">
        <is>
          <t>64</t>
        </is>
      </c>
      <c r="C5861" t="inlineStr">
        <is>
          <t>64021290</t>
        </is>
      </c>
      <c r="D5861" t="inlineStr">
        <is>
          <t>SKI-BOOTS AND CROSS-COUNTRY SKI FOOTWEAR AND SNOWBOARD BOOTS OF OTHER MATERIAL</t>
        </is>
      </c>
      <c r="E5861" s="3" t="n">
        <v>0.01</v>
      </c>
      <c r="F5861" s="3" t="n">
        <v>0.01</v>
      </c>
      <c r="G5861" s="3">
        <f>F5861-E5861</f>
        <v/>
      </c>
      <c r="H5861" s="4">
        <f>IF(E5861=0,"",F5861/E5861-1)</f>
        <v/>
      </c>
      <c r="I5861" t="inlineStr"/>
    </row>
    <row r="5862">
      <c r="A5862" t="inlineStr">
        <is>
          <t>Footwear &amp; accessories</t>
        </is>
      </c>
      <c r="B5862" t="inlineStr">
        <is>
          <t>64</t>
        </is>
      </c>
      <c r="C5862" t="inlineStr">
        <is>
          <t>64061030</t>
        </is>
      </c>
      <c r="D5862" t="inlineStr">
        <is>
          <t>GOAT LINING</t>
        </is>
      </c>
      <c r="E5862" s="3" t="n">
        <v>0</v>
      </c>
      <c r="F5862" s="3" t="n">
        <v>0.01</v>
      </c>
      <c r="G5862" s="3">
        <f>F5862-E5862</f>
        <v/>
      </c>
      <c r="H5862" s="4">
        <f>IF(E5862=0,"",F5862/E5862-1)</f>
        <v/>
      </c>
      <c r="I5862" t="inlineStr"/>
    </row>
    <row r="5863">
      <c r="A5863" t="inlineStr">
        <is>
          <t>Footwear &amp; accessories</t>
        </is>
      </c>
      <c r="B5863" t="inlineStr">
        <is>
          <t>66</t>
        </is>
      </c>
      <c r="C5863" t="inlineStr">
        <is>
          <t>66019100</t>
        </is>
      </c>
      <c r="D5863" t="inlineStr">
        <is>
          <t>UMBRELLAS HAVING A TELESCOPIC SHAFT</t>
        </is>
      </c>
      <c r="E5863" s="3" t="n">
        <v>0</v>
      </c>
      <c r="F5863" s="3" t="n">
        <v>0.01</v>
      </c>
      <c r="G5863" s="3">
        <f>F5863-E5863</f>
        <v/>
      </c>
      <c r="H5863" s="4">
        <f>IF(E5863=0,"",F5863/E5863-1)</f>
        <v/>
      </c>
      <c r="I5863" t="inlineStr"/>
    </row>
    <row r="5864">
      <c r="A5864" t="inlineStr">
        <is>
          <t>Footwear &amp; accessories</t>
        </is>
      </c>
      <c r="B5864" t="inlineStr">
        <is>
          <t>67</t>
        </is>
      </c>
      <c r="C5864" t="inlineStr">
        <is>
          <t>67021090</t>
        </is>
      </c>
      <c r="D5864" t="inlineStr">
        <is>
          <t>OTHERS-OF-ARTIFICIAL FLOWERS ETC OF PLASTICS</t>
        </is>
      </c>
      <c r="E5864" s="3" t="n">
        <v>0.01</v>
      </c>
      <c r="F5864" s="3" t="n">
        <v>0.01</v>
      </c>
      <c r="G5864" s="3">
        <f>F5864-E5864</f>
        <v/>
      </c>
      <c r="H5864" s="4">
        <f>IF(E5864=0,"",F5864/E5864-1)</f>
        <v/>
      </c>
      <c r="I5864" t="inlineStr"/>
    </row>
    <row r="5865">
      <c r="A5865" t="inlineStr">
        <is>
          <t>Footwear &amp; accessories</t>
        </is>
      </c>
      <c r="B5865" t="inlineStr">
        <is>
          <t>64</t>
        </is>
      </c>
      <c r="C5865" t="inlineStr">
        <is>
          <t>64011090</t>
        </is>
      </c>
      <c r="D5865" t="inlineStr">
        <is>
          <t>OTHER FTSWR WITH TOE-CAP</t>
        </is>
      </c>
      <c r="E5865" s="3" t="n">
        <v>0.01</v>
      </c>
      <c r="F5865" s="3" t="n">
        <v>0</v>
      </c>
      <c r="G5865" s="3">
        <f>F5865-E5865</f>
        <v/>
      </c>
      <c r="H5865" s="4">
        <f>IF(E5865=0,"",F5865/E5865-1)</f>
        <v/>
      </c>
      <c r="I5865" t="inlineStr"/>
    </row>
    <row r="5866">
      <c r="A5866" t="inlineStr">
        <is>
          <t>Footwear &amp; accessories</t>
        </is>
      </c>
      <c r="B5866" t="inlineStr">
        <is>
          <t>64</t>
        </is>
      </c>
      <c r="C5866" t="inlineStr">
        <is>
          <t>64019990</t>
        </is>
      </c>
      <c r="D5866" t="inlineStr">
        <is>
          <t>OTHER FTWR COVRNG KNEE</t>
        </is>
      </c>
      <c r="E5866" s="3" t="n">
        <v>1.02</v>
      </c>
      <c r="F5866" s="3" t="n">
        <v>0</v>
      </c>
      <c r="G5866" s="3">
        <f>F5866-E5866</f>
        <v/>
      </c>
      <c r="H5866" s="4">
        <f>IF(E5866=0,"",F5866/E5866-1)</f>
        <v/>
      </c>
      <c r="I5866" t="inlineStr"/>
    </row>
    <row r="5867">
      <c r="A5867" t="inlineStr">
        <is>
          <t>Footwear &amp; accessories</t>
        </is>
      </c>
      <c r="B5867" t="inlineStr">
        <is>
          <t>64</t>
        </is>
      </c>
      <c r="C5867" t="inlineStr">
        <is>
          <t>64029110</t>
        </is>
      </c>
      <c r="D5867" t="inlineStr">
        <is>
          <t>ALL RUBBER FTWR WITH MTL TOE-CAP</t>
        </is>
      </c>
      <c r="E5867" s="3" t="n">
        <v>0</v>
      </c>
      <c r="F5867" s="3" t="n">
        <v>0</v>
      </c>
      <c r="G5867" s="3">
        <f>F5867-E5867</f>
        <v/>
      </c>
      <c r="H5867" s="4">
        <f>IF(E5867=0,"",F5867/E5867-1)</f>
        <v/>
      </c>
      <c r="I5867" t="inlineStr"/>
    </row>
    <row r="5868">
      <c r="A5868" t="inlineStr">
        <is>
          <t>Footwear &amp; accessories</t>
        </is>
      </c>
      <c r="B5868" t="inlineStr">
        <is>
          <t>64</t>
        </is>
      </c>
      <c r="C5868" t="inlineStr">
        <is>
          <t>64031910</t>
        </is>
      </c>
      <c r="D5868" t="inlineStr">
        <is>
          <t>OTHR SPORTS FTWR WITH OUTER SOLES OF LTHR</t>
        </is>
      </c>
      <c r="E5868" s="3" t="n">
        <v>0.21</v>
      </c>
      <c r="F5868" s="3" t="n">
        <v>0</v>
      </c>
      <c r="G5868" s="3">
        <f>F5868-E5868</f>
        <v/>
      </c>
      <c r="H5868" s="4">
        <f>IF(E5868=0,"",F5868/E5868-1)</f>
        <v/>
      </c>
      <c r="I5868" t="inlineStr"/>
    </row>
    <row r="5869">
      <c r="A5869" t="inlineStr">
        <is>
          <t>Footwear &amp; accessories</t>
        </is>
      </c>
      <c r="B5869" t="inlineStr">
        <is>
          <t>64</t>
        </is>
      </c>
      <c r="C5869" t="inlineStr">
        <is>
          <t>64031990</t>
        </is>
      </c>
      <c r="D5869" t="inlineStr">
        <is>
          <t>OTHERS-OF-FTWEAR WTH OUTR SOLES OF RUBR,PLSTCS, WITH UPPERS OF LEATHER</t>
        </is>
      </c>
      <c r="E5869" s="3" t="n">
        <v>0.04</v>
      </c>
      <c r="F5869" s="3" t="n">
        <v>0</v>
      </c>
      <c r="G5869" s="3">
        <f>F5869-E5869</f>
        <v/>
      </c>
      <c r="H5869" s="4">
        <f>IF(E5869=0,"",F5869/E5869-1)</f>
        <v/>
      </c>
      <c r="I5869" t="inlineStr"/>
    </row>
    <row r="5870">
      <c r="A5870" t="inlineStr">
        <is>
          <t>Footwear &amp; accessories</t>
        </is>
      </c>
      <c r="B5870" t="inlineStr">
        <is>
          <t>64</t>
        </is>
      </c>
      <c r="C5870" t="inlineStr">
        <is>
          <t>64032011</t>
        </is>
      </c>
      <c r="D5870" t="inlineStr">
        <is>
          <t>FTWEAR WTH ALL LTHR,CLOSED TOE FOR MEN</t>
        </is>
      </c>
      <c r="E5870" s="3" t="n">
        <v>0.01</v>
      </c>
      <c r="F5870" s="3" t="n">
        <v>0</v>
      </c>
      <c r="G5870" s="3">
        <f>F5870-E5870</f>
        <v/>
      </c>
      <c r="H5870" s="4">
        <f>IF(E5870=0,"",F5870/E5870-1)</f>
        <v/>
      </c>
      <c r="I5870" t="inlineStr"/>
    </row>
    <row r="5871">
      <c r="A5871" t="inlineStr">
        <is>
          <t>Footwear &amp; accessories</t>
        </is>
      </c>
      <c r="B5871" t="inlineStr">
        <is>
          <t>64</t>
        </is>
      </c>
      <c r="C5871" t="inlineStr">
        <is>
          <t>64035920</t>
        </is>
      </c>
      <c r="D5871" t="inlineStr">
        <is>
          <t>OTHR FTWR WTH OUTR SOLE OF LTHR FOR WOMEN</t>
        </is>
      </c>
      <c r="E5871" s="3" t="n">
        <v>0.01</v>
      </c>
      <c r="F5871" s="3" t="n">
        <v>0</v>
      </c>
      <c r="G5871" s="3">
        <f>F5871-E5871</f>
        <v/>
      </c>
      <c r="H5871" s="4">
        <f>IF(E5871=0,"",F5871/E5871-1)</f>
        <v/>
      </c>
      <c r="I5871" t="inlineStr"/>
    </row>
    <row r="5872">
      <c r="A5872" t="inlineStr">
        <is>
          <t>Footwear &amp; accessories</t>
        </is>
      </c>
      <c r="B5872" t="inlineStr">
        <is>
          <t>64</t>
        </is>
      </c>
      <c r="C5872" t="inlineStr">
        <is>
          <t>64035930</t>
        </is>
      </c>
      <c r="D5872" t="inlineStr">
        <is>
          <t>OTHR FTWR WTH OUTR SOLE OF LTHR FOR CHLDRN</t>
        </is>
      </c>
      <c r="E5872" s="3" t="n">
        <v>0.03</v>
      </c>
      <c r="F5872" s="3" t="n">
        <v>0</v>
      </c>
      <c r="G5872" s="3">
        <f>F5872-E5872</f>
        <v/>
      </c>
      <c r="H5872" s="4">
        <f>IF(E5872=0,"",F5872/E5872-1)</f>
        <v/>
      </c>
      <c r="I5872" t="inlineStr"/>
    </row>
    <row r="5873">
      <c r="A5873" t="inlineStr">
        <is>
          <t>Footwear &amp; accessories</t>
        </is>
      </c>
      <c r="B5873" t="inlineStr">
        <is>
          <t>64</t>
        </is>
      </c>
      <c r="C5873" t="inlineStr">
        <is>
          <t>64041910</t>
        </is>
      </c>
      <c r="D5873" t="inlineStr">
        <is>
          <t>RUBBER SOLE WITH CANVAS UPPER</t>
        </is>
      </c>
      <c r="E5873" s="3" t="n">
        <v>0</v>
      </c>
      <c r="F5873" s="3" t="n">
        <v>0</v>
      </c>
      <c r="G5873" s="3">
        <f>F5873-E5873</f>
        <v/>
      </c>
      <c r="H5873" s="4">
        <f>IF(E5873=0,"",F5873/E5873-1)</f>
        <v/>
      </c>
      <c r="I5873" t="inlineStr"/>
    </row>
    <row r="5874">
      <c r="A5874" t="inlineStr">
        <is>
          <t>Footwear &amp; accessories</t>
        </is>
      </c>
      <c r="B5874" t="inlineStr">
        <is>
          <t>64</t>
        </is>
      </c>
      <c r="C5874" t="inlineStr">
        <is>
          <t>64069010</t>
        </is>
      </c>
      <c r="D5874" t="inlineStr">
        <is>
          <t>OF WOOD</t>
        </is>
      </c>
      <c r="E5874" s="3" t="n">
        <v>0</v>
      </c>
      <c r="F5874" s="3" t="n">
        <v>0</v>
      </c>
      <c r="G5874" s="3">
        <f>F5874-E5874</f>
        <v/>
      </c>
      <c r="H5874" s="4">
        <f>IF(E5874=0,"",F5874/E5874-1)</f>
        <v/>
      </c>
      <c r="I5874" t="inlineStr"/>
    </row>
    <row r="5875">
      <c r="A5875" t="inlineStr">
        <is>
          <t>Footwear &amp; accessories</t>
        </is>
      </c>
      <c r="B5875" t="inlineStr">
        <is>
          <t>64</t>
        </is>
      </c>
      <c r="C5875" t="inlineStr">
        <is>
          <t>64069020</t>
        </is>
      </c>
      <c r="D5875" t="inlineStr">
        <is>
          <t>LEATHER PARTS OF FOOTWEAR, OTHER THAN SOLES AND PREPARED UPPERS</t>
        </is>
      </c>
      <c r="E5875" s="3" t="n">
        <v>0.02</v>
      </c>
      <c r="F5875" s="3" t="n">
        <v>0</v>
      </c>
      <c r="G5875" s="3">
        <f>F5875-E5875</f>
        <v/>
      </c>
      <c r="H5875" s="4">
        <f>IF(E5875=0,"",F5875/E5875-1)</f>
        <v/>
      </c>
      <c r="I5875" t="inlineStr"/>
    </row>
    <row r="5876">
      <c r="A5876" t="inlineStr">
        <is>
          <t>Footwear &amp; accessories</t>
        </is>
      </c>
      <c r="B5876" t="inlineStr">
        <is>
          <t>65</t>
        </is>
      </c>
      <c r="C5876" t="inlineStr">
        <is>
          <t>65010010</t>
        </is>
      </c>
      <c r="D5876" t="inlineStr">
        <is>
          <t>HAT FORMS,PLATEAUX,MANCHONS ETC OF COTTON</t>
        </is>
      </c>
      <c r="E5876" s="3" t="n">
        <v>0.01</v>
      </c>
      <c r="F5876" s="3" t="n">
        <v>0</v>
      </c>
      <c r="G5876" s="3">
        <f>F5876-E5876</f>
        <v/>
      </c>
      <c r="H5876" s="4">
        <f>IF(E5876=0,"",F5876/E5876-1)</f>
        <v/>
      </c>
      <c r="I5876" t="inlineStr"/>
    </row>
    <row r="5877">
      <c r="A5877" t="inlineStr">
        <is>
          <t>Footwear &amp; accessories</t>
        </is>
      </c>
      <c r="B5877" t="inlineStr">
        <is>
          <t>65</t>
        </is>
      </c>
      <c r="C5877" t="inlineStr">
        <is>
          <t>65010090</t>
        </is>
      </c>
      <c r="D5877" t="inlineStr">
        <is>
          <t>HAT FORM,PLATEAUX,MNCHNS ETC OF OTHR FBRS</t>
        </is>
      </c>
      <c r="E5877" s="3" t="n">
        <v>0.02</v>
      </c>
      <c r="F5877" s="3" t="n">
        <v>0</v>
      </c>
      <c r="G5877" s="3">
        <f>F5877-E5877</f>
        <v/>
      </c>
      <c r="H5877" s="4">
        <f>IF(E5877=0,"",F5877/E5877-1)</f>
        <v/>
      </c>
      <c r="I5877" t="inlineStr"/>
    </row>
    <row r="5878">
      <c r="A5878" t="inlineStr">
        <is>
          <t>Footwear &amp; accessories</t>
        </is>
      </c>
      <c r="B5878" t="inlineStr">
        <is>
          <t>65</t>
        </is>
      </c>
      <c r="C5878" t="inlineStr">
        <is>
          <t>65020010</t>
        </is>
      </c>
      <c r="D5878" t="inlineStr">
        <is>
          <t>HAT-SHAPES ETC OF COTTON</t>
        </is>
      </c>
      <c r="E5878" s="3" t="n">
        <v>0</v>
      </c>
      <c r="F5878" s="3" t="n">
        <v>0</v>
      </c>
      <c r="G5878" s="3">
        <f>F5878-E5878</f>
        <v/>
      </c>
      <c r="H5878" s="4">
        <f>IF(E5878=0,"",F5878/E5878-1)</f>
        <v/>
      </c>
      <c r="I5878" t="inlineStr"/>
    </row>
    <row r="5879">
      <c r="A5879" t="inlineStr">
        <is>
          <t>Footwear &amp; accessories</t>
        </is>
      </c>
      <c r="B5879" t="inlineStr">
        <is>
          <t>65</t>
        </is>
      </c>
      <c r="C5879" t="inlineStr">
        <is>
          <t>65020020</t>
        </is>
      </c>
      <c r="D5879" t="inlineStr">
        <is>
          <t>HAT-SHAPES ETC OF WOOL</t>
        </is>
      </c>
      <c r="E5879" s="3" t="n">
        <v>0</v>
      </c>
      <c r="F5879" s="3" t="n">
        <v>0</v>
      </c>
      <c r="G5879" s="3">
        <f>F5879-E5879</f>
        <v/>
      </c>
      <c r="H5879" s="4">
        <f>IF(E5879=0,"",F5879/E5879-1)</f>
        <v/>
      </c>
      <c r="I5879" t="inlineStr"/>
    </row>
    <row r="5880">
      <c r="A5880" t="inlineStr">
        <is>
          <t>Footwear &amp; accessories</t>
        </is>
      </c>
      <c r="B5880" t="inlineStr">
        <is>
          <t>65</t>
        </is>
      </c>
      <c r="C5880" t="inlineStr">
        <is>
          <t>65020090</t>
        </is>
      </c>
      <c r="D5880" t="inlineStr">
        <is>
          <t>HAT-SHAPES ETC OF OTHER FBRES</t>
        </is>
      </c>
      <c r="E5880" s="3" t="n">
        <v>0</v>
      </c>
      <c r="F5880" s="3" t="n">
        <v>0</v>
      </c>
      <c r="G5880" s="3">
        <f>F5880-E5880</f>
        <v/>
      </c>
      <c r="H5880" s="4">
        <f>IF(E5880=0,"",F5880/E5880-1)</f>
        <v/>
      </c>
      <c r="I5880" t="inlineStr"/>
    </row>
    <row r="5881">
      <c r="A5881" t="inlineStr">
        <is>
          <t>Footwear &amp; accessories</t>
        </is>
      </c>
      <c r="B5881" t="inlineStr">
        <is>
          <t>65</t>
        </is>
      </c>
      <c r="C5881" t="inlineStr">
        <is>
          <t>65070000</t>
        </is>
      </c>
      <c r="D5881" t="inlineStr">
        <is>
          <t>HEAD-BANDS,LININGS,COVERS,HAT FOUNDATIONS,HAT FRAMES,PEAKSAND CHINSTRAPS,FOR HEADGEAR</t>
        </is>
      </c>
      <c r="E5881" s="3" t="n">
        <v>0.01</v>
      </c>
      <c r="F5881" s="3" t="n">
        <v>0</v>
      </c>
      <c r="G5881" s="3">
        <f>F5881-E5881</f>
        <v/>
      </c>
      <c r="H5881" s="4">
        <f>IF(E5881=0,"",F5881/E5881-1)</f>
        <v/>
      </c>
      <c r="I5881" t="inlineStr"/>
    </row>
    <row r="5882">
      <c r="A5882" t="inlineStr">
        <is>
          <t>Footwear &amp; accessories</t>
        </is>
      </c>
      <c r="B5882" t="inlineStr">
        <is>
          <t>67</t>
        </is>
      </c>
      <c r="C5882" t="inlineStr">
        <is>
          <t>67042090</t>
        </is>
      </c>
      <c r="D5882" t="inlineStr">
        <is>
          <t>OTHERS-OF-WIGS NETS EYEBROWS ETC OF HUMAN HAIR</t>
        </is>
      </c>
      <c r="E5882" s="3" t="n">
        <v>0.01</v>
      </c>
      <c r="F5882" s="3" t="n">
        <v>0</v>
      </c>
      <c r="G5882" s="3">
        <f>F5882-E5882</f>
        <v/>
      </c>
      <c r="H5882" s="4">
        <f>IF(E5882=0,"",F5882/E5882-1)</f>
        <v/>
      </c>
      <c r="I5882" t="inlineStr"/>
    </row>
    <row r="5883">
      <c r="A5883" s="6" t="inlineStr">
        <is>
          <t>Leather &amp; leather goods  —  43 lines</t>
        </is>
      </c>
      <c r="B5883" s="6" t="inlineStr"/>
      <c r="C5883" s="6" t="inlineStr"/>
      <c r="D5883" s="6" t="inlineStr"/>
      <c r="E5883" s="7" t="n">
        <v>11.42</v>
      </c>
      <c r="F5883" s="7" t="n">
        <v>10.71</v>
      </c>
      <c r="G5883" s="7" t="n">
        <v>-0.71</v>
      </c>
      <c r="H5883" s="8" t="n">
        <v>-0.06217162872154136</v>
      </c>
      <c r="I5883" s="6" t="inlineStr"/>
    </row>
    <row r="5884">
      <c r="A5884" t="inlineStr">
        <is>
          <t>Leather &amp; leather goods</t>
        </is>
      </c>
      <c r="B5884" t="inlineStr">
        <is>
          <t>42</t>
        </is>
      </c>
      <c r="C5884" t="inlineStr">
        <is>
          <t>42021220</t>
        </is>
      </c>
      <c r="D5884" t="inlineStr">
        <is>
          <t>PLASTIC MOULDED SUITCASES</t>
        </is>
      </c>
      <c r="E5884" s="3" t="n">
        <v>1.51</v>
      </c>
      <c r="F5884" s="3" t="n">
        <v>3.65</v>
      </c>
      <c r="G5884" s="3">
        <f>F5884-E5884</f>
        <v/>
      </c>
      <c r="H5884" s="4">
        <f>IF(E5884=0,"",F5884/E5884-1)</f>
        <v/>
      </c>
      <c r="I5884" t="inlineStr"/>
    </row>
    <row r="5885">
      <c r="A5885" t="inlineStr">
        <is>
          <t>Leather &amp; leather goods</t>
        </is>
      </c>
      <c r="B5885" t="inlineStr">
        <is>
          <t>42</t>
        </is>
      </c>
      <c r="C5885" t="inlineStr">
        <is>
          <t>42021290</t>
        </is>
      </c>
      <c r="D5885" t="inlineStr">
        <is>
          <t>OTHERS-OF-TRUNKS SUIT CASES ETC AND SMLR CONTNR WTH OUTER SURFACE OF PLASTIC/OF TXTL MATRLS</t>
        </is>
      </c>
      <c r="E5885" s="3" t="n">
        <v>0.92</v>
      </c>
      <c r="F5885" s="3" t="n">
        <v>1</v>
      </c>
      <c r="G5885" s="3">
        <f>F5885-E5885</f>
        <v/>
      </c>
      <c r="H5885" s="4">
        <f>IF(E5885=0,"",F5885/E5885-1)</f>
        <v/>
      </c>
      <c r="I5885" t="inlineStr"/>
    </row>
    <row r="5886">
      <c r="A5886" t="inlineStr">
        <is>
          <t>Leather &amp; leather goods</t>
        </is>
      </c>
      <c r="B5886" t="inlineStr">
        <is>
          <t>42</t>
        </is>
      </c>
      <c r="C5886" t="inlineStr">
        <is>
          <t>42022290</t>
        </is>
      </c>
      <c r="D5886" t="inlineStr">
        <is>
          <t>OTHERS-OF-HANDBAGS WITH OUTER SURFACE OF SHEETING OF PLASTIC/OF TEXTILE MATERIALS W/N WITHSHOULDER STRAP-INCL THOSE WITHOUT HA</t>
        </is>
      </c>
      <c r="E5886" s="3" t="n">
        <v>1.5</v>
      </c>
      <c r="F5886" s="3" t="n">
        <v>0.85</v>
      </c>
      <c r="G5886" s="3">
        <f>F5886-E5886</f>
        <v/>
      </c>
      <c r="H5886" s="4">
        <f>IF(E5886=0,"",F5886/E5886-1)</f>
        <v/>
      </c>
      <c r="I5886" t="inlineStr"/>
    </row>
    <row r="5887">
      <c r="A5887" t="inlineStr">
        <is>
          <t>Leather &amp; leather goods</t>
        </is>
      </c>
      <c r="B5887" t="inlineStr">
        <is>
          <t>42</t>
        </is>
      </c>
      <c r="C5887" t="inlineStr">
        <is>
          <t>42010000</t>
        </is>
      </c>
      <c r="D5887" t="inlineStr">
        <is>
          <t>SDDLRY AND HRNSS FOR ANY ANML (INCL TRACTSLEADS,KNEE PADS,MUZLS, SDDLE CLOTHS,SDDLE BAGS-DOG COATS AND THE LIKE)OF</t>
        </is>
      </c>
      <c r="E5887" s="3" t="n">
        <v>0.78</v>
      </c>
      <c r="F5887" s="3" t="n">
        <v>0.67</v>
      </c>
      <c r="G5887" s="3">
        <f>F5887-E5887</f>
        <v/>
      </c>
      <c r="H5887" s="4">
        <f>IF(E5887=0,"",F5887/E5887-1)</f>
        <v/>
      </c>
      <c r="I5887" t="inlineStr"/>
    </row>
    <row r="5888">
      <c r="A5888" t="inlineStr">
        <is>
          <t>Leather &amp; leather goods</t>
        </is>
      </c>
      <c r="B5888" t="inlineStr">
        <is>
          <t>42</t>
        </is>
      </c>
      <c r="C5888" t="inlineStr">
        <is>
          <t>42023910</t>
        </is>
      </c>
      <c r="D5888" t="inlineStr">
        <is>
          <t>JEWELLERY BOX</t>
        </is>
      </c>
      <c r="E5888" s="3" t="n">
        <v>0.84</v>
      </c>
      <c r="F5888" s="3" t="n">
        <v>0.51</v>
      </c>
      <c r="G5888" s="3">
        <f>F5888-E5888</f>
        <v/>
      </c>
      <c r="H5888" s="4">
        <f>IF(E5888=0,"",F5888/E5888-1)</f>
        <v/>
      </c>
      <c r="I5888" t="inlineStr"/>
    </row>
    <row r="5889">
      <c r="A5889" t="inlineStr">
        <is>
          <t>Leather &amp; leather goods</t>
        </is>
      </c>
      <c r="B5889" t="inlineStr">
        <is>
          <t>42</t>
        </is>
      </c>
      <c r="C5889" t="inlineStr">
        <is>
          <t>42021250</t>
        </is>
      </c>
      <c r="D5889" t="inlineStr">
        <is>
          <t>OTHER TRAVEL-GOODS OF PLASTIC/TEXTILE MATERIALS</t>
        </is>
      </c>
      <c r="E5889" s="3" t="n">
        <v>0.54</v>
      </c>
      <c r="F5889" s="3" t="n">
        <v>0.47</v>
      </c>
      <c r="G5889" s="3">
        <f>F5889-E5889</f>
        <v/>
      </c>
      <c r="H5889" s="4">
        <f>IF(E5889=0,"",F5889/E5889-1)</f>
        <v/>
      </c>
      <c r="I5889" t="inlineStr"/>
    </row>
    <row r="5890">
      <c r="A5890" t="inlineStr">
        <is>
          <t>Leather &amp; leather goods</t>
        </is>
      </c>
      <c r="B5890" t="inlineStr">
        <is>
          <t>42</t>
        </is>
      </c>
      <c r="C5890" t="inlineStr">
        <is>
          <t>42031010</t>
        </is>
      </c>
      <c r="D5890" t="inlineStr">
        <is>
          <t>JACKETS AND JERSEYS</t>
        </is>
      </c>
      <c r="E5890" s="3" t="n">
        <v>0.13</v>
      </c>
      <c r="F5890" s="3" t="n">
        <v>0.44</v>
      </c>
      <c r="G5890" s="3">
        <f>F5890-E5890</f>
        <v/>
      </c>
      <c r="H5890" s="4">
        <f>IF(E5890=0,"",F5890/E5890-1)</f>
        <v/>
      </c>
      <c r="I5890" t="inlineStr"/>
    </row>
    <row r="5891">
      <c r="A5891" t="inlineStr">
        <is>
          <t>Leather &amp; leather goods</t>
        </is>
      </c>
      <c r="B5891" t="inlineStr">
        <is>
          <t>42</t>
        </is>
      </c>
      <c r="C5891" t="inlineStr">
        <is>
          <t>42033000</t>
        </is>
      </c>
      <c r="D5891" t="inlineStr">
        <is>
          <t>BELTS AND BANDOLIERS</t>
        </is>
      </c>
      <c r="E5891" s="3" t="n">
        <v>0.57</v>
      </c>
      <c r="F5891" s="3" t="n">
        <v>0.44</v>
      </c>
      <c r="G5891" s="3">
        <f>F5891-E5891</f>
        <v/>
      </c>
      <c r="H5891" s="4">
        <f>IF(E5891=0,"",F5891/E5891-1)</f>
        <v/>
      </c>
      <c r="I5891" t="inlineStr"/>
    </row>
    <row r="5892">
      <c r="A5892" t="inlineStr">
        <is>
          <t>Leather &amp; leather goods</t>
        </is>
      </c>
      <c r="B5892" t="inlineStr">
        <is>
          <t>42</t>
        </is>
      </c>
      <c r="C5892" t="inlineStr">
        <is>
          <t>42023190</t>
        </is>
      </c>
      <c r="D5892" t="inlineStr">
        <is>
          <t>OTHERS-OF-ARTCLS WTH OUTER SRFCE OF LTHR OF COMPSTN LTHR/OF PTNT LTHR CARIED IN POCKT/HNDBAG</t>
        </is>
      </c>
      <c r="E5892" s="3" t="n">
        <v>0.33</v>
      </c>
      <c r="F5892" s="3" t="n">
        <v>0.42</v>
      </c>
      <c r="G5892" s="3">
        <f>F5892-E5892</f>
        <v/>
      </c>
      <c r="H5892" s="4">
        <f>IF(E5892=0,"",F5892/E5892-1)</f>
        <v/>
      </c>
      <c r="I5892" t="inlineStr"/>
    </row>
    <row r="5893">
      <c r="A5893" t="inlineStr">
        <is>
          <t>Leather &amp; leather goods</t>
        </is>
      </c>
      <c r="B5893" t="inlineStr">
        <is>
          <t>42</t>
        </is>
      </c>
      <c r="C5893" t="inlineStr">
        <is>
          <t>42022220</t>
        </is>
      </c>
      <c r="D5893" t="inlineStr">
        <is>
          <t>HAND BAGS/SHOPPING BAGS OF COTTON</t>
        </is>
      </c>
      <c r="E5893" s="3" t="n">
        <v>0.36</v>
      </c>
      <c r="F5893" s="3" t="n">
        <v>0.38</v>
      </c>
      <c r="G5893" s="3">
        <f>F5893-E5893</f>
        <v/>
      </c>
      <c r="H5893" s="4">
        <f>IF(E5893=0,"",F5893/E5893-1)</f>
        <v/>
      </c>
      <c r="I5893" t="inlineStr"/>
    </row>
    <row r="5894">
      <c r="A5894" t="inlineStr">
        <is>
          <t>Leather &amp; leather goods</t>
        </is>
      </c>
      <c r="B5894" t="inlineStr">
        <is>
          <t>42</t>
        </is>
      </c>
      <c r="C5894" t="inlineStr">
        <is>
          <t>42023120</t>
        </is>
      </c>
      <c r="D5894" t="inlineStr">
        <is>
          <t>WALLETS AND PURSES OF LEATHER</t>
        </is>
      </c>
      <c r="E5894" s="3" t="n">
        <v>0.17</v>
      </c>
      <c r="F5894" s="3" t="n">
        <v>0.31</v>
      </c>
      <c r="G5894" s="3">
        <f>F5894-E5894</f>
        <v/>
      </c>
      <c r="H5894" s="4">
        <f>IF(E5894=0,"",F5894/E5894-1)</f>
        <v/>
      </c>
      <c r="I5894" t="inlineStr"/>
    </row>
    <row r="5895">
      <c r="A5895" t="inlineStr">
        <is>
          <t>Leather &amp; leather goods</t>
        </is>
      </c>
      <c r="B5895" t="inlineStr">
        <is>
          <t>42</t>
        </is>
      </c>
      <c r="C5895" t="inlineStr">
        <is>
          <t>42029900</t>
        </is>
      </c>
      <c r="D5895" t="inlineStr">
        <is>
          <t>OTHR SIMILAR CONTAINERS OF HDNG 4202</t>
        </is>
      </c>
      <c r="E5895" s="3" t="n">
        <v>1.01</v>
      </c>
      <c r="F5895" s="3" t="n">
        <v>0.25</v>
      </c>
      <c r="G5895" s="3">
        <f>F5895-E5895</f>
        <v/>
      </c>
      <c r="H5895" s="4">
        <f>IF(E5895=0,"",F5895/E5895-1)</f>
        <v/>
      </c>
      <c r="I5895" t="inlineStr"/>
    </row>
    <row r="5896">
      <c r="A5896" t="inlineStr">
        <is>
          <t>Leather &amp; leather goods</t>
        </is>
      </c>
      <c r="B5896" t="inlineStr">
        <is>
          <t>41</t>
        </is>
      </c>
      <c r="C5896" t="inlineStr">
        <is>
          <t>41142010</t>
        </is>
      </c>
      <c r="D5896" t="inlineStr">
        <is>
          <t>PATENT LEATHER AND PATENT LAMINATD LEATHER</t>
        </is>
      </c>
      <c r="E5896" s="3" t="n">
        <v>0.16</v>
      </c>
      <c r="F5896" s="3" t="n">
        <v>0.2</v>
      </c>
      <c r="G5896" s="3">
        <f>F5896-E5896</f>
        <v/>
      </c>
      <c r="H5896" s="4">
        <f>IF(E5896=0,"",F5896/E5896-1)</f>
        <v/>
      </c>
      <c r="I5896" t="inlineStr"/>
    </row>
    <row r="5897">
      <c r="A5897" t="inlineStr">
        <is>
          <t>Leather &amp; leather goods</t>
        </is>
      </c>
      <c r="B5897" t="inlineStr">
        <is>
          <t>42</t>
        </is>
      </c>
      <c r="C5897" t="inlineStr">
        <is>
          <t>42022190</t>
        </is>
      </c>
      <c r="D5897" t="inlineStr">
        <is>
          <t>OTHER LEATHER HAND BAGS.</t>
        </is>
      </c>
      <c r="E5897" s="3" t="n">
        <v>0.17</v>
      </c>
      <c r="F5897" s="3" t="n">
        <v>0.2</v>
      </c>
      <c r="G5897" s="3">
        <f>F5897-E5897</f>
        <v/>
      </c>
      <c r="H5897" s="4">
        <f>IF(E5897=0,"",F5897/E5897-1)</f>
        <v/>
      </c>
      <c r="I5897" t="inlineStr"/>
    </row>
    <row r="5898">
      <c r="A5898" t="inlineStr">
        <is>
          <t>Leather &amp; leather goods</t>
        </is>
      </c>
      <c r="B5898" t="inlineStr">
        <is>
          <t>42</t>
        </is>
      </c>
      <c r="C5898" t="inlineStr">
        <is>
          <t>42032910</t>
        </is>
      </c>
      <c r="D5898" t="inlineStr">
        <is>
          <t>GLOVES FOR USE IN INDUSTRY</t>
        </is>
      </c>
      <c r="E5898" s="3" t="n">
        <v>0.03</v>
      </c>
      <c r="F5898" s="3" t="n">
        <v>0.15</v>
      </c>
      <c r="G5898" s="3">
        <f>F5898-E5898</f>
        <v/>
      </c>
      <c r="H5898" s="4">
        <f>IF(E5898=0,"",F5898/E5898-1)</f>
        <v/>
      </c>
      <c r="I5898" t="inlineStr"/>
    </row>
    <row r="5899">
      <c r="A5899" t="inlineStr">
        <is>
          <t>Leather &amp; leather goods</t>
        </is>
      </c>
      <c r="B5899" t="inlineStr">
        <is>
          <t>42</t>
        </is>
      </c>
      <c r="C5899" t="inlineStr">
        <is>
          <t>42022230</t>
        </is>
      </c>
      <c r="D5899" t="inlineStr">
        <is>
          <t>JUTE HAND BAGS/SHOPPING BAGS.</t>
        </is>
      </c>
      <c r="E5899" s="3" t="n">
        <v>0.13</v>
      </c>
      <c r="F5899" s="3" t="n">
        <v>0.11</v>
      </c>
      <c r="G5899" s="3">
        <f>F5899-E5899</f>
        <v/>
      </c>
      <c r="H5899" s="4">
        <f>IF(E5899=0,"",F5899/E5899-1)</f>
        <v/>
      </c>
      <c r="I5899" t="inlineStr"/>
    </row>
    <row r="5900">
      <c r="A5900" t="inlineStr">
        <is>
          <t>Leather &amp; leather goods</t>
        </is>
      </c>
      <c r="B5900" t="inlineStr">
        <is>
          <t>42</t>
        </is>
      </c>
      <c r="C5900" t="inlineStr">
        <is>
          <t>42023290</t>
        </is>
      </c>
      <c r="D5900" t="inlineStr">
        <is>
          <t>OTHERS-OF-ARTCLS WTH OUTER SRFCE OF SHEETING OF PLASTICS/TXTL MTRL CARIED IN POCKET/HNDBG</t>
        </is>
      </c>
      <c r="E5900" s="3" t="n">
        <v>0.22</v>
      </c>
      <c r="F5900" s="3" t="n">
        <v>0.1</v>
      </c>
      <c r="G5900" s="3">
        <f>F5900-E5900</f>
        <v/>
      </c>
      <c r="H5900" s="4">
        <f>IF(E5900=0,"",F5900/E5900-1)</f>
        <v/>
      </c>
      <c r="I5900" t="inlineStr"/>
    </row>
    <row r="5901">
      <c r="A5901" t="inlineStr">
        <is>
          <t>Leather &amp; leather goods</t>
        </is>
      </c>
      <c r="B5901" t="inlineStr">
        <is>
          <t>41</t>
        </is>
      </c>
      <c r="C5901" t="inlineStr">
        <is>
          <t>41120000</t>
        </is>
      </c>
      <c r="D5901" t="inlineStr">
        <is>
          <t>LEATHER FURTHER PREPARD AFTER TANING/CRUST LEATHER OF SHEEP/LAMB WITHOUT WOOL W.O.N. SPLIT</t>
        </is>
      </c>
      <c r="E5901" s="3" t="n">
        <v>0.52</v>
      </c>
      <c r="F5901" s="3" t="n">
        <v>0.09</v>
      </c>
      <c r="G5901" s="3">
        <f>F5901-E5901</f>
        <v/>
      </c>
      <c r="H5901" s="4">
        <f>IF(E5901=0,"",F5901/E5901-1)</f>
        <v/>
      </c>
      <c r="I5901" t="inlineStr"/>
    </row>
    <row r="5902">
      <c r="A5902" t="inlineStr">
        <is>
          <t>Leather &amp; leather goods</t>
        </is>
      </c>
      <c r="B5902" t="inlineStr">
        <is>
          <t>42</t>
        </is>
      </c>
      <c r="C5902" t="inlineStr">
        <is>
          <t>42022110</t>
        </is>
      </c>
      <c r="D5902" t="inlineStr">
        <is>
          <t>HANDBAGS OF LEATHER FOR LADIES</t>
        </is>
      </c>
      <c r="E5902" s="3" t="n">
        <v>0.46</v>
      </c>
      <c r="F5902" s="3" t="n">
        <v>0.08</v>
      </c>
      <c r="G5902" s="3">
        <f>F5902-E5902</f>
        <v/>
      </c>
      <c r="H5902" s="4">
        <f>IF(E5902=0,"",F5902/E5902-1)</f>
        <v/>
      </c>
      <c r="I5902" t="inlineStr"/>
    </row>
    <row r="5903">
      <c r="A5903" t="inlineStr">
        <is>
          <t>Leather &amp; leather goods</t>
        </is>
      </c>
      <c r="B5903" t="inlineStr">
        <is>
          <t>42</t>
        </is>
      </c>
      <c r="C5903" t="inlineStr">
        <is>
          <t>42021110</t>
        </is>
      </c>
      <c r="D5903" t="inlineStr">
        <is>
          <t>TRAVEL GOODS(TRUNKS ETC)OF LEATHER</t>
        </is>
      </c>
      <c r="E5903" s="3" t="n">
        <v>0.22</v>
      </c>
      <c r="F5903" s="3" t="n">
        <v>0.05</v>
      </c>
      <c r="G5903" s="3">
        <f>F5903-E5903</f>
        <v/>
      </c>
      <c r="H5903" s="4">
        <f>IF(E5903=0,"",F5903/E5903-1)</f>
        <v/>
      </c>
      <c r="I5903" t="inlineStr"/>
    </row>
    <row r="5904">
      <c r="A5904" t="inlineStr">
        <is>
          <t>Leather &amp; leather goods</t>
        </is>
      </c>
      <c r="B5904" t="inlineStr">
        <is>
          <t>42</t>
        </is>
      </c>
      <c r="C5904" t="inlineStr">
        <is>
          <t>42021190</t>
        </is>
      </c>
      <c r="D5904" t="inlineStr">
        <is>
          <t>OTHER CASE OF LEATHER</t>
        </is>
      </c>
      <c r="E5904" s="3" t="n">
        <v>0.11</v>
      </c>
      <c r="F5904" s="3" t="n">
        <v>0.05</v>
      </c>
      <c r="G5904" s="3">
        <f>F5904-E5904</f>
        <v/>
      </c>
      <c r="H5904" s="4">
        <f>IF(E5904=0,"",F5904/E5904-1)</f>
        <v/>
      </c>
      <c r="I5904" t="inlineStr"/>
    </row>
    <row r="5905">
      <c r="A5905" t="inlineStr">
        <is>
          <t>Leather &amp; leather goods</t>
        </is>
      </c>
      <c r="B5905" t="inlineStr">
        <is>
          <t>42</t>
        </is>
      </c>
      <c r="C5905" t="inlineStr">
        <is>
          <t>42021990</t>
        </is>
      </c>
      <c r="D5905" t="inlineStr">
        <is>
          <t>OTHERS-OF-TRUNKS,SUIT-CASES ETC AND SMLR CONTNRSWITH OUTER SURFACE OF OTHR MATERIALS</t>
        </is>
      </c>
      <c r="E5905" s="3" t="n">
        <v>0.08</v>
      </c>
      <c r="F5905" s="3" t="n">
        <v>0.05</v>
      </c>
      <c r="G5905" s="3">
        <f>F5905-E5905</f>
        <v/>
      </c>
      <c r="H5905" s="4">
        <f>IF(E5905=0,"",F5905/E5905-1)</f>
        <v/>
      </c>
      <c r="I5905" t="inlineStr"/>
    </row>
    <row r="5906">
      <c r="A5906" t="inlineStr">
        <is>
          <t>Leather &amp; leather goods</t>
        </is>
      </c>
      <c r="B5906" t="inlineStr">
        <is>
          <t>42</t>
        </is>
      </c>
      <c r="C5906" t="inlineStr">
        <is>
          <t>42023990</t>
        </is>
      </c>
      <c r="D5906" t="inlineStr">
        <is>
          <t>OTHERS-OF-ARTCL OF OTHR MATRL CARIED IN PCKT/HNDBG</t>
        </is>
      </c>
      <c r="E5906" s="3" t="n">
        <v>0.08</v>
      </c>
      <c r="F5906" s="3" t="n">
        <v>0.05</v>
      </c>
      <c r="G5906" s="3">
        <f>F5906-E5906</f>
        <v/>
      </c>
      <c r="H5906" s="4">
        <f>IF(E5906=0,"",F5906/E5906-1)</f>
        <v/>
      </c>
      <c r="I5906" t="inlineStr"/>
    </row>
    <row r="5907">
      <c r="A5907" t="inlineStr">
        <is>
          <t>Leather &amp; leather goods</t>
        </is>
      </c>
      <c r="B5907" t="inlineStr">
        <is>
          <t>42</t>
        </is>
      </c>
      <c r="C5907" t="inlineStr">
        <is>
          <t>42022210</t>
        </is>
      </c>
      <c r="D5907" t="inlineStr">
        <is>
          <t>HND BGS/SHPPNG BGS OF ARTFCL PLSTC MTRL</t>
        </is>
      </c>
      <c r="E5907" s="3" t="n">
        <v>0.1</v>
      </c>
      <c r="F5907" s="3" t="n">
        <v>0.04</v>
      </c>
      <c r="G5907" s="3">
        <f>F5907-E5907</f>
        <v/>
      </c>
      <c r="H5907" s="4">
        <f>IF(E5907=0,"",F5907/E5907-1)</f>
        <v/>
      </c>
      <c r="I5907" t="inlineStr"/>
    </row>
    <row r="5908">
      <c r="A5908" t="inlineStr">
        <is>
          <t>Leather &amp; leather goods</t>
        </is>
      </c>
      <c r="B5908" t="inlineStr">
        <is>
          <t>42</t>
        </is>
      </c>
      <c r="C5908" t="inlineStr">
        <is>
          <t>42022910</t>
        </is>
      </c>
      <c r="D5908" t="inlineStr">
        <is>
          <t>HNBGS OF OTHR MTRLS EXCL WKRWRK/BSKT WRK</t>
        </is>
      </c>
      <c r="E5908" s="3" t="n">
        <v>0.05</v>
      </c>
      <c r="F5908" s="3" t="n">
        <v>0.04</v>
      </c>
      <c r="G5908" s="3">
        <f>F5908-E5908</f>
        <v/>
      </c>
      <c r="H5908" s="4">
        <f>IF(E5908=0,"",F5908/E5908-1)</f>
        <v/>
      </c>
      <c r="I5908" t="inlineStr"/>
    </row>
    <row r="5909">
      <c r="A5909" t="inlineStr">
        <is>
          <t>Leather &amp; leather goods</t>
        </is>
      </c>
      <c r="B5909" t="inlineStr">
        <is>
          <t>42</t>
        </is>
      </c>
      <c r="C5909" t="inlineStr">
        <is>
          <t>42034010</t>
        </is>
      </c>
      <c r="D5909" t="inlineStr">
        <is>
          <t>APRONS</t>
        </is>
      </c>
      <c r="E5909" s="3" t="n">
        <v>0.02</v>
      </c>
      <c r="F5909" s="3" t="n">
        <v>0.04</v>
      </c>
      <c r="G5909" s="3">
        <f>F5909-E5909</f>
        <v/>
      </c>
      <c r="H5909" s="4">
        <f>IF(E5909=0,"",F5909/E5909-1)</f>
        <v/>
      </c>
      <c r="I5909" t="inlineStr"/>
    </row>
    <row r="5910">
      <c r="A5910" t="inlineStr">
        <is>
          <t>Leather &amp; leather goods</t>
        </is>
      </c>
      <c r="B5910" t="inlineStr">
        <is>
          <t>42</t>
        </is>
      </c>
      <c r="C5910" t="inlineStr">
        <is>
          <t>42031090</t>
        </is>
      </c>
      <c r="D5910" t="inlineStr">
        <is>
          <t>OTHER ARTICLES OF APPAREL</t>
        </is>
      </c>
      <c r="E5910" s="3" t="n">
        <v>0.02</v>
      </c>
      <c r="F5910" s="3" t="n">
        <v>0.03</v>
      </c>
      <c r="G5910" s="3">
        <f>F5910-E5910</f>
        <v/>
      </c>
      <c r="H5910" s="4">
        <f>IF(E5910=0,"",F5910/E5910-1)</f>
        <v/>
      </c>
      <c r="I5910" t="inlineStr"/>
    </row>
    <row r="5911">
      <c r="A5911" t="inlineStr">
        <is>
          <t>Leather &amp; leather goods</t>
        </is>
      </c>
      <c r="B5911" t="inlineStr">
        <is>
          <t>42</t>
        </is>
      </c>
      <c r="C5911" t="inlineStr">
        <is>
          <t>42022990</t>
        </is>
      </c>
      <c r="D5911" t="inlineStr">
        <is>
          <t>OTHERS-OF-OTHR HANDBAGS INCL THOSE WITHOUT HANDLE</t>
        </is>
      </c>
      <c r="E5911" s="3" t="n">
        <v>0.08</v>
      </c>
      <c r="F5911" s="3" t="n">
        <v>0.02</v>
      </c>
      <c r="G5911" s="3">
        <f>F5911-E5911</f>
        <v/>
      </c>
      <c r="H5911" s="4">
        <f>IF(E5911=0,"",F5911/E5911-1)</f>
        <v/>
      </c>
      <c r="I5911" t="inlineStr"/>
    </row>
    <row r="5912">
      <c r="A5912" t="inlineStr">
        <is>
          <t>Leather &amp; leather goods</t>
        </is>
      </c>
      <c r="B5912" t="inlineStr">
        <is>
          <t>42</t>
        </is>
      </c>
      <c r="C5912" t="inlineStr">
        <is>
          <t>42034090</t>
        </is>
      </c>
      <c r="D5912" t="inlineStr">
        <is>
          <t>OTHERS-OF-OTHER CLOTHING ACCESSORIES :</t>
        </is>
      </c>
      <c r="E5912" s="3" t="n">
        <v>0.05</v>
      </c>
      <c r="F5912" s="3" t="n">
        <v>0.02</v>
      </c>
      <c r="G5912" s="3">
        <f>F5912-E5912</f>
        <v/>
      </c>
      <c r="H5912" s="4">
        <f>IF(E5912=0,"",F5912/E5912-1)</f>
        <v/>
      </c>
      <c r="I5912" t="inlineStr"/>
    </row>
    <row r="5913">
      <c r="A5913" t="inlineStr">
        <is>
          <t>Leather &amp; leather goods</t>
        </is>
      </c>
      <c r="B5913" t="inlineStr">
        <is>
          <t>41</t>
        </is>
      </c>
      <c r="C5913" t="inlineStr">
        <is>
          <t>41019090</t>
        </is>
      </c>
      <c r="D5913" t="inlineStr">
        <is>
          <t>OTHER HIDES ANS SKINS</t>
        </is>
      </c>
      <c r="E5913" s="3" t="n">
        <v>0.01</v>
      </c>
      <c r="F5913" s="3" t="n">
        <v>0</v>
      </c>
      <c r="G5913" s="3">
        <f>F5913-E5913</f>
        <v/>
      </c>
      <c r="H5913" s="4">
        <f>IF(E5913=0,"",F5913/E5913-1)</f>
        <v/>
      </c>
      <c r="I5913" t="inlineStr"/>
    </row>
    <row r="5914">
      <c r="A5914" t="inlineStr">
        <is>
          <t>Leather &amp; leather goods</t>
        </is>
      </c>
      <c r="B5914" t="inlineStr">
        <is>
          <t>41</t>
        </is>
      </c>
      <c r="C5914" t="inlineStr">
        <is>
          <t>41071100</t>
        </is>
      </c>
      <c r="D5914" t="inlineStr">
        <is>
          <t>LREATHER FURTHER OF BOVIN FULL GRAINS- UNSPLIT OF WHOLE HIDES/SKINS</t>
        </is>
      </c>
      <c r="E5914" s="3" t="n">
        <v>0</v>
      </c>
      <c r="F5914" s="3" t="n">
        <v>0</v>
      </c>
      <c r="G5914" s="3">
        <f>F5914-E5914</f>
        <v/>
      </c>
      <c r="H5914" s="4">
        <f>IF(E5914=0,"",F5914/E5914-1)</f>
        <v/>
      </c>
      <c r="I5914" t="inlineStr"/>
    </row>
    <row r="5915">
      <c r="A5915" t="inlineStr">
        <is>
          <t>Leather &amp; leather goods</t>
        </is>
      </c>
      <c r="B5915" t="inlineStr">
        <is>
          <t>41</t>
        </is>
      </c>
      <c r="C5915" t="inlineStr">
        <is>
          <t>41071900</t>
        </is>
      </c>
      <c r="D5915" t="inlineStr">
        <is>
          <t>OTHER WHOLE HIDS/SKINS</t>
        </is>
      </c>
      <c r="E5915" s="3" t="n">
        <v>0.02</v>
      </c>
      <c r="F5915" s="3" t="n">
        <v>0</v>
      </c>
      <c r="G5915" s="3">
        <f>F5915-E5915</f>
        <v/>
      </c>
      <c r="H5915" s="4">
        <f>IF(E5915=0,"",F5915/E5915-1)</f>
        <v/>
      </c>
      <c r="I5915" t="inlineStr"/>
    </row>
    <row r="5916">
      <c r="A5916" t="inlineStr">
        <is>
          <t>Leather &amp; leather goods</t>
        </is>
      </c>
      <c r="B5916" t="inlineStr">
        <is>
          <t>41</t>
        </is>
      </c>
      <c r="C5916" t="inlineStr">
        <is>
          <t>41079100</t>
        </is>
      </c>
      <c r="D5916" t="inlineStr">
        <is>
          <t>FULL GRAINS-UNSPLIT OF OTHER HIDES/SKINS INCLUDING SIDES</t>
        </is>
      </c>
      <c r="E5916" s="3" t="n">
        <v>0.01</v>
      </c>
      <c r="F5916" s="3" t="n">
        <v>0</v>
      </c>
      <c r="G5916" s="3">
        <f>F5916-E5916</f>
        <v/>
      </c>
      <c r="H5916" s="4">
        <f>IF(E5916=0,"",F5916/E5916-1)</f>
        <v/>
      </c>
      <c r="I5916" t="inlineStr"/>
    </row>
    <row r="5917">
      <c r="A5917" t="inlineStr">
        <is>
          <t>Leather &amp; leather goods</t>
        </is>
      </c>
      <c r="B5917" t="inlineStr">
        <is>
          <t>42</t>
        </is>
      </c>
      <c r="C5917" t="inlineStr">
        <is>
          <t>42021120</t>
        </is>
      </c>
      <c r="D5917" t="inlineStr">
        <is>
          <t>TOILET CASES OF LEATHER</t>
        </is>
      </c>
      <c r="E5917" s="3" t="n">
        <v>0</v>
      </c>
      <c r="F5917" s="3" t="n">
        <v>0</v>
      </c>
      <c r="G5917" s="3">
        <f>F5917-E5917</f>
        <v/>
      </c>
      <c r="H5917" s="4">
        <f>IF(E5917=0,"",F5917/E5917-1)</f>
        <v/>
      </c>
      <c r="I5917" t="inlineStr"/>
    </row>
    <row r="5918">
      <c r="A5918" t="inlineStr">
        <is>
          <t>Leather &amp; leather goods</t>
        </is>
      </c>
      <c r="B5918" t="inlineStr">
        <is>
          <t>42</t>
        </is>
      </c>
      <c r="C5918" t="inlineStr">
        <is>
          <t>42021140</t>
        </is>
      </c>
      <c r="D5918" t="inlineStr">
        <is>
          <t>BRIEF CASES OF LEATHER</t>
        </is>
      </c>
      <c r="E5918" s="3" t="n">
        <v>0</v>
      </c>
      <c r="F5918" s="3" t="n">
        <v>0</v>
      </c>
      <c r="G5918" s="3">
        <f>F5918-E5918</f>
        <v/>
      </c>
      <c r="H5918" s="4">
        <f>IF(E5918=0,"",F5918/E5918-1)</f>
        <v/>
      </c>
      <c r="I5918" t="inlineStr"/>
    </row>
    <row r="5919">
      <c r="A5919" t="inlineStr">
        <is>
          <t>Leather &amp; leather goods</t>
        </is>
      </c>
      <c r="B5919" t="inlineStr">
        <is>
          <t>42</t>
        </is>
      </c>
      <c r="C5919" t="inlineStr">
        <is>
          <t>42021160</t>
        </is>
      </c>
      <c r="D5919" t="inlineStr">
        <is>
          <t>VANITY CASE OF LEATHER</t>
        </is>
      </c>
      <c r="E5919" s="3" t="n">
        <v>0.01</v>
      </c>
      <c r="F5919" s="3" t="n">
        <v>0</v>
      </c>
      <c r="G5919" s="3">
        <f>F5919-E5919</f>
        <v/>
      </c>
      <c r="H5919" s="4">
        <f>IF(E5919=0,"",F5919/E5919-1)</f>
        <v/>
      </c>
      <c r="I5919" t="inlineStr"/>
    </row>
    <row r="5920">
      <c r="A5920" t="inlineStr">
        <is>
          <t>Leather &amp; leather goods</t>
        </is>
      </c>
      <c r="B5920" t="inlineStr">
        <is>
          <t>42</t>
        </is>
      </c>
      <c r="C5920" t="inlineStr">
        <is>
          <t>42021260</t>
        </is>
      </c>
      <c r="D5920" t="inlineStr">
        <is>
          <t>BRIEF CASE OF PLASTIC/TEXTILE MATERIALS</t>
        </is>
      </c>
      <c r="E5920" s="3" t="n">
        <v>0</v>
      </c>
      <c r="F5920" s="3" t="n">
        <v>0</v>
      </c>
      <c r="G5920" s="3">
        <f>F5920-E5920</f>
        <v/>
      </c>
      <c r="H5920" s="4">
        <f>IF(E5920=0,"",F5920/E5920-1)</f>
        <v/>
      </c>
      <c r="I5920" t="inlineStr"/>
    </row>
    <row r="5921">
      <c r="A5921" t="inlineStr">
        <is>
          <t>Leather &amp; leather goods</t>
        </is>
      </c>
      <c r="B5921" t="inlineStr">
        <is>
          <t>42</t>
        </is>
      </c>
      <c r="C5921" t="inlineStr">
        <is>
          <t>42021910</t>
        </is>
      </c>
      <c r="D5921" t="inlineStr">
        <is>
          <t>TRAVEL GOODS OF LEATHER</t>
        </is>
      </c>
      <c r="E5921" s="3" t="n">
        <v>0.03</v>
      </c>
      <c r="F5921" s="3" t="n">
        <v>0</v>
      </c>
      <c r="G5921" s="3">
        <f>F5921-E5921</f>
        <v/>
      </c>
      <c r="H5921" s="4">
        <f>IF(E5921=0,"",F5921/E5921-1)</f>
        <v/>
      </c>
      <c r="I5921" t="inlineStr"/>
    </row>
    <row r="5922">
      <c r="A5922" t="inlineStr">
        <is>
          <t>Leather &amp; leather goods</t>
        </is>
      </c>
      <c r="B5922" t="inlineStr">
        <is>
          <t>42</t>
        </is>
      </c>
      <c r="C5922" t="inlineStr">
        <is>
          <t>42029200</t>
        </is>
      </c>
      <c r="D5922" t="inlineStr">
        <is>
          <t>OTHER ARTICLES WITH OUTER SURFACE OF PLASTIC SHEETING OR OF TXTL MATERIALS</t>
        </is>
      </c>
      <c r="E5922" s="3" t="n">
        <v>0.13</v>
      </c>
      <c r="F5922" s="3" t="n">
        <v>0</v>
      </c>
      <c r="G5922" s="3">
        <f>F5922-E5922</f>
        <v/>
      </c>
      <c r="H5922" s="4">
        <f>IF(E5922=0,"",F5922/E5922-1)</f>
        <v/>
      </c>
      <c r="I5922" t="inlineStr"/>
    </row>
    <row r="5923">
      <c r="A5923" t="inlineStr">
        <is>
          <t>Leather &amp; leather goods</t>
        </is>
      </c>
      <c r="B5923" t="inlineStr">
        <is>
          <t>42</t>
        </is>
      </c>
      <c r="C5923" t="inlineStr">
        <is>
          <t>42032110</t>
        </is>
      </c>
      <c r="D5923" t="inlineStr">
        <is>
          <t>GLOVES FOR SPORTS</t>
        </is>
      </c>
      <c r="E5923" s="3" t="n">
        <v>0.01</v>
      </c>
      <c r="F5923" s="3" t="n">
        <v>0</v>
      </c>
      <c r="G5923" s="3">
        <f>F5923-E5923</f>
        <v/>
      </c>
      <c r="H5923" s="4">
        <f>IF(E5923=0,"",F5923/E5923-1)</f>
        <v/>
      </c>
      <c r="I5923" t="inlineStr"/>
    </row>
    <row r="5924">
      <c r="A5924" t="inlineStr">
        <is>
          <t>Leather &amp; leather goods</t>
        </is>
      </c>
      <c r="B5924" t="inlineStr">
        <is>
          <t>42</t>
        </is>
      </c>
      <c r="C5924" t="inlineStr">
        <is>
          <t>42032920</t>
        </is>
      </c>
      <c r="D5924" t="inlineStr">
        <is>
          <t>OTHER GLOVES</t>
        </is>
      </c>
      <c r="E5924" s="3" t="n">
        <v>0.01</v>
      </c>
      <c r="F5924" s="3" t="n">
        <v>0</v>
      </c>
      <c r="G5924" s="3">
        <f>F5924-E5924</f>
        <v/>
      </c>
      <c r="H5924" s="4">
        <f>IF(E5924=0,"",F5924/E5924-1)</f>
        <v/>
      </c>
      <c r="I5924" t="inlineStr"/>
    </row>
    <row r="5925">
      <c r="A5925" t="inlineStr">
        <is>
          <t>Leather &amp; leather goods</t>
        </is>
      </c>
      <c r="B5925" t="inlineStr">
        <is>
          <t>42</t>
        </is>
      </c>
      <c r="C5925" t="inlineStr">
        <is>
          <t>42050019</t>
        </is>
      </c>
      <c r="D5925" t="inlineStr">
        <is>
          <t>OTHER STRAPS</t>
        </is>
      </c>
      <c r="E5925" s="3" t="n">
        <v>0</v>
      </c>
      <c r="F5925" s="3" t="n">
        <v>0</v>
      </c>
      <c r="G5925" s="3">
        <f>F5925-E5925</f>
        <v/>
      </c>
      <c r="H5925" s="4">
        <f>IF(E5925=0,"",F5925/E5925-1)</f>
        <v/>
      </c>
      <c r="I5925" t="inlineStr"/>
    </row>
    <row r="5926">
      <c r="A5926" t="inlineStr">
        <is>
          <t>Leather &amp; leather goods</t>
        </is>
      </c>
      <c r="B5926" t="inlineStr">
        <is>
          <t>42</t>
        </is>
      </c>
      <c r="C5926" t="inlineStr">
        <is>
          <t>42050090</t>
        </is>
      </c>
      <c r="D5926" t="inlineStr">
        <is>
          <t>OTHERS-OF-OTHR ARTCLS OF LEATHER/OF COMPSTN LEATHER</t>
        </is>
      </c>
      <c r="E5926" s="3" t="n">
        <v>0.03</v>
      </c>
      <c r="F5926" s="3" t="n">
        <v>0</v>
      </c>
      <c r="G5926" s="3">
        <f>F5926-E5926</f>
        <v/>
      </c>
      <c r="H5926" s="4">
        <f>IF(E5926=0,"",F5926/E5926-1)</f>
        <v/>
      </c>
      <c r="I5926" t="inlineStr"/>
    </row>
    <row r="5927">
      <c r="A5927" s="6" t="inlineStr">
        <is>
          <t>Special transactions  —  9 lines</t>
        </is>
      </c>
      <c r="B5927" s="6" t="inlineStr"/>
      <c r="C5927" s="6" t="inlineStr"/>
      <c r="D5927" s="6" t="inlineStr"/>
      <c r="E5927" s="7" t="n">
        <v>0.65</v>
      </c>
      <c r="F5927" s="7" t="n">
        <v>0.92</v>
      </c>
      <c r="G5927" s="7" t="n">
        <v>0.27</v>
      </c>
      <c r="H5927" s="8" t="n">
        <v>0.4153846153846155</v>
      </c>
      <c r="I5927" s="6" t="inlineStr"/>
    </row>
    <row r="5928">
      <c r="A5928" t="inlineStr">
        <is>
          <t>Special transactions</t>
        </is>
      </c>
      <c r="B5928" t="inlineStr">
        <is>
          <t>98</t>
        </is>
      </c>
      <c r="C5928" t="inlineStr">
        <is>
          <t>98020000</t>
        </is>
      </c>
      <c r="D5928" t="inlineStr">
        <is>
          <t>LABORATORY CHEMICALS</t>
        </is>
      </c>
      <c r="E5928" s="3" t="n">
        <v>0.35</v>
      </c>
      <c r="F5928" s="3" t="n">
        <v>0.76</v>
      </c>
      <c r="G5928" s="3">
        <f>F5928-E5928</f>
        <v/>
      </c>
      <c r="H5928" s="4">
        <f>IF(E5928=0,"",F5928/E5928-1)</f>
        <v/>
      </c>
      <c r="I5928" t="inlineStr"/>
    </row>
    <row r="5929">
      <c r="A5929" t="inlineStr">
        <is>
          <t>Special transactions</t>
        </is>
      </c>
      <c r="B5929" t="inlineStr">
        <is>
          <t>98</t>
        </is>
      </c>
      <c r="C5929" t="inlineStr">
        <is>
          <t>98059000</t>
        </is>
      </c>
      <c r="D5929" t="inlineStr">
        <is>
          <t>OTHERS-OF-OTHERS-OF-DUTIABLE SHIPS/AIRCRAFTS STORE</t>
        </is>
      </c>
      <c r="E5929" s="3" t="n">
        <v>0.02</v>
      </c>
      <c r="F5929" s="3" t="n">
        <v>0.08</v>
      </c>
      <c r="G5929" s="3">
        <f>F5929-E5929</f>
        <v/>
      </c>
      <c r="H5929" s="4">
        <f>IF(E5929=0,"",F5929/E5929-1)</f>
        <v/>
      </c>
      <c r="I5929" t="inlineStr"/>
    </row>
    <row r="5930">
      <c r="A5930" t="inlineStr">
        <is>
          <t>Special transactions</t>
        </is>
      </c>
      <c r="B5930" t="inlineStr">
        <is>
          <t>98</t>
        </is>
      </c>
      <c r="C5930" t="inlineStr">
        <is>
          <t>98010030</t>
        </is>
      </c>
      <c r="D5930" t="inlineStr">
        <is>
          <t>SPARE PRTS AND RAW MATERIALS FOR MAINTENANCE</t>
        </is>
      </c>
      <c r="E5930" s="3" t="n">
        <v>0.03</v>
      </c>
      <c r="F5930" s="3" t="n">
        <v>0.06</v>
      </c>
      <c r="G5930" s="3">
        <f>F5930-E5930</f>
        <v/>
      </c>
      <c r="H5930" s="4">
        <f>IF(E5930=0,"",F5930/E5930-1)</f>
        <v/>
      </c>
      <c r="I5930" t="inlineStr"/>
    </row>
    <row r="5931">
      <c r="A5931" t="inlineStr">
        <is>
          <t>Special transactions</t>
        </is>
      </c>
      <c r="B5931" t="inlineStr">
        <is>
          <t>99</t>
        </is>
      </c>
      <c r="C5931" t="inlineStr">
        <is>
          <t>99930010</t>
        </is>
      </c>
      <c r="D5931" t="inlineStr">
        <is>
          <t>SAMPLES</t>
        </is>
      </c>
      <c r="E5931" s="3" t="n">
        <v>0.01</v>
      </c>
      <c r="F5931" s="3" t="n">
        <v>0.01</v>
      </c>
      <c r="G5931" s="3">
        <f>F5931-E5931</f>
        <v/>
      </c>
      <c r="H5931" s="4">
        <f>IF(E5931=0,"",F5931/E5931-1)</f>
        <v/>
      </c>
      <c r="I5931" t="inlineStr"/>
    </row>
    <row r="5932">
      <c r="A5932" t="inlineStr">
        <is>
          <t>Special transactions</t>
        </is>
      </c>
      <c r="B5932" t="inlineStr">
        <is>
          <t>99</t>
        </is>
      </c>
      <c r="C5932" t="inlineStr">
        <is>
          <t>99930090</t>
        </is>
      </c>
      <c r="D5932" t="inlineStr">
        <is>
          <t>SPECIAL TRANSACTIONS N.E.S.</t>
        </is>
      </c>
      <c r="E5932" s="3" t="n">
        <v>0.03</v>
      </c>
      <c r="F5932" s="3" t="n">
        <v>0.01</v>
      </c>
      <c r="G5932" s="3">
        <f>F5932-E5932</f>
        <v/>
      </c>
      <c r="H5932" s="4">
        <f>IF(E5932=0,"",F5932/E5932-1)</f>
        <v/>
      </c>
      <c r="I5932" t="inlineStr"/>
    </row>
    <row r="5933">
      <c r="A5933" t="inlineStr">
        <is>
          <t>Special transactions</t>
        </is>
      </c>
      <c r="B5933" t="inlineStr">
        <is>
          <t>98</t>
        </is>
      </c>
      <c r="C5933" t="inlineStr">
        <is>
          <t>98010011</t>
        </is>
      </c>
      <c r="D5933" t="inlineStr">
        <is>
          <t>INDUSTRIAL PLANT PROJECT</t>
        </is>
      </c>
      <c r="E5933" s="3" t="n">
        <v>0</v>
      </c>
      <c r="F5933" s="3" t="n">
        <v>0</v>
      </c>
      <c r="G5933" s="3">
        <f>F5933-E5933</f>
        <v/>
      </c>
      <c r="H5933" s="4">
        <f>IF(E5933=0,"",F5933/E5933-1)</f>
        <v/>
      </c>
      <c r="I5933" t="inlineStr"/>
    </row>
    <row r="5934">
      <c r="A5934" t="inlineStr">
        <is>
          <t>Special transactions</t>
        </is>
      </c>
      <c r="B5934" t="inlineStr">
        <is>
          <t>98</t>
        </is>
      </c>
      <c r="C5934" t="inlineStr">
        <is>
          <t>98010013</t>
        </is>
      </c>
      <c r="D5934" t="inlineStr">
        <is>
          <t>POWER PROJECT</t>
        </is>
      </c>
      <c r="E5934" s="3" t="n">
        <v>0.01</v>
      </c>
      <c r="F5934" s="3" t="n">
        <v>0</v>
      </c>
      <c r="G5934" s="3">
        <f>F5934-E5934</f>
        <v/>
      </c>
      <c r="H5934" s="4">
        <f>IF(E5934=0,"",F5934/E5934-1)</f>
        <v/>
      </c>
      <c r="I5934" t="inlineStr"/>
    </row>
    <row r="5935">
      <c r="A5935" t="inlineStr">
        <is>
          <t>Special transactions</t>
        </is>
      </c>
      <c r="B5935" t="inlineStr">
        <is>
          <t>98</t>
        </is>
      </c>
      <c r="C5935" t="inlineStr">
        <is>
          <t>98010015</t>
        </is>
      </c>
      <c r="D5935" t="inlineStr">
        <is>
          <t>PROJCT FR EXPLORATN OF OIL OR OTHR MATERLS</t>
        </is>
      </c>
      <c r="E5935" s="3" t="n">
        <v>0.11</v>
      </c>
      <c r="F5935" s="3" t="n">
        <v>0</v>
      </c>
      <c r="G5935" s="3">
        <f>F5935-E5935</f>
        <v/>
      </c>
      <c r="H5935" s="4">
        <f>IF(E5935=0,"",F5935/E5935-1)</f>
        <v/>
      </c>
      <c r="I5935" t="inlineStr"/>
    </row>
    <row r="5936">
      <c r="A5936" t="inlineStr">
        <is>
          <t>Special transactions</t>
        </is>
      </c>
      <c r="B5936" t="inlineStr">
        <is>
          <t>98</t>
        </is>
      </c>
      <c r="C5936" t="inlineStr">
        <is>
          <t>98060000</t>
        </is>
      </c>
      <c r="D5936" t="inlineStr">
        <is>
          <t>All goods originating in or exported from the Islamic republic of Pakistan</t>
        </is>
      </c>
      <c r="E5936" s="3" t="n">
        <v>0.09</v>
      </c>
      <c r="F5936" s="3" t="n">
        <v>0</v>
      </c>
      <c r="G5936" s="3">
        <f>F5936-E5936</f>
        <v/>
      </c>
      <c r="H5936" s="4">
        <f>IF(E5936=0,"",F5936/E5936-1)</f>
        <v/>
      </c>
      <c r="I5936" t="inlineStr"/>
    </row>
  </sheetData>
  <autoFilter ref="A1:I5936"/>
  <conditionalFormatting sqref="H2:H593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4" customWidth="1" min="3" max="3"/>
    <col width="40" customWidth="1" min="4" max="4"/>
    <col width="13" customWidth="1" min="5" max="5"/>
    <col width="10" customWidth="1" min="6" max="6"/>
    <col width="14" customWidth="1" min="7" max="7"/>
  </cols>
  <sheetData>
    <row r="1">
      <c r="A1" s="1" t="inlineStr">
        <is>
          <t>Pharmaceutical exports (HS chapter 30), ₹ crore</t>
        </is>
      </c>
    </row>
    <row r="3">
      <c r="A3" s="11" t="inlineStr">
        <is>
          <t>By therapy group</t>
        </is>
      </c>
    </row>
    <row r="4">
      <c r="A4" s="2" t="inlineStr">
        <is>
          <t>Therapy group</t>
        </is>
      </c>
      <c r="B4" s="2" t="inlineStr">
        <is>
          <t>HS lines</t>
        </is>
      </c>
      <c r="C4" s="2" t="inlineStr">
        <is>
          <t>2023-24 (₹ cr)</t>
        </is>
      </c>
      <c r="D4" s="2" t="inlineStr">
        <is>
          <t>2024-25 (₹ cr)</t>
        </is>
      </c>
      <c r="E4" s="2" t="inlineStr">
        <is>
          <t>Change (₹ cr)</t>
        </is>
      </c>
      <c r="F4" s="2" t="inlineStr">
        <is>
          <t>Growth %</t>
        </is>
      </c>
      <c r="G4" s="2" t="inlineStr">
        <is>
          <t>Share of pharma</t>
        </is>
      </c>
    </row>
    <row r="5"/>
    <row r="6">
      <c r="A6" t="inlineStr">
        <is>
          <t>Other retail medicines (n.e.s.)</t>
        </is>
      </c>
      <c r="B6" t="n">
        <v>1</v>
      </c>
      <c r="C6" s="3" t="n">
        <v>150.1</v>
      </c>
      <c r="D6" s="3" t="n">
        <v>231.47</v>
      </c>
      <c r="E6" s="3">
        <f>D6-C6</f>
        <v/>
      </c>
      <c r="F6" s="4">
        <f>IF(C6=0,"",D6/C6-1)</f>
        <v/>
      </c>
      <c r="G6" s="5">
        <f>D6/458.1900</f>
        <v/>
      </c>
    </row>
    <row r="7">
      <c r="A7" t="inlineStr">
        <is>
          <t>Anti-infectives</t>
        </is>
      </c>
      <c r="B7" t="n">
        <v>43</v>
      </c>
      <c r="C7" s="3" t="n">
        <v>48.17</v>
      </c>
      <c r="D7" s="3" t="n">
        <v>67.09999999999999</v>
      </c>
      <c r="E7" s="3">
        <f>D7-C7</f>
        <v/>
      </c>
      <c r="F7" s="4">
        <f>IF(C7=0,"",D7/C7-1)</f>
        <v/>
      </c>
      <c r="G7" s="5">
        <f>D7/458.1900</f>
        <v/>
      </c>
    </row>
    <row r="8">
      <c r="A8" t="inlineStr">
        <is>
          <t>Gastro &amp; anti-allergy</t>
        </is>
      </c>
      <c r="B8" t="n">
        <v>7</v>
      </c>
      <c r="C8" s="3" t="n">
        <v>28.61</v>
      </c>
      <c r="D8" s="3" t="n">
        <v>41.25</v>
      </c>
      <c r="E8" s="3">
        <f>D8-C8</f>
        <v/>
      </c>
      <c r="F8" s="4">
        <f>IF(C8=0,"",D8/C8-1)</f>
        <v/>
      </c>
      <c r="G8" s="5">
        <f>D8/458.1900</f>
        <v/>
      </c>
    </row>
    <row r="9">
      <c r="A9" t="inlineStr">
        <is>
          <t>Cardiovascular</t>
        </is>
      </c>
      <c r="B9" t="n">
        <v>8</v>
      </c>
      <c r="C9" s="3" t="n">
        <v>12.74</v>
      </c>
      <c r="D9" s="3" t="n">
        <v>18.29</v>
      </c>
      <c r="E9" s="3">
        <f>D9-C9</f>
        <v/>
      </c>
      <c r="F9" s="4">
        <f>IF(C9=0,"",D9/C9-1)</f>
        <v/>
      </c>
      <c r="G9" s="5">
        <f>D9/458.1900</f>
        <v/>
      </c>
    </row>
    <row r="10">
      <c r="A10" t="inlineStr">
        <is>
          <t>Pain &amp; inflammation</t>
        </is>
      </c>
      <c r="B10" t="n">
        <v>8</v>
      </c>
      <c r="C10" s="3" t="n">
        <v>14.2</v>
      </c>
      <c r="D10" s="3" t="n">
        <v>16.57</v>
      </c>
      <c r="E10" s="3">
        <f>D10-C10</f>
        <v/>
      </c>
      <c r="F10" s="4">
        <f>IF(C10=0,"",D10/C10-1)</f>
        <v/>
      </c>
      <c r="G10" s="5">
        <f>D10/458.1900</f>
        <v/>
      </c>
    </row>
    <row r="11">
      <c r="A11" t="inlineStr">
        <is>
          <t>Vitamins &amp; nutrition</t>
        </is>
      </c>
      <c r="B11" t="n">
        <v>10</v>
      </c>
      <c r="C11" s="3" t="n">
        <v>8.19</v>
      </c>
      <c r="D11" s="3" t="n">
        <v>14.04</v>
      </c>
      <c r="E11" s="3">
        <f>D11-C11</f>
        <v/>
      </c>
      <c r="F11" s="4">
        <f>IF(C11=0,"",D11/C11-1)</f>
        <v/>
      </c>
      <c r="G11" s="5">
        <f>D11/458.1900</f>
        <v/>
      </c>
    </row>
    <row r="12">
      <c r="A12" t="inlineStr">
        <is>
          <t>AYUSH (Ayurveda, Unani)</t>
        </is>
      </c>
      <c r="B12" t="n">
        <v>3</v>
      </c>
      <c r="C12" s="3" t="n">
        <v>28.22</v>
      </c>
      <c r="D12" s="3" t="n">
        <v>12.78</v>
      </c>
      <c r="E12" s="3">
        <f>D12-C12</f>
        <v/>
      </c>
      <c r="F12" s="4">
        <f>IF(C12=0,"",D12/C12-1)</f>
        <v/>
      </c>
      <c r="G12" s="5">
        <f>D12/458.1900</f>
        <v/>
      </c>
    </row>
    <row r="13">
      <c r="A13" t="inlineStr">
        <is>
          <t>Vaccines &amp; biologicals</t>
        </is>
      </c>
      <c r="B13" t="n">
        <v>23</v>
      </c>
      <c r="C13" s="3" t="n">
        <v>8.630000000000001</v>
      </c>
      <c r="D13" s="3" t="n">
        <v>11.59</v>
      </c>
      <c r="E13" s="3">
        <f>D13-C13</f>
        <v/>
      </c>
      <c r="F13" s="4">
        <f>IF(C13=0,"",D13/C13-1)</f>
        <v/>
      </c>
      <c r="G13" s="5">
        <f>D13/458.1900</f>
        <v/>
      </c>
    </row>
    <row r="14">
      <c r="A14" t="inlineStr">
        <is>
          <t>Hormones &amp; insulin</t>
        </is>
      </c>
      <c r="B14" t="n">
        <v>11</v>
      </c>
      <c r="C14" s="3" t="n">
        <v>12.84</v>
      </c>
      <c r="D14" s="3" t="n">
        <v>11.03</v>
      </c>
      <c r="E14" s="3">
        <f>D14-C14</f>
        <v/>
      </c>
      <c r="F14" s="4">
        <f>IF(C14=0,"",D14/C14-1)</f>
        <v/>
      </c>
      <c r="G14" s="5">
        <f>D14/458.1900</f>
        <v/>
      </c>
    </row>
    <row r="15">
      <c r="A15" t="inlineStr">
        <is>
          <t>Dressings, kits &amp; other</t>
        </is>
      </c>
      <c r="B15" t="n">
        <v>24</v>
      </c>
      <c r="C15" s="3" t="n">
        <v>11.11</v>
      </c>
      <c r="D15" s="3" t="n">
        <v>10</v>
      </c>
      <c r="E15" s="3">
        <f>D15-C15</f>
        <v/>
      </c>
      <c r="F15" s="4">
        <f>IF(C15=0,"",D15/C15-1)</f>
        <v/>
      </c>
      <c r="G15" s="5">
        <f>D15/458.1900</f>
        <v/>
      </c>
    </row>
    <row r="16">
      <c r="A16" t="inlineStr">
        <is>
          <t>Other formulations</t>
        </is>
      </c>
      <c r="B16" t="n">
        <v>12</v>
      </c>
      <c r="C16" s="3" t="n">
        <v>7.35</v>
      </c>
      <c r="D16" s="3" t="n">
        <v>6.62</v>
      </c>
      <c r="E16" s="3">
        <f>D16-C16</f>
        <v/>
      </c>
      <c r="F16" s="4">
        <f>IF(C16=0,"",D16/C16-1)</f>
        <v/>
      </c>
      <c r="G16" s="5">
        <f>D16/458.1900</f>
        <v/>
      </c>
    </row>
    <row r="17">
      <c r="A17" t="inlineStr">
        <is>
          <t>Bulk medicaments</t>
        </is>
      </c>
      <c r="B17" t="n">
        <v>6</v>
      </c>
      <c r="C17" s="3" t="n">
        <v>4.54</v>
      </c>
      <c r="D17" s="3" t="n">
        <v>5.61</v>
      </c>
      <c r="E17" s="3">
        <f>D17-C17</f>
        <v/>
      </c>
      <c r="F17" s="4">
        <f>IF(C17=0,"",D17/C17-1)</f>
        <v/>
      </c>
      <c r="G17" s="5">
        <f>D17/458.1900</f>
        <v/>
      </c>
    </row>
    <row r="18">
      <c r="A18" t="inlineStr">
        <is>
          <t>Oncology</t>
        </is>
      </c>
      <c r="B18" t="n">
        <v>10</v>
      </c>
      <c r="C18" s="3" t="n">
        <v>6.11</v>
      </c>
      <c r="D18" s="3" t="n">
        <v>4.46</v>
      </c>
      <c r="E18" s="3">
        <f>D18-C18</f>
        <v/>
      </c>
      <c r="F18" s="4">
        <f>IF(C18=0,"",D18/C18-1)</f>
        <v/>
      </c>
      <c r="G18" s="5">
        <f>D18/458.1900</f>
        <v/>
      </c>
    </row>
    <row r="19">
      <c r="A19" t="inlineStr">
        <is>
          <t>Nervous system</t>
        </is>
      </c>
      <c r="B19" t="n">
        <v>4</v>
      </c>
      <c r="C19" s="3" t="n">
        <v>2.96</v>
      </c>
      <c r="D19" s="3" t="n">
        <v>3.85</v>
      </c>
      <c r="E19" s="3">
        <f>D19-C19</f>
        <v/>
      </c>
      <c r="F19" s="4">
        <f>IF(C19=0,"",D19/C19-1)</f>
        <v/>
      </c>
      <c r="G19" s="5">
        <f>D19/458.1900</f>
        <v/>
      </c>
    </row>
    <row r="20">
      <c r="A20" t="inlineStr">
        <is>
          <t>Respiratory</t>
        </is>
      </c>
      <c r="B20" t="n">
        <v>3</v>
      </c>
      <c r="C20" s="3" t="n">
        <v>3.54</v>
      </c>
      <c r="D20" s="3" t="n">
        <v>3.53</v>
      </c>
      <c r="E20" s="3">
        <f>D20-C20</f>
        <v/>
      </c>
      <c r="F20" s="4">
        <f>IF(C20=0,"",D20/C20-1)</f>
        <v/>
      </c>
      <c r="G20" s="5">
        <f>D20/458.1900</f>
        <v/>
      </c>
    </row>
    <row r="21">
      <c r="A21" s="6" t="inlineStr">
        <is>
          <t>Total pharma</t>
        </is>
      </c>
      <c r="B21" s="6">
        <f>SUM(B6:B20)</f>
        <v/>
      </c>
      <c r="C21" s="7">
        <f>SUM(C6:C20)</f>
        <v/>
      </c>
      <c r="D21" s="7">
        <f>SUM(D6:D20)</f>
        <v/>
      </c>
      <c r="E21" s="7">
        <f>D21-C21</f>
        <v/>
      </c>
      <c r="F21" s="8">
        <f>D21/C21-1</f>
        <v/>
      </c>
      <c r="G21" s="9" t="n">
        <v>1</v>
      </c>
    </row>
    <row r="23">
      <c r="A23" s="11" t="inlineStr">
        <is>
          <t>All pharma products (sorted by 2024-25 value)</t>
        </is>
      </c>
    </row>
    <row r="24">
      <c r="A24" s="12" t="inlineStr">
        <is>
          <t>HS code</t>
        </is>
      </c>
      <c r="B24" s="12" t="inlineStr">
        <is>
          <t>Product</t>
        </is>
      </c>
      <c r="C24" s="12" t="inlineStr">
        <is>
          <t>Therapy group</t>
        </is>
      </c>
      <c r="D24" s="12" t="inlineStr">
        <is>
          <t>HS heading</t>
        </is>
      </c>
      <c r="E24" s="12" t="inlineStr">
        <is>
          <t>2023-24 (₹ cr)</t>
        </is>
      </c>
      <c r="F24" s="12" t="inlineStr">
        <is>
          <t>2024-25 (₹ cr)</t>
        </is>
      </c>
      <c r="G24" s="12" t="inlineStr">
        <is>
          <t>Growth %</t>
        </is>
      </c>
    </row>
    <row r="25">
      <c r="A25" t="inlineStr">
        <is>
          <t>30049099</t>
        </is>
      </c>
      <c r="B25" t="inlineStr">
        <is>
          <t>OTHER MEDCNE PUT UP FOR RETAIL SALE N.E.S</t>
        </is>
      </c>
      <c r="C25" t="inlineStr">
        <is>
          <t>Other retail medicines (n.e.s.)</t>
        </is>
      </c>
      <c r="D25" t="inlineStr">
        <is>
          <t>Medicaments for retail sale (formulations)</t>
        </is>
      </c>
      <c r="E25" s="3" t="n">
        <v>150.1</v>
      </c>
      <c r="F25" s="3" t="n">
        <v>231.47</v>
      </c>
      <c r="G25" s="4">
        <f>IF(E25=0,"",F25/E25-1)</f>
        <v/>
      </c>
    </row>
    <row r="26">
      <c r="A26" t="inlineStr">
        <is>
          <t>30041030</t>
        </is>
      </c>
      <c r="B26" t="inlineStr">
        <is>
          <t>AMOXYCYLLIN IN CAPSULES, INJECTIONS ETC.</t>
        </is>
      </c>
      <c r="C26" t="inlineStr">
        <is>
          <t>Anti-infectives</t>
        </is>
      </c>
      <c r="D26" t="inlineStr">
        <is>
          <t>Medicaments for retail sale (formulations)</t>
        </is>
      </c>
      <c r="E26" s="3" t="n">
        <v>8.5</v>
      </c>
      <c r="F26" s="3" t="n">
        <v>22.9</v>
      </c>
      <c r="G26" s="4">
        <f>IF(E26=0,"",F26/E26-1)</f>
        <v/>
      </c>
    </row>
    <row r="27">
      <c r="A27" t="inlineStr">
        <is>
          <t>30049039</t>
        </is>
      </c>
      <c r="B27" t="inlineStr">
        <is>
          <t>OTHER ANTINISTANINICS ,ANTACIDS,ANTIULCER,ANTIEMITICS AND OTHER GASTOINTESTINAL DRUGS</t>
        </is>
      </c>
      <c r="C27" t="inlineStr">
        <is>
          <t>Gastro &amp; anti-allergy</t>
        </is>
      </c>
      <c r="D27" t="inlineStr">
        <is>
          <t>Medicaments for retail sale (formulations)</t>
        </is>
      </c>
      <c r="E27" s="3" t="n">
        <v>21.39</v>
      </c>
      <c r="F27" s="3" t="n">
        <v>22.66</v>
      </c>
      <c r="G27" s="4">
        <f>IF(E27=0,"",F27/E27-1)</f>
        <v/>
      </c>
    </row>
    <row r="28">
      <c r="A28" t="inlineStr">
        <is>
          <t>30049034</t>
        </is>
      </c>
      <c r="B28" t="inlineStr">
        <is>
          <t>OMEPRAZOLE AND LANSOPRAZOLE</t>
        </is>
      </c>
      <c r="C28" t="inlineStr">
        <is>
          <t>Gastro &amp; anti-allergy</t>
        </is>
      </c>
      <c r="D28" t="inlineStr">
        <is>
          <t>Medicaments for retail sale (formulations)</t>
        </is>
      </c>
      <c r="E28" s="3" t="n">
        <v>4.77</v>
      </c>
      <c r="F28" s="3" t="n">
        <v>12.81</v>
      </c>
      <c r="G28" s="4">
        <f>IF(E28=0,"",F28/E28-1)</f>
        <v/>
      </c>
    </row>
    <row r="29">
      <c r="A29" t="inlineStr">
        <is>
          <t>30049011</t>
        </is>
      </c>
      <c r="B29" t="inlineStr">
        <is>
          <t>MEDICAMENTS OF AYURVEDIC SYSTEM</t>
        </is>
      </c>
      <c r="C29" t="inlineStr">
        <is>
          <t>AYUSH (Ayurveda, Unani)</t>
        </is>
      </c>
      <c r="D29" t="inlineStr">
        <is>
          <t>Medicaments for retail sale (formulations)</t>
        </is>
      </c>
      <c r="E29" s="3" t="n">
        <v>28.09</v>
      </c>
      <c r="F29" s="3" t="n">
        <v>12.22</v>
      </c>
      <c r="G29" s="4">
        <f>IF(E29=0,"",F29/E29-1)</f>
        <v/>
      </c>
    </row>
    <row r="30">
      <c r="A30" t="inlineStr">
        <is>
          <t>30049029</t>
        </is>
      </c>
      <c r="B30" t="inlineStr">
        <is>
          <t>OTHER ANTHELMINTICS DRUGS;ANTIAMOEBIC AND OTHER ANTIPROTOZOAL/ANTIFUNGAL DRUGS</t>
        </is>
      </c>
      <c r="C30" t="inlineStr">
        <is>
          <t>Anti-infectives</t>
        </is>
      </c>
      <c r="D30" t="inlineStr">
        <is>
          <t>Medicaments for retail sale (formulations)</t>
        </is>
      </c>
      <c r="E30" s="3" t="n">
        <v>10.73</v>
      </c>
      <c r="F30" s="3" t="n">
        <v>11.33</v>
      </c>
      <c r="G30" s="4">
        <f>IF(E30=0,"",F30/E30-1)</f>
        <v/>
      </c>
    </row>
    <row r="31">
      <c r="A31" t="inlineStr">
        <is>
          <t>30049069</t>
        </is>
      </c>
      <c r="B31" t="inlineStr">
        <is>
          <t>OTHER NONSTEROIDAL ANTIINFLAMATORY, ANALGESTICS AND ANTIPYRATIC DRUGS</t>
        </is>
      </c>
      <c r="C31" t="inlineStr">
        <is>
          <t>Pain &amp; inflammation</t>
        </is>
      </c>
      <c r="D31" t="inlineStr">
        <is>
          <t>Medicaments for retail sale (formulations)</t>
        </is>
      </c>
      <c r="E31" s="3" t="n">
        <v>7.33</v>
      </c>
      <c r="F31" s="3" t="n">
        <v>10.08</v>
      </c>
      <c r="G31" s="4">
        <f>IF(E31=0,"",F31/E31-1)</f>
        <v/>
      </c>
    </row>
    <row r="32">
      <c r="A32" t="inlineStr">
        <is>
          <t>30042019</t>
        </is>
      </c>
      <c r="B32" t="inlineStr">
        <is>
          <t>OTHER CEPHALOSPORINS AND THEIR DERIVATIVES</t>
        </is>
      </c>
      <c r="C32" t="inlineStr">
        <is>
          <t>Anti-infectives</t>
        </is>
      </c>
      <c r="D32" t="inlineStr">
        <is>
          <t>Medicaments for retail sale (formulations)</t>
        </is>
      </c>
      <c r="E32" s="3" t="n">
        <v>4.49</v>
      </c>
      <c r="F32" s="3" t="n">
        <v>8.4</v>
      </c>
      <c r="G32" s="4">
        <f>IF(E32=0,"",F32/E32-1)</f>
        <v/>
      </c>
    </row>
    <row r="33">
      <c r="A33" t="inlineStr">
        <is>
          <t>30043200</t>
        </is>
      </c>
      <c r="B33" t="inlineStr">
        <is>
          <t>MEDICAMENTS CONTAINING CORTICOSTEROID HORMONES, THEIR DERVATIVEANDSTRUCTURAL ANALG</t>
        </is>
      </c>
      <c r="C33" t="inlineStr">
        <is>
          <t>Hormones &amp; insulin</t>
        </is>
      </c>
      <c r="D33" t="inlineStr">
        <is>
          <t>Medicaments for retail sale (formulations)</t>
        </is>
      </c>
      <c r="E33" s="3" t="n">
        <v>9.92</v>
      </c>
      <c r="F33" s="3" t="n">
        <v>7.89</v>
      </c>
      <c r="G33" s="4">
        <f>IF(E33=0,"",F33/E33-1)</f>
        <v/>
      </c>
    </row>
    <row r="34">
      <c r="A34" t="inlineStr">
        <is>
          <t>30049079</t>
        </is>
      </c>
      <c r="B34" t="inlineStr">
        <is>
          <t>OTHER ANTIHYPERTENSIVE DRUGS</t>
        </is>
      </c>
      <c r="C34" t="inlineStr">
        <is>
          <t>Cardiovascular</t>
        </is>
      </c>
      <c r="D34" t="inlineStr">
        <is>
          <t>Medicaments for retail sale (formulations)</t>
        </is>
      </c>
      <c r="E34" s="3" t="n">
        <v>2.99</v>
      </c>
      <c r="F34" s="3" t="n">
        <v>7.4</v>
      </c>
      <c r="G34" s="4">
        <f>IF(E34=0,"",F34/E34-1)</f>
        <v/>
      </c>
    </row>
    <row r="35">
      <c r="A35" t="inlineStr">
        <is>
          <t>30049072</t>
        </is>
      </c>
      <c r="B35" t="inlineStr">
        <is>
          <t>VERAPAMIL, NIFEDIPINE, AMLODIPINE AND LACIDIPINE</t>
        </is>
      </c>
      <c r="C35" t="inlineStr">
        <is>
          <t>Cardiovascular</t>
        </is>
      </c>
      <c r="D35" t="inlineStr">
        <is>
          <t>Medicaments for retail sale (formulations)</t>
        </is>
      </c>
      <c r="E35" s="3" t="n">
        <v>5.94</v>
      </c>
      <c r="F35" s="3" t="n">
        <v>7.26</v>
      </c>
      <c r="G35" s="4">
        <f>IF(E35=0,"",F35/E35-1)</f>
        <v/>
      </c>
    </row>
    <row r="36">
      <c r="A36" t="inlineStr">
        <is>
          <t>30045090</t>
        </is>
      </c>
      <c r="B36" t="inlineStr">
        <is>
          <t>OTHERS PUT UP FOR RETAIL SALE</t>
        </is>
      </c>
      <c r="C36" t="inlineStr">
        <is>
          <t>Vitamins &amp; nutrition</t>
        </is>
      </c>
      <c r="D36" t="inlineStr">
        <is>
          <t>Medicaments for retail sale (formulations)</t>
        </is>
      </c>
      <c r="E36" s="3" t="n">
        <v>2.54</v>
      </c>
      <c r="F36" s="3" t="n">
        <v>5.39</v>
      </c>
      <c r="G36" s="4">
        <f>IF(E36=0,"",F36/E36-1)</f>
        <v/>
      </c>
    </row>
    <row r="37">
      <c r="A37" t="inlineStr">
        <is>
          <t>30042064</t>
        </is>
      </c>
      <c r="B37" t="inlineStr">
        <is>
          <t>AZITHROMYCIN</t>
        </is>
      </c>
      <c r="C37" t="inlineStr">
        <is>
          <t>Anti-infectives</t>
        </is>
      </c>
      <c r="D37" t="inlineStr">
        <is>
          <t>Medicaments for retail sale (formulations)</t>
        </is>
      </c>
      <c r="E37" s="3" t="n">
        <v>7.16</v>
      </c>
      <c r="F37" s="3" t="n">
        <v>4.89</v>
      </c>
      <c r="G37" s="4">
        <f>IF(E37=0,"",F37/E37-1)</f>
        <v/>
      </c>
    </row>
    <row r="38">
      <c r="A38" t="inlineStr">
        <is>
          <t>30045020</t>
        </is>
      </c>
      <c r="B38" t="inlineStr">
        <is>
          <t>MINERAL AND PARENTERAL NUTRITIONAL SPPLMNTS/CONTNG CALSIUM SLTS WTH VTMN IN TABLTS ETC</t>
        </is>
      </c>
      <c r="C38" t="inlineStr">
        <is>
          <t>Vitamins &amp; nutrition</t>
        </is>
      </c>
      <c r="D38" t="inlineStr">
        <is>
          <t>Medicaments for retail sale (formulations)</t>
        </is>
      </c>
      <c r="E38" s="3" t="n">
        <v>1.81</v>
      </c>
      <c r="F38" s="3" t="n">
        <v>4.45</v>
      </c>
      <c r="G38" s="4">
        <f>IF(E38=0,"",F38/E38-1)</f>
        <v/>
      </c>
    </row>
    <row r="39">
      <c r="A39" t="inlineStr">
        <is>
          <t>30039090</t>
        </is>
      </c>
      <c r="B39" t="inlineStr">
        <is>
          <t>OTHER MEDICAMENTS NOT PUT UP IN MEASURED DOSES OR IN PACKING</t>
        </is>
      </c>
      <c r="C39" t="inlineStr">
        <is>
          <t>Bulk medicaments</t>
        </is>
      </c>
      <c r="D39" t="inlineStr">
        <is>
          <t>Medicaments in bulk (not retail)</t>
        </is>
      </c>
      <c r="E39" s="3" t="n">
        <v>3.73</v>
      </c>
      <c r="F39" s="3" t="n">
        <v>4.34</v>
      </c>
      <c r="G39" s="4">
        <f>IF(E39=0,"",F39/E39-1)</f>
        <v/>
      </c>
    </row>
    <row r="40">
      <c r="A40" t="inlineStr">
        <is>
          <t>30024129</t>
        </is>
      </c>
      <c r="B40" t="inlineStr">
        <is>
          <t>OTHERS-OF-VACCINES FOR HUMAN MEDICINE</t>
        </is>
      </c>
      <c r="C40" t="inlineStr">
        <is>
          <t>Vaccines &amp; biologicals</t>
        </is>
      </c>
      <c r="D40" t="inlineStr">
        <is>
          <t>Vaccines, blood &amp; immunological products</t>
        </is>
      </c>
      <c r="E40" s="3" t="n">
        <v>2.64</v>
      </c>
      <c r="F40" s="3" t="n">
        <v>4.01</v>
      </c>
      <c r="G40" s="4">
        <f>IF(E40=0,"",F40/E40-1)</f>
        <v/>
      </c>
    </row>
    <row r="41">
      <c r="A41" t="inlineStr">
        <is>
          <t>30041090</t>
        </is>
      </c>
      <c r="B41" t="inlineStr">
        <is>
          <t>OTHER MDCMNTS CNTNG PENCLLNS/DRVTVS THROF WITH A PENCLLNC ACID STRCTR/STRPTMYCNS OR THEIR DERVATIVS PUT UP FOR RETALE SA</t>
        </is>
      </c>
      <c r="C41" t="inlineStr">
        <is>
          <t>Anti-infectives</t>
        </is>
      </c>
      <c r="D41" t="inlineStr">
        <is>
          <t>Medicaments for retail sale (formulations)</t>
        </is>
      </c>
      <c r="E41" s="3" t="n">
        <v>3.43</v>
      </c>
      <c r="F41" s="3" t="n">
        <v>3.93</v>
      </c>
      <c r="G41" s="4">
        <f>IF(E41=0,"",F41/E41-1)</f>
        <v/>
      </c>
    </row>
    <row r="42">
      <c r="A42" t="inlineStr">
        <is>
          <t>30049087</t>
        </is>
      </c>
      <c r="B42" t="inlineStr">
        <is>
          <t>ANTIBACTERIAL FORMULATIONS, N.E.S.</t>
        </is>
      </c>
      <c r="C42" t="inlineStr">
        <is>
          <t>Anti-infectives</t>
        </is>
      </c>
      <c r="D42" t="inlineStr">
        <is>
          <t>Medicaments for retail sale (formulations)</t>
        </is>
      </c>
      <c r="E42" s="3" t="n">
        <v>1.79</v>
      </c>
      <c r="F42" s="3" t="n">
        <v>3.8</v>
      </c>
      <c r="G42" s="4">
        <f>IF(E42=0,"",F42/E42-1)</f>
        <v/>
      </c>
    </row>
    <row r="43">
      <c r="A43" t="inlineStr">
        <is>
          <t>30049073</t>
        </is>
      </c>
      <c r="B43" t="inlineStr">
        <is>
          <t>LOSARTAN</t>
        </is>
      </c>
      <c r="C43" t="inlineStr">
        <is>
          <t>Cardiovascular</t>
        </is>
      </c>
      <c r="D43" t="inlineStr">
        <is>
          <t>Medicaments for retail sale (formulations)</t>
        </is>
      </c>
      <c r="E43" s="3" t="n">
        <v>3.75</v>
      </c>
      <c r="F43" s="3" t="n">
        <v>3.52</v>
      </c>
      <c r="G43" s="4">
        <f>IF(E43=0,"",F43/E43-1)</f>
        <v/>
      </c>
    </row>
    <row r="44">
      <c r="A44" t="inlineStr">
        <is>
          <t>30049085</t>
        </is>
      </c>
      <c r="B44" t="inlineStr">
        <is>
          <t>VETERINARY MEDICINAL PREPARATIONS N.E.S.</t>
        </is>
      </c>
      <c r="C44" t="inlineStr">
        <is>
          <t>Other formulations</t>
        </is>
      </c>
      <c r="D44" t="inlineStr">
        <is>
          <t>Medicaments for retail sale (formulations)</t>
        </is>
      </c>
      <c r="E44" s="3" t="n">
        <v>3.69</v>
      </c>
      <c r="F44" s="3" t="n">
        <v>3.39</v>
      </c>
      <c r="G44" s="4">
        <f>IF(E44=0,"",F44/E44-1)</f>
        <v/>
      </c>
    </row>
    <row r="45">
      <c r="A45" t="inlineStr">
        <is>
          <t>30049091</t>
        </is>
      </c>
      <c r="B45" t="inlineStr">
        <is>
          <t>SALBUTAMOL, TERBUTALINE, EPHEDRINE, SALMETEROL AND METHYL XANTHIMES</t>
        </is>
      </c>
      <c r="C45" t="inlineStr">
        <is>
          <t>Respiratory</t>
        </is>
      </c>
      <c r="D45" t="inlineStr">
        <is>
          <t>Medicaments for retail sale (formulations)</t>
        </is>
      </c>
      <c r="E45" s="3" t="n">
        <v>3.37</v>
      </c>
      <c r="F45" s="3" t="n">
        <v>3.35</v>
      </c>
      <c r="G45" s="4">
        <f>IF(E45=0,"",F45/E45-1)</f>
        <v/>
      </c>
    </row>
    <row r="46">
      <c r="A46" t="inlineStr">
        <is>
          <t>30049031</t>
        </is>
      </c>
      <c r="B46" t="inlineStr">
        <is>
          <t>PROMETHAZINE, CHLORPHENIRAMINE, ASTEMIZOLE AND CETEIRIZINE</t>
        </is>
      </c>
      <c r="C46" t="inlineStr">
        <is>
          <t>Gastro &amp; anti-allergy</t>
        </is>
      </c>
      <c r="D46" t="inlineStr">
        <is>
          <t>Medicaments for retail sale (formulations)</t>
        </is>
      </c>
      <c r="E46" s="3" t="n">
        <v>1.72</v>
      </c>
      <c r="F46" s="3" t="n">
        <v>3.3</v>
      </c>
      <c r="G46" s="4">
        <f>IF(E46=0,"",F46/E46-1)</f>
        <v/>
      </c>
    </row>
    <row r="47">
      <c r="A47" t="inlineStr">
        <is>
          <t>30049082</t>
        </is>
      </c>
      <c r="B47" t="inlineStr">
        <is>
          <t>OTHER ANTIEPILEPTIC DRUGS</t>
        </is>
      </c>
      <c r="C47" t="inlineStr">
        <is>
          <t>Nervous system</t>
        </is>
      </c>
      <c r="D47" t="inlineStr">
        <is>
          <t>Medicaments for retail sale (formulations)</t>
        </is>
      </c>
      <c r="E47" s="3" t="n">
        <v>2.77</v>
      </c>
      <c r="F47" s="3" t="n">
        <v>3.22</v>
      </c>
      <c r="G47" s="4">
        <f>IF(E47=0,"",F47/E47-1)</f>
        <v/>
      </c>
    </row>
    <row r="48">
      <c r="A48" t="inlineStr">
        <is>
          <t>30024116</t>
        </is>
      </c>
      <c r="B48" t="inlineStr">
        <is>
          <t>RABIES (SINGLE VACCINES FOR)</t>
        </is>
      </c>
      <c r="C48" t="inlineStr">
        <is>
          <t>Vaccines &amp; biologicals</t>
        </is>
      </c>
      <c r="D48" t="inlineStr">
        <is>
          <t>Vaccines, blood &amp; immunological products</t>
        </is>
      </c>
      <c r="E48" s="3" t="n">
        <v>1.59</v>
      </c>
      <c r="F48" s="3" t="n">
        <v>3.15</v>
      </c>
      <c r="G48" s="4">
        <f>IF(E48=0,"",F48/E48-1)</f>
        <v/>
      </c>
    </row>
    <row r="49">
      <c r="A49" t="inlineStr">
        <is>
          <t>30049061</t>
        </is>
      </c>
      <c r="B49" t="inlineStr">
        <is>
          <t>ANALGIN WITH OR WITHOUT OTHER COMPOUNDS SUCH AS PARACETAMOL</t>
        </is>
      </c>
      <c r="C49" t="inlineStr">
        <is>
          <t>Pain &amp; inflammation</t>
        </is>
      </c>
      <c r="D49" t="inlineStr">
        <is>
          <t>Medicaments for retail sale (formulations)</t>
        </is>
      </c>
      <c r="E49" s="3" t="n">
        <v>1.78</v>
      </c>
      <c r="F49" s="3" t="n">
        <v>2.77</v>
      </c>
      <c r="G49" s="4">
        <f>IF(E49=0,"",F49/E49-1)</f>
        <v/>
      </c>
    </row>
    <row r="50">
      <c r="A50" t="inlineStr">
        <is>
          <t>30049066</t>
        </is>
      </c>
      <c r="B50" t="inlineStr">
        <is>
          <t>MEPHENAMIC ACID, DACTOFENAC SODIUM, PIROXICAM, TENOXICAM AND MELOXICAM</t>
        </is>
      </c>
      <c r="C50" t="inlineStr">
        <is>
          <t>Pain &amp; inflammation</t>
        </is>
      </c>
      <c r="D50" t="inlineStr">
        <is>
          <t>Medicaments for retail sale (formulations)</t>
        </is>
      </c>
      <c r="E50" s="3" t="n">
        <v>0.57</v>
      </c>
      <c r="F50" s="3" t="n">
        <v>2.29</v>
      </c>
      <c r="G50" s="4">
        <f>IF(E50=0,"",F50/E50-1)</f>
        <v/>
      </c>
    </row>
    <row r="51">
      <c r="A51" t="inlineStr">
        <is>
          <t>30049022</t>
        </is>
      </c>
      <c r="B51" t="inlineStr">
        <is>
          <t>METRONIDAZOLE-FORMULATIONS SINGLE AND IN COMBINATION WITH FURAZOLIDONE AND DILOXANIDE FUROATE.</t>
        </is>
      </c>
      <c r="C51" t="inlineStr">
        <is>
          <t>Anti-infectives</t>
        </is>
      </c>
      <c r="D51" t="inlineStr">
        <is>
          <t>Medicaments for retail sale (formulations)</t>
        </is>
      </c>
      <c r="E51" s="3" t="n">
        <v>2.28</v>
      </c>
      <c r="F51" s="3" t="n">
        <v>2.15</v>
      </c>
      <c r="G51" s="4">
        <f>IF(E51=0,"",F51/E51-1)</f>
        <v/>
      </c>
    </row>
    <row r="52">
      <c r="A52" t="inlineStr">
        <is>
          <t>30049036</t>
        </is>
      </c>
      <c r="B52" t="inlineStr">
        <is>
          <t>CHENODIOL AND URSODIOL</t>
        </is>
      </c>
      <c r="C52" t="inlineStr">
        <is>
          <t>Gastro &amp; anti-allergy</t>
        </is>
      </c>
      <c r="D52" t="inlineStr">
        <is>
          <t>Medicaments for retail sale (formulations)</t>
        </is>
      </c>
      <c r="E52" s="3" t="n">
        <v>0.41</v>
      </c>
      <c r="F52" s="3" t="n">
        <v>1.92</v>
      </c>
      <c r="G52" s="4">
        <f>IF(E52=0,"",F52/E52-1)</f>
        <v/>
      </c>
    </row>
    <row r="53">
      <c r="A53" t="inlineStr">
        <is>
          <t>30049049</t>
        </is>
      </c>
      <c r="B53" t="inlineStr">
        <is>
          <t>OTHER ANTICANCER DRUGS</t>
        </is>
      </c>
      <c r="C53" t="inlineStr">
        <is>
          <t>Oncology</t>
        </is>
      </c>
      <c r="D53" t="inlineStr">
        <is>
          <t>Medicaments for retail sale (formulations)</t>
        </is>
      </c>
      <c r="E53" s="3" t="n">
        <v>1.73</v>
      </c>
      <c r="F53" s="3" t="n">
        <v>1.92</v>
      </c>
      <c r="G53" s="4">
        <f>IF(E53=0,"",F53/E53-1)</f>
        <v/>
      </c>
    </row>
    <row r="54">
      <c r="A54" t="inlineStr">
        <is>
          <t>30042063</t>
        </is>
      </c>
      <c r="B54" t="inlineStr">
        <is>
          <t>CLARITHROMYCIN</t>
        </is>
      </c>
      <c r="C54" t="inlineStr">
        <is>
          <t>Anti-infectives</t>
        </is>
      </c>
      <c r="D54" t="inlineStr">
        <is>
          <t>Medicaments for retail sale (formulations)</t>
        </is>
      </c>
      <c r="E54" s="3" t="n">
        <v>2.15</v>
      </c>
      <c r="F54" s="3" t="n">
        <v>1.86</v>
      </c>
      <c r="G54" s="4">
        <f>IF(E54=0,"",F54/E54-1)</f>
        <v/>
      </c>
    </row>
    <row r="55">
      <c r="A55" t="inlineStr">
        <is>
          <t>30063000</t>
        </is>
      </c>
      <c r="B55" t="inlineStr">
        <is>
          <t>OPACIFYING PRPNS FR X-RAY EXAMS; DIAGNOSTICREAGNTS DSGND TO BE ADMNSTRD TO PATIENT BE ADMINISTERED TO THE PAT</t>
        </is>
      </c>
      <c r="C55" t="inlineStr">
        <is>
          <t>Dressings, kits &amp; other</t>
        </is>
      </c>
      <c r="D55" t="inlineStr">
        <is>
          <t>Other pharma goods (kits, sutures, etc.)</t>
        </is>
      </c>
      <c r="E55" s="3" t="n">
        <v>0.97</v>
      </c>
      <c r="F55" s="3" t="n">
        <v>1.79</v>
      </c>
      <c r="G55" s="4">
        <f>IF(E55=0,"",F55/E55-1)</f>
        <v/>
      </c>
    </row>
    <row r="56">
      <c r="A56" t="inlineStr">
        <is>
          <t>30045033</t>
        </is>
      </c>
      <c r="B56" t="inlineStr">
        <is>
          <t>PREPARATION OF VITAMIN B9</t>
        </is>
      </c>
      <c r="C56" t="inlineStr">
        <is>
          <t>Vitamins &amp; nutrition</t>
        </is>
      </c>
      <c r="D56" t="inlineStr">
        <is>
          <t>Medicaments for retail sale (formulations)</t>
        </is>
      </c>
      <c r="E56" s="3" t="n">
        <v>1.54</v>
      </c>
      <c r="F56" s="3" t="n">
        <v>1.63</v>
      </c>
      <c r="G56" s="4">
        <f>IF(E56=0,"",F56/E56-1)</f>
        <v/>
      </c>
    </row>
    <row r="57">
      <c r="A57" t="inlineStr">
        <is>
          <t>30049086</t>
        </is>
      </c>
      <c r="B57" t="inlineStr">
        <is>
          <t>ORAL REHYDRATION SALTS</t>
        </is>
      </c>
      <c r="C57" t="inlineStr">
        <is>
          <t>Other formulations</t>
        </is>
      </c>
      <c r="D57" t="inlineStr">
        <is>
          <t>Medicaments for retail sale (formulations)</t>
        </is>
      </c>
      <c r="E57" s="3" t="n">
        <v>1.99</v>
      </c>
      <c r="F57" s="3" t="n">
        <v>1.44</v>
      </c>
      <c r="G57" s="4">
        <f>IF(E57=0,"",F57/E57-1)</f>
        <v/>
      </c>
    </row>
    <row r="58">
      <c r="A58" t="inlineStr">
        <is>
          <t>30051090</t>
        </is>
      </c>
      <c r="B58" t="inlineStr">
        <is>
          <t>OTHER ADHESIVE DRSSNGS AND OTHR ARTCLS HAVING AN ADHESIVE LAYER</t>
        </is>
      </c>
      <c r="C58" t="inlineStr">
        <is>
          <t>Dressings, kits &amp; other</t>
        </is>
      </c>
      <c r="D58" t="inlineStr">
        <is>
          <t>Dressings &amp; bandages</t>
        </is>
      </c>
      <c r="E58" s="3" t="n">
        <v>0.8</v>
      </c>
      <c r="F58" s="3" t="n">
        <v>1.4</v>
      </c>
      <c r="G58" s="4">
        <f>IF(E58=0,"",F58/E58-1)</f>
        <v/>
      </c>
    </row>
    <row r="59">
      <c r="A59" t="inlineStr">
        <is>
          <t>30045039</t>
        </is>
      </c>
      <c r="B59" t="inlineStr">
        <is>
          <t>OTHER AMINO ACID/ PROTEIN PREPN. WITH / WITHOUT VITAMINS,SPIRULINA AND THE LIKE.</t>
        </is>
      </c>
      <c r="C59" t="inlineStr">
        <is>
          <t>Vitamins &amp; nutrition</t>
        </is>
      </c>
      <c r="D59" t="inlineStr">
        <is>
          <t>Medicaments for retail sale (formulations)</t>
        </is>
      </c>
      <c r="E59" s="3" t="n">
        <v>1.18</v>
      </c>
      <c r="F59" s="3" t="n">
        <v>1.38</v>
      </c>
      <c r="G59" s="4">
        <f>IF(E59=0,"",F59/E59-1)</f>
        <v/>
      </c>
    </row>
    <row r="60">
      <c r="A60" t="inlineStr">
        <is>
          <t>30042012</t>
        </is>
      </c>
      <c r="B60" t="inlineStr">
        <is>
          <t>CEPHALEXIN - FORMULATIONS THEREOF, IN CAPSULES ETC.</t>
        </is>
      </c>
      <c r="C60" t="inlineStr">
        <is>
          <t>Anti-infectives</t>
        </is>
      </c>
      <c r="D60" t="inlineStr">
        <is>
          <t>Medicaments for retail sale (formulations)</t>
        </is>
      </c>
      <c r="E60" s="3" t="n">
        <v>1.43</v>
      </c>
      <c r="F60" s="3" t="n">
        <v>1.37</v>
      </c>
      <c r="G60" s="4">
        <f>IF(E60=0,"",F60/E60-1)</f>
        <v/>
      </c>
    </row>
    <row r="61">
      <c r="A61" t="inlineStr">
        <is>
          <t>30061010</t>
        </is>
      </c>
      <c r="B61" t="inlineStr">
        <is>
          <t>STERILE SURGCL CATGUT,SMLR MTRLS AND STRLE TISSUE ADHSVS FOR SURGICAL WOUND CLOSURE</t>
        </is>
      </c>
      <c r="C61" t="inlineStr">
        <is>
          <t>Dressings, kits &amp; other</t>
        </is>
      </c>
      <c r="D61" t="inlineStr">
        <is>
          <t>Other pharma goods (kits, sutures, etc.)</t>
        </is>
      </c>
      <c r="E61" s="3" t="n">
        <v>2.06</v>
      </c>
      <c r="F61" s="3" t="n">
        <v>1.36</v>
      </c>
      <c r="G61" s="4">
        <f>IF(E61=0,"",F61/E61-1)</f>
        <v/>
      </c>
    </row>
    <row r="62">
      <c r="A62" t="inlineStr">
        <is>
          <t>30049084</t>
        </is>
      </c>
      <c r="B62" t="inlineStr">
        <is>
          <t>PREPARATIONS OF ENZYMES</t>
        </is>
      </c>
      <c r="C62" t="inlineStr">
        <is>
          <t>Other formulations</t>
        </is>
      </c>
      <c r="D62" t="inlineStr">
        <is>
          <t>Medicaments for retail sale (formulations)</t>
        </is>
      </c>
      <c r="E62" s="3" t="n">
        <v>0.89</v>
      </c>
      <c r="F62" s="3" t="n">
        <v>1.3</v>
      </c>
      <c r="G62" s="4">
        <f>IF(E62=0,"",F62/E62-1)</f>
        <v/>
      </c>
    </row>
    <row r="63">
      <c r="A63" t="inlineStr">
        <is>
          <t>30042099</t>
        </is>
      </c>
      <c r="B63" t="inlineStr">
        <is>
          <t>OTHR MEDICAMENT CONTAINING OTHR ANTIBIOTICAND PUT UP FOR RETAIL SALE</t>
        </is>
      </c>
      <c r="C63" t="inlineStr">
        <is>
          <t>Anti-infectives</t>
        </is>
      </c>
      <c r="D63" t="inlineStr">
        <is>
          <t>Medicaments for retail sale (formulations)</t>
        </is>
      </c>
      <c r="E63" s="3" t="n">
        <v>2.32</v>
      </c>
      <c r="F63" s="3" t="n">
        <v>1.2</v>
      </c>
      <c r="G63" s="4">
        <f>IF(E63=0,"",F63/E63-1)</f>
        <v/>
      </c>
    </row>
    <row r="64">
      <c r="A64" t="inlineStr">
        <is>
          <t>30059090</t>
        </is>
      </c>
      <c r="B64" t="inlineStr">
        <is>
          <t>OTHER DRESSING ARTICLES N.E.S.</t>
        </is>
      </c>
      <c r="C64" t="inlineStr">
        <is>
          <t>Dressings, kits &amp; other</t>
        </is>
      </c>
      <c r="D64" t="inlineStr">
        <is>
          <t>Dressings &amp; bandages</t>
        </is>
      </c>
      <c r="E64" s="3" t="n">
        <v>0.9399999999999999</v>
      </c>
      <c r="F64" s="3" t="n">
        <v>1.2</v>
      </c>
      <c r="G64" s="4">
        <f>IF(E64=0,"",F64/E64-1)</f>
        <v/>
      </c>
    </row>
    <row r="65">
      <c r="A65" t="inlineStr">
        <is>
          <t>30049063</t>
        </is>
      </c>
      <c r="B65" t="inlineStr">
        <is>
          <t>IBUPROFEN WITH OR WITHOUT PARACETAMOL OR OTHER COMPOUNDS</t>
        </is>
      </c>
      <c r="C65" t="inlineStr">
        <is>
          <t>Pain &amp; inflammation</t>
        </is>
      </c>
      <c r="D65" t="inlineStr">
        <is>
          <t>Medicaments for retail sale (formulations)</t>
        </is>
      </c>
      <c r="E65" s="3" t="n">
        <v>3.12</v>
      </c>
      <c r="F65" s="3" t="n">
        <v>0.97</v>
      </c>
      <c r="G65" s="4">
        <f>IF(E65=0,"",F65/E65-1)</f>
        <v/>
      </c>
    </row>
    <row r="66">
      <c r="A66" t="inlineStr">
        <is>
          <t>30042096</t>
        </is>
      </c>
      <c r="B66" t="inlineStr">
        <is>
          <t>VANCOMYCIN</t>
        </is>
      </c>
      <c r="C66" t="inlineStr">
        <is>
          <t>Anti-infectives</t>
        </is>
      </c>
      <c r="D66" t="inlineStr">
        <is>
          <t>Medicaments for retail sale (formulations)</t>
        </is>
      </c>
      <c r="E66" s="3" t="n">
        <v>0.72</v>
      </c>
      <c r="F66" s="3" t="n">
        <v>0.92</v>
      </c>
      <c r="G66" s="4">
        <f>IF(E66=0,"",F66/E66-1)</f>
        <v/>
      </c>
    </row>
    <row r="67">
      <c r="A67" t="inlineStr">
        <is>
          <t>30064000</t>
        </is>
      </c>
      <c r="B67" t="inlineStr">
        <is>
          <t>DENTAL CEMENTS AND OTHR DENTAL FILLINGS BONE RECONSTRUCTION CEMENTS</t>
        </is>
      </c>
      <c r="C67" t="inlineStr">
        <is>
          <t>Dressings, kits &amp; other</t>
        </is>
      </c>
      <c r="D67" t="inlineStr">
        <is>
          <t>Other pharma goods (kits, sutures, etc.)</t>
        </is>
      </c>
      <c r="E67" s="3" t="n">
        <v>0.78</v>
      </c>
      <c r="F67" s="3" t="n">
        <v>0.89</v>
      </c>
      <c r="G67" s="4">
        <f>IF(E67=0,"",F67/E67-1)</f>
        <v/>
      </c>
    </row>
    <row r="68">
      <c r="A68" t="inlineStr">
        <is>
          <t>30043990</t>
        </is>
      </c>
      <c r="B68" t="inlineStr">
        <is>
          <t>OTHER GONADOTROPHINS AND LUTEINISING HORMONE</t>
        </is>
      </c>
      <c r="C68" t="inlineStr">
        <is>
          <t>Hormones &amp; insulin</t>
        </is>
      </c>
      <c r="D68" t="inlineStr">
        <is>
          <t>Medicaments for retail sale (formulations)</t>
        </is>
      </c>
      <c r="E68" s="3" t="n">
        <v>0.27</v>
      </c>
      <c r="F68" s="3" t="n">
        <v>0.85</v>
      </c>
      <c r="G68" s="4">
        <f>IF(E68=0,"",F68/E68-1)</f>
        <v/>
      </c>
    </row>
    <row r="69">
      <c r="A69" t="inlineStr">
        <is>
          <t>30059040</t>
        </is>
      </c>
      <c r="B69" t="inlineStr">
        <is>
          <t>BANDAGES WITHOUT ADHESIVE LAYER</t>
        </is>
      </c>
      <c r="C69" t="inlineStr">
        <is>
          <t>Dressings, kits &amp; other</t>
        </is>
      </c>
      <c r="D69" t="inlineStr">
        <is>
          <t>Dressings &amp; bandages</t>
        </is>
      </c>
      <c r="E69" s="3" t="n">
        <v>1.55</v>
      </c>
      <c r="F69" s="3" t="n">
        <v>0.85</v>
      </c>
      <c r="G69" s="4">
        <f>IF(E69=0,"",F69/E69-1)</f>
        <v/>
      </c>
    </row>
    <row r="70">
      <c r="A70" t="inlineStr">
        <is>
          <t>30024112</t>
        </is>
      </c>
      <c r="B70" t="inlineStr">
        <is>
          <t>HEPATITIS (SINGLE VACCINES FOR)</t>
        </is>
      </c>
      <c r="C70" t="inlineStr">
        <is>
          <t>Vaccines &amp; biologicals</t>
        </is>
      </c>
      <c r="D70" t="inlineStr">
        <is>
          <t>Vaccines, blood &amp; immunological products</t>
        </is>
      </c>
      <c r="E70" s="3" t="n">
        <v>1.12</v>
      </c>
      <c r="F70" s="3" t="n">
        <v>0.82</v>
      </c>
      <c r="G70" s="4">
        <f>IF(E70=0,"",F70/E70-1)</f>
        <v/>
      </c>
    </row>
    <row r="71">
      <c r="A71" t="inlineStr">
        <is>
          <t>30021290</t>
        </is>
      </c>
      <c r="B71" t="inlineStr">
        <is>
          <t>OTHERS-OF-ANTISERA AND OTHER BLOOD FRACTIONS:</t>
        </is>
      </c>
      <c r="C71" t="inlineStr">
        <is>
          <t>Vaccines &amp; biologicals</t>
        </is>
      </c>
      <c r="D71" t="inlineStr">
        <is>
          <t>Vaccines, blood &amp; immunological products</t>
        </is>
      </c>
      <c r="E71" s="3" t="n">
        <v>0.47</v>
      </c>
      <c r="F71" s="3" t="n">
        <v>0.77</v>
      </c>
      <c r="G71" s="4">
        <f>IF(E71=0,"",F71/E71-1)</f>
        <v/>
      </c>
    </row>
    <row r="72">
      <c r="A72" t="inlineStr">
        <is>
          <t>30041050</t>
        </is>
      </c>
      <c r="B72" t="inlineStr">
        <is>
          <t>CLOXACILLIN IN CAPSULES, INJECTIONS ETC.</t>
        </is>
      </c>
      <c r="C72" t="inlineStr">
        <is>
          <t>Anti-infectives</t>
        </is>
      </c>
      <c r="D72" t="inlineStr">
        <is>
          <t>Medicaments for retail sale (formulations)</t>
        </is>
      </c>
      <c r="E72" s="3" t="n">
        <v>0.08</v>
      </c>
      <c r="F72" s="3" t="n">
        <v>0.77</v>
      </c>
      <c r="G72" s="4">
        <f>IF(E72=0,"",F72/E72-1)</f>
        <v/>
      </c>
    </row>
    <row r="73">
      <c r="A73" t="inlineStr">
        <is>
          <t>30049047</t>
        </is>
      </c>
      <c r="B73" t="inlineStr">
        <is>
          <t>L-ASPARAGINASE, CISPLATIN AND CARBOPLATIN</t>
        </is>
      </c>
      <c r="C73" t="inlineStr">
        <is>
          <t>Oncology</t>
        </is>
      </c>
      <c r="D73" t="inlineStr">
        <is>
          <t>Medicaments for retail sale (formulations)</t>
        </is>
      </c>
      <c r="E73" s="3" t="n">
        <v>0.49</v>
      </c>
      <c r="F73" s="3" t="n">
        <v>0.75</v>
      </c>
      <c r="G73" s="4">
        <f>IF(E73=0,"",F73/E73-1)</f>
        <v/>
      </c>
    </row>
    <row r="74">
      <c r="A74" t="inlineStr">
        <is>
          <t>30066010</t>
        </is>
      </c>
      <c r="B74" t="inlineStr">
        <is>
          <t>CONTRACEPTIVE BASED ON HORMONES</t>
        </is>
      </c>
      <c r="C74" t="inlineStr">
        <is>
          <t>Dressings, kits &amp; other</t>
        </is>
      </c>
      <c r="D74" t="inlineStr">
        <is>
          <t>Other pharma goods (kits, sutures, etc.)</t>
        </is>
      </c>
      <c r="E74" s="3" t="n">
        <v>0.98</v>
      </c>
      <c r="F74" s="3" t="n">
        <v>0.68</v>
      </c>
      <c r="G74" s="4">
        <f>IF(E74=0,"",F74/E74-1)</f>
        <v/>
      </c>
    </row>
    <row r="75">
      <c r="A75" t="inlineStr">
        <is>
          <t>30021500</t>
        </is>
      </c>
      <c r="B75" t="inlineStr">
        <is>
          <t>IMMUNOLOGICAL PRODUCTS, PUT UP IN MEASURED DOSES OR IN FORMS OR PACKINGS FOR RETAIL SALE</t>
        </is>
      </c>
      <c r="C75" t="inlineStr">
        <is>
          <t>Vaccines &amp; biologicals</t>
        </is>
      </c>
      <c r="D75" t="inlineStr">
        <is>
          <t>Vaccines, blood &amp; immunological products</t>
        </is>
      </c>
      <c r="E75" s="3" t="n">
        <v>0.22</v>
      </c>
      <c r="F75" s="3" t="n">
        <v>0.67</v>
      </c>
      <c r="G75" s="4">
        <f>IF(E75=0,"",F75/E75-1)</f>
        <v/>
      </c>
    </row>
    <row r="76">
      <c r="A76" t="inlineStr">
        <is>
          <t>30049044</t>
        </is>
      </c>
      <c r="B76" t="inlineStr">
        <is>
          <t>PACLITAXEL AND DOCETAXEL</t>
        </is>
      </c>
      <c r="C76" t="inlineStr">
        <is>
          <t>Oncology</t>
        </is>
      </c>
      <c r="D76" t="inlineStr">
        <is>
          <t>Medicaments for retail sale (formulations)</t>
        </is>
      </c>
      <c r="E76" s="3" t="n">
        <v>1.6</v>
      </c>
      <c r="F76" s="3" t="n">
        <v>0.62</v>
      </c>
      <c r="G76" s="4">
        <f>IF(E76=0,"",F76/E76-1)</f>
        <v/>
      </c>
    </row>
    <row r="77">
      <c r="A77" t="inlineStr">
        <is>
          <t>30039034</t>
        </is>
      </c>
      <c r="B77" t="inlineStr">
        <is>
          <t>ANAESTHETIC AGENTS USED IN HUMAN OR VETERINARY MEDICINE OR SURGERY</t>
        </is>
      </c>
      <c r="C77" t="inlineStr">
        <is>
          <t>Bulk medicaments</t>
        </is>
      </c>
      <c r="D77" t="inlineStr">
        <is>
          <t>Medicaments in bulk (not retail)</t>
        </is>
      </c>
      <c r="E77" s="3" t="n">
        <v>0.31</v>
      </c>
      <c r="F77" s="3" t="n">
        <v>0.57</v>
      </c>
      <c r="G77" s="4">
        <f>IF(E77=0,"",F77/E77-1)</f>
        <v/>
      </c>
    </row>
    <row r="78">
      <c r="A78" t="inlineStr">
        <is>
          <t>30049095</t>
        </is>
      </c>
      <c r="B78" t="inlineStr">
        <is>
          <t>CARCINO-CHEMOTHERAPEUTIC DRUGS N.E.S.</t>
        </is>
      </c>
      <c r="C78" t="inlineStr">
        <is>
          <t>Oncology</t>
        </is>
      </c>
      <c r="D78" t="inlineStr">
        <is>
          <t>Medicaments for retail sale (formulations)</t>
        </is>
      </c>
      <c r="E78" s="3" t="n">
        <v>1.8</v>
      </c>
      <c r="F78" s="3" t="n">
        <v>0.57</v>
      </c>
      <c r="G78" s="4">
        <f>IF(E78=0,"",F78/E78-1)</f>
        <v/>
      </c>
    </row>
    <row r="79">
      <c r="A79" t="inlineStr">
        <is>
          <t>30049012</t>
        </is>
      </c>
      <c r="B79" t="inlineStr">
        <is>
          <t>MEDICAMENTS OF UNANI SYSTEM</t>
        </is>
      </c>
      <c r="C79" t="inlineStr">
        <is>
          <t>AYUSH (Ayurveda, Unani)</t>
        </is>
      </c>
      <c r="D79" t="inlineStr">
        <is>
          <t>Medicaments for retail sale (formulations)</t>
        </is>
      </c>
      <c r="E79" s="3" t="n">
        <v>0.13</v>
      </c>
      <c r="F79" s="3" t="n">
        <v>0.5600000000000001</v>
      </c>
      <c r="G79" s="4">
        <f>IF(E79=0,"",F79/E79-1)</f>
        <v/>
      </c>
    </row>
    <row r="80">
      <c r="A80" t="inlineStr">
        <is>
          <t>30024200</t>
        </is>
      </c>
      <c r="B80" t="inlineStr">
        <is>
          <t>VACCINE FOR VETERINARY MEDICINE</t>
        </is>
      </c>
      <c r="C80" t="inlineStr">
        <is>
          <t>Vaccines &amp; biologicals</t>
        </is>
      </c>
      <c r="D80" t="inlineStr">
        <is>
          <t>Vaccines, blood &amp; immunological products</t>
        </is>
      </c>
      <c r="E80" s="3" t="n">
        <v>0.65</v>
      </c>
      <c r="F80" s="3" t="n">
        <v>0.54</v>
      </c>
      <c r="G80" s="4">
        <f>IF(E80=0,"",F80/E80-1)</f>
        <v/>
      </c>
    </row>
    <row r="81">
      <c r="A81" t="inlineStr">
        <is>
          <t>30043921</t>
        </is>
      </c>
      <c r="B81" t="inlineStr">
        <is>
          <t>GONADOTROPHINS</t>
        </is>
      </c>
      <c r="C81" t="inlineStr">
        <is>
          <t>Hormones &amp; insulin</t>
        </is>
      </c>
      <c r="D81" t="inlineStr">
        <is>
          <t>Medicaments for retail sale (formulations)</t>
        </is>
      </c>
      <c r="E81" s="3" t="n">
        <v>0.3</v>
      </c>
      <c r="F81" s="3" t="n">
        <v>0.5</v>
      </c>
      <c r="G81" s="4">
        <f>IF(E81=0,"",F81/E81-1)</f>
        <v/>
      </c>
    </row>
    <row r="82">
      <c r="A82" t="inlineStr">
        <is>
          <t>30024119</t>
        </is>
      </c>
      <c r="B82" t="inlineStr">
        <is>
          <t>OTHERS-OF-VACCINES FOR HUMAN MEDICINE</t>
        </is>
      </c>
      <c r="C82" t="inlineStr">
        <is>
          <t>Vaccines &amp; biologicals</t>
        </is>
      </c>
      <c r="D82" t="inlineStr">
        <is>
          <t>Vaccines, blood &amp; immunological products</t>
        </is>
      </c>
      <c r="E82" s="3" t="n">
        <v>0.74</v>
      </c>
      <c r="F82" s="3" t="n">
        <v>0.49</v>
      </c>
      <c r="G82" s="4">
        <f>IF(E82=0,"",F82/E82-1)</f>
        <v/>
      </c>
    </row>
    <row r="83">
      <c r="A83" t="inlineStr">
        <is>
          <t>30033900</t>
        </is>
      </c>
      <c r="B83" t="inlineStr">
        <is>
          <t>OTHERS-OF-OTHERS-OF-MEDICAMENTS (EXCL GOODS HDG NO 3002 3005OR 3006) CNSISTNC OF TWO/MORE CONSTUNTS MXD TOGETHER FOR HMN MEDCN</t>
        </is>
      </c>
      <c r="C83" t="inlineStr">
        <is>
          <t>Bulk medicaments</t>
        </is>
      </c>
      <c r="D83" t="inlineStr">
        <is>
          <t>Medicaments in bulk (not retail)</t>
        </is>
      </c>
      <c r="E83" s="3" t="n">
        <v>0.16</v>
      </c>
      <c r="F83" s="3" t="n">
        <v>0.49</v>
      </c>
      <c r="G83" s="4">
        <f>IF(E83=0,"",F83/E83-1)</f>
        <v/>
      </c>
    </row>
    <row r="84">
      <c r="A84" t="inlineStr">
        <is>
          <t>30019091</t>
        </is>
      </c>
      <c r="B84" t="inlineStr">
        <is>
          <t>HEPARIN AND ITS SALTS</t>
        </is>
      </c>
      <c r="C84" t="inlineStr">
        <is>
          <t>Dressings, kits &amp; other</t>
        </is>
      </c>
      <c r="D84" t="inlineStr">
        <is>
          <t>Glands &amp; organ extracts</t>
        </is>
      </c>
      <c r="E84" s="3" t="n">
        <v>1.96</v>
      </c>
      <c r="F84" s="3" t="n">
        <v>0.47</v>
      </c>
      <c r="G84" s="4">
        <f>IF(E84=0,"",F84/E84-1)</f>
        <v/>
      </c>
    </row>
    <row r="85">
      <c r="A85" t="inlineStr">
        <is>
          <t>30045035</t>
        </is>
      </c>
      <c r="B85" t="inlineStr">
        <is>
          <t>VITAMIN C IN TABLETS, SYRUP ETC SALVES OINTMENTS AND VA</t>
        </is>
      </c>
      <c r="C85" t="inlineStr">
        <is>
          <t>Vitamins &amp; nutrition</t>
        </is>
      </c>
      <c r="D85" t="inlineStr">
        <is>
          <t>Medicaments for retail sale (formulations)</t>
        </is>
      </c>
      <c r="E85" s="3" t="n">
        <v>0.54</v>
      </c>
      <c r="F85" s="3" t="n">
        <v>0.46</v>
      </c>
      <c r="G85" s="4">
        <f>IF(E85=0,"",F85/E85-1)</f>
        <v/>
      </c>
    </row>
    <row r="86">
      <c r="A86" t="inlineStr">
        <is>
          <t>30049088</t>
        </is>
      </c>
      <c r="B86" t="inlineStr">
        <is>
          <t>SEDATIVES</t>
        </is>
      </c>
      <c r="C86" t="inlineStr">
        <is>
          <t>Nervous system</t>
        </is>
      </c>
      <c r="D86" t="inlineStr">
        <is>
          <t>Medicaments for retail sale (formulations)</t>
        </is>
      </c>
      <c r="E86" s="3" t="n">
        <v>0.11</v>
      </c>
      <c r="F86" s="3" t="n">
        <v>0.46</v>
      </c>
      <c r="G86" s="4">
        <f>IF(E86=0,"",F86/E86-1)</f>
        <v/>
      </c>
    </row>
    <row r="87">
      <c r="A87" t="inlineStr">
        <is>
          <t>30043110</t>
        </is>
      </c>
      <c r="B87" t="inlineStr">
        <is>
          <t>INSULIN INJECTION</t>
        </is>
      </c>
      <c r="C87" t="inlineStr">
        <is>
          <t>Hormones &amp; insulin</t>
        </is>
      </c>
      <c r="D87" t="inlineStr">
        <is>
          <t>Medicaments for retail sale (formulations)</t>
        </is>
      </c>
      <c r="E87" s="3" t="n">
        <v>0.03</v>
      </c>
      <c r="F87" s="3" t="n">
        <v>0.45</v>
      </c>
      <c r="G87" s="4">
        <f>IF(E87=0,"",F87/E87-1)</f>
        <v/>
      </c>
    </row>
    <row r="88">
      <c r="A88" t="inlineStr">
        <is>
          <t>30043919</t>
        </is>
      </c>
      <c r="B88" t="inlineStr">
        <is>
          <t>OTHER PROGESTOGEN AND OESTOGEN GROUP</t>
        </is>
      </c>
      <c r="C88" t="inlineStr">
        <is>
          <t>Hormones &amp; insulin</t>
        </is>
      </c>
      <c r="D88" t="inlineStr">
        <is>
          <t>Medicaments for retail sale (formulations)</t>
        </is>
      </c>
      <c r="E88" s="3" t="n">
        <v>0.72</v>
      </c>
      <c r="F88" s="3" t="n">
        <v>0.45</v>
      </c>
      <c r="G88" s="4">
        <f>IF(E88=0,"",F88/E88-1)</f>
        <v/>
      </c>
    </row>
    <row r="89">
      <c r="A89" t="inlineStr">
        <is>
          <t>30044990</t>
        </is>
      </c>
      <c r="B89" t="inlineStr">
        <is>
          <t>OTHERS-OF-OTHERS-OF-MDCMNTS (EXCL ITMS OF 3002,3005 / 3006) FR THRPUTC/PRPHYLCTC USES IN MEASURDDOSESOR IN PCKNGS FR RTL SALE</t>
        </is>
      </c>
      <c r="C89" t="inlineStr">
        <is>
          <t>Other formulations</t>
        </is>
      </c>
      <c r="D89" t="inlineStr">
        <is>
          <t>Medicaments for retail sale (formulations)</t>
        </is>
      </c>
      <c r="E89" s="3" t="n">
        <v>0.37</v>
      </c>
      <c r="F89" s="3" t="n">
        <v>0.45</v>
      </c>
      <c r="G89" s="4">
        <f>IF(E89=0,"",F89/E89-1)</f>
        <v/>
      </c>
    </row>
    <row r="90">
      <c r="A90" t="inlineStr">
        <is>
          <t>30067000</t>
        </is>
      </c>
      <c r="B90" t="inlineStr">
        <is>
          <t>GEL PREP TO BE USED IN HUMAN OR VETERINARYMEDICINE AS A LUBRICANT FOR PARTS OF BODYFOR SURGI OPER/PHYS EX</t>
        </is>
      </c>
      <c r="C90" t="inlineStr">
        <is>
          <t>Dressings, kits &amp; other</t>
        </is>
      </c>
      <c r="D90" t="inlineStr">
        <is>
          <t>Other pharma goods (kits, sutures, etc.)</t>
        </is>
      </c>
      <c r="E90" s="3" t="n">
        <v>0.25</v>
      </c>
      <c r="F90" s="3" t="n">
        <v>0.45</v>
      </c>
      <c r="G90" s="4">
        <f>IF(E90=0,"",F90/E90-1)</f>
        <v/>
      </c>
    </row>
    <row r="91">
      <c r="A91" t="inlineStr">
        <is>
          <t>30042095</t>
        </is>
      </c>
      <c r="B91" t="inlineStr">
        <is>
          <t>CLINDAMYCIN</t>
        </is>
      </c>
      <c r="C91" t="inlineStr">
        <is>
          <t>Anti-infectives</t>
        </is>
      </c>
      <c r="D91" t="inlineStr">
        <is>
          <t>Medicaments for retail sale (formulations)</t>
        </is>
      </c>
      <c r="E91" s="3" t="n">
        <v>0.12</v>
      </c>
      <c r="F91" s="3" t="n">
        <v>0.42</v>
      </c>
      <c r="G91" s="4">
        <f>IF(E91=0,"",F91/E91-1)</f>
        <v/>
      </c>
    </row>
    <row r="92">
      <c r="A92" t="inlineStr">
        <is>
          <t>30042097</t>
        </is>
      </c>
      <c r="B92" t="inlineStr">
        <is>
          <t>POLYMYXIN B AND COLISTIN</t>
        </is>
      </c>
      <c r="C92" t="inlineStr">
        <is>
          <t>Anti-infectives</t>
        </is>
      </c>
      <c r="D92" t="inlineStr">
        <is>
          <t>Medicaments for retail sale (formulations)</t>
        </is>
      </c>
      <c r="E92" s="3" t="n">
        <v>0.44</v>
      </c>
      <c r="F92" s="3" t="n">
        <v>0.42</v>
      </c>
      <c r="G92" s="4">
        <f>IF(E92=0,"",F92/E92-1)</f>
        <v/>
      </c>
    </row>
    <row r="93">
      <c r="A93" t="inlineStr">
        <is>
          <t>30042020</t>
        </is>
      </c>
      <c r="B93" t="inlineStr">
        <is>
          <t>SULFONAMIDES AND COTRIMOXAZOLE</t>
        </is>
      </c>
      <c r="C93" t="inlineStr">
        <is>
          <t>Anti-infectives</t>
        </is>
      </c>
      <c r="D93" t="inlineStr">
        <is>
          <t>Medicaments for retail sale (formulations)</t>
        </is>
      </c>
      <c r="E93" s="3" t="n">
        <v>0.02</v>
      </c>
      <c r="F93" s="3" t="n">
        <v>0.41</v>
      </c>
      <c r="G93" s="4">
        <f>IF(E93=0,"",F93/E93-1)</f>
        <v/>
      </c>
    </row>
    <row r="94">
      <c r="A94" t="inlineStr">
        <is>
          <t>30045010</t>
        </is>
      </c>
      <c r="B94" t="inlineStr">
        <is>
          <t>HEAMATINICS AND ERYTHROPOIETIN</t>
        </is>
      </c>
      <c r="C94" t="inlineStr">
        <is>
          <t>Vitamins &amp; nutrition</t>
        </is>
      </c>
      <c r="D94" t="inlineStr">
        <is>
          <t>Medicaments for retail sale (formulations)</t>
        </is>
      </c>
      <c r="E94" s="3" t="n">
        <v>0.23</v>
      </c>
      <c r="F94" s="3" t="n">
        <v>0.41</v>
      </c>
      <c r="G94" s="4">
        <f>IF(E94=0,"",F94/E94-1)</f>
        <v/>
      </c>
    </row>
    <row r="95">
      <c r="A95" t="inlineStr">
        <is>
          <t>30043190</t>
        </is>
      </c>
      <c r="B95" t="inlineStr">
        <is>
          <t>OTHER MEDICAMENTS CONTAINING INSULIN</t>
        </is>
      </c>
      <c r="C95" t="inlineStr">
        <is>
          <t>Hormones &amp; insulin</t>
        </is>
      </c>
      <c r="D95" t="inlineStr">
        <is>
          <t>Medicaments for retail sale (formulations)</t>
        </is>
      </c>
      <c r="E95" s="3" t="n">
        <v>0.51</v>
      </c>
      <c r="F95" s="3" t="n">
        <v>0.37</v>
      </c>
      <c r="G95" s="4">
        <f>IF(E95=0,"",F95/E95-1)</f>
        <v/>
      </c>
    </row>
    <row r="96">
      <c r="A96" t="inlineStr">
        <is>
          <t>30043913</t>
        </is>
      </c>
      <c r="B96" t="inlineStr">
        <is>
          <t>DEXAMETHASONE</t>
        </is>
      </c>
      <c r="C96" t="inlineStr">
        <is>
          <t>Hormones &amp; insulin</t>
        </is>
      </c>
      <c r="D96" t="inlineStr">
        <is>
          <t>Medicaments for retail sale (formulations)</t>
        </is>
      </c>
      <c r="E96" s="3" t="n">
        <v>0.17</v>
      </c>
      <c r="F96" s="3" t="n">
        <v>0.35</v>
      </c>
      <c r="G96" s="4">
        <f>IF(E96=0,"",F96/E96-1)</f>
        <v/>
      </c>
    </row>
    <row r="97">
      <c r="A97" t="inlineStr">
        <is>
          <t>30049065</t>
        </is>
      </c>
      <c r="B97" t="inlineStr">
        <is>
          <t>INDOMETHACIN</t>
        </is>
      </c>
      <c r="C97" t="inlineStr">
        <is>
          <t>Pain &amp; inflammation</t>
        </is>
      </c>
      <c r="D97" t="inlineStr">
        <is>
          <t>Medicaments for retail sale (formulations)</t>
        </is>
      </c>
      <c r="E97" s="3" t="n">
        <v>1.4</v>
      </c>
      <c r="F97" s="3" t="n">
        <v>0.35</v>
      </c>
      <c r="G97" s="4">
        <f>IF(E97=0,"",F97/E97-1)</f>
        <v/>
      </c>
    </row>
    <row r="98">
      <c r="A98" t="inlineStr">
        <is>
          <t>30042049</t>
        </is>
      </c>
      <c r="B98" t="inlineStr">
        <is>
          <t>OTHER TETRACYCLINE</t>
        </is>
      </c>
      <c r="C98" t="inlineStr">
        <is>
          <t>Anti-infectives</t>
        </is>
      </c>
      <c r="D98" t="inlineStr">
        <is>
          <t>Medicaments for retail sale (formulations)</t>
        </is>
      </c>
      <c r="E98" s="3" t="n">
        <v>0.43</v>
      </c>
      <c r="F98" s="3" t="n">
        <v>0.33</v>
      </c>
      <c r="G98" s="4">
        <f>IF(E98=0,"",F98/E98-1)</f>
        <v/>
      </c>
    </row>
    <row r="99">
      <c r="A99" t="inlineStr">
        <is>
          <t>30042039</t>
        </is>
      </c>
      <c r="B99" t="inlineStr">
        <is>
          <t>OTHER FLUOROQUINOLONES</t>
        </is>
      </c>
      <c r="C99" t="inlineStr">
        <is>
          <t>Anti-infectives</t>
        </is>
      </c>
      <c r="D99" t="inlineStr">
        <is>
          <t>Medicaments for retail sale (formulations)</t>
        </is>
      </c>
      <c r="E99" s="3" t="n">
        <v>0.39</v>
      </c>
      <c r="F99" s="3" t="n">
        <v>0.31</v>
      </c>
      <c r="G99" s="4">
        <f>IF(E99=0,"",F99/E99-1)</f>
        <v/>
      </c>
    </row>
    <row r="100">
      <c r="A100" t="inlineStr">
        <is>
          <t>30049035</t>
        </is>
      </c>
      <c r="B100" t="inlineStr">
        <is>
          <t>DICYCLOMINE, METOCLOPRAMIDE AND DEXAME THASONE AND ONDANSETRON</t>
        </is>
      </c>
      <c r="C100" t="inlineStr">
        <is>
          <t>Gastro &amp; anti-allergy</t>
        </is>
      </c>
      <c r="D100" t="inlineStr">
        <is>
          <t>Medicaments for retail sale (formulations)</t>
        </is>
      </c>
      <c r="E100" s="3" t="n">
        <v>0.29</v>
      </c>
      <c r="F100" s="3" t="n">
        <v>0.29</v>
      </c>
      <c r="G100" s="4">
        <f>IF(E100=0,"",F100/E100-1)</f>
        <v/>
      </c>
    </row>
    <row r="101">
      <c r="A101" t="inlineStr">
        <is>
          <t>30049059</t>
        </is>
      </c>
      <c r="B101" t="inlineStr">
        <is>
          <t>OTHER ANTIMALARIAL DRUGS</t>
        </is>
      </c>
      <c r="C101" t="inlineStr">
        <is>
          <t>Anti-infectives</t>
        </is>
      </c>
      <c r="D101" t="inlineStr">
        <is>
          <t>Medicaments for retail sale (formulations)</t>
        </is>
      </c>
      <c r="E101" s="3" t="n">
        <v>0.45</v>
      </c>
      <c r="F101" s="3" t="n">
        <v>0.28</v>
      </c>
      <c r="G101" s="4">
        <f>IF(E101=0,"",F101/E101-1)</f>
        <v/>
      </c>
    </row>
    <row r="102">
      <c r="A102" t="inlineStr">
        <is>
          <t>30049032</t>
        </is>
      </c>
      <c r="B102" t="inlineStr">
        <is>
          <t>SODIUM BICARBONAT, MAGNSM HYDROXID, MAGNSMCARBONAT,MAGNSIUM TRISILICAT, ALUMINIUM HYDROXIDE GEL,MAGALDARAT</t>
        </is>
      </c>
      <c r="C102" t="inlineStr">
        <is>
          <t>Gastro &amp; anti-allergy</t>
        </is>
      </c>
      <c r="D102" t="inlineStr">
        <is>
          <t>Medicaments for retail sale (formulations)</t>
        </is>
      </c>
      <c r="E102" s="3" t="n">
        <v>0.03</v>
      </c>
      <c r="F102" s="3" t="n">
        <v>0.27</v>
      </c>
      <c r="G102" s="4">
        <f>IF(E102=0,"",F102/E102-1)</f>
        <v/>
      </c>
    </row>
    <row r="103">
      <c r="A103" t="inlineStr">
        <is>
          <t>30029090</t>
        </is>
      </c>
      <c r="B103" t="inlineStr">
        <is>
          <t>OTHERS-OF-OTHERS-OF-HUMN,ANML,BLD FR MDCNL USE; MDFD IMUNLGCL PRDT W/N_BITECH PRCS;VCCNS,TXNS,CLTR_MCRGNSM,ETHER SMLR P; CELL</t>
        </is>
      </c>
      <c r="C103" t="inlineStr">
        <is>
          <t>Vaccines &amp; biologicals</t>
        </is>
      </c>
      <c r="D103" t="inlineStr">
        <is>
          <t>Vaccines, blood &amp; immunological products</t>
        </is>
      </c>
      <c r="E103" s="3" t="n">
        <v>0.08</v>
      </c>
      <c r="F103" s="3" t="n">
        <v>0.26</v>
      </c>
      <c r="G103" s="4">
        <f>IF(E103=0,"",F103/E103-1)</f>
        <v/>
      </c>
    </row>
    <row r="104">
      <c r="A104" t="inlineStr">
        <is>
          <t>30045036</t>
        </is>
      </c>
      <c r="B104" t="inlineStr">
        <is>
          <t>VITAMIN D IN TABLETS, CAPSULES, SYRUP ET</t>
        </is>
      </c>
      <c r="C104" t="inlineStr">
        <is>
          <t>Vitamins &amp; nutrition</t>
        </is>
      </c>
      <c r="D104" t="inlineStr">
        <is>
          <t>Medicaments for retail sale (formulations)</t>
        </is>
      </c>
      <c r="E104" s="3" t="n">
        <v>0.05</v>
      </c>
      <c r="F104" s="3" t="n">
        <v>0.25</v>
      </c>
      <c r="G104" s="4">
        <f>IF(E104=0,"",F104/E104-1)</f>
        <v/>
      </c>
    </row>
    <row r="105">
      <c r="A105" t="inlineStr">
        <is>
          <t>30049046</t>
        </is>
      </c>
      <c r="B105" t="inlineStr">
        <is>
          <t>ACTINOMYCIN D DACTINOMYCIN AND DOXORUBICIN</t>
        </is>
      </c>
      <c r="C105" t="inlineStr">
        <is>
          <t>Oncology</t>
        </is>
      </c>
      <c r="D105" t="inlineStr">
        <is>
          <t>Medicaments for retail sale (formulations)</t>
        </is>
      </c>
      <c r="E105" s="3" t="n">
        <v>0.13</v>
      </c>
      <c r="F105" s="3" t="n">
        <v>0.22</v>
      </c>
      <c r="G105" s="4">
        <f>IF(E105=0,"",F105/E105-1)</f>
        <v/>
      </c>
    </row>
    <row r="106">
      <c r="A106" t="inlineStr">
        <is>
          <t>30019099</t>
        </is>
      </c>
      <c r="B106" t="inlineStr">
        <is>
          <t>OTHER HEPARIN SALTS; OTHER HUMAN/ANML SUBSTNS FOR THRUPTC/PROPHYLCTC USES, NES</t>
        </is>
      </c>
      <c r="C106" t="inlineStr">
        <is>
          <t>Dressings, kits &amp; other</t>
        </is>
      </c>
      <c r="D106" t="inlineStr">
        <is>
          <t>Glands &amp; organ extracts</t>
        </is>
      </c>
      <c r="E106" s="3" t="n">
        <v>0.17</v>
      </c>
      <c r="F106" s="3" t="n">
        <v>0.21</v>
      </c>
      <c r="G106" s="4">
        <f>IF(E106=0,"",F106/E106-1)</f>
        <v/>
      </c>
    </row>
    <row r="107">
      <c r="A107" t="inlineStr">
        <is>
          <t>30042033</t>
        </is>
      </c>
      <c r="B107" t="inlineStr">
        <is>
          <t>CIPROFLOXACIN (FLUOROQUINOLONES)</t>
        </is>
      </c>
      <c r="C107" t="inlineStr">
        <is>
          <t>Anti-infectives</t>
        </is>
      </c>
      <c r="D107" t="inlineStr">
        <is>
          <t>Medicaments for retail sale (formulations)</t>
        </is>
      </c>
      <c r="E107" s="3" t="n">
        <v>0.1</v>
      </c>
      <c r="F107" s="3" t="n">
        <v>0.21</v>
      </c>
      <c r="G107" s="4">
        <f>IF(E107=0,"",F107/E107-1)</f>
        <v/>
      </c>
    </row>
    <row r="108">
      <c r="A108" t="inlineStr">
        <is>
          <t>30024122</t>
        </is>
      </c>
      <c r="B108" t="inlineStr">
        <is>
          <t>DIPHTHERIA AND TETATUS (DT)</t>
        </is>
      </c>
      <c r="C108" t="inlineStr">
        <is>
          <t>Vaccines &amp; biologicals</t>
        </is>
      </c>
      <c r="D108" t="inlineStr">
        <is>
          <t>Vaccines, blood &amp; immunological products</t>
        </is>
      </c>
      <c r="E108" s="3" t="n">
        <v>0</v>
      </c>
      <c r="F108" s="3" t="n">
        <v>0.2</v>
      </c>
      <c r="G108" s="4">
        <f>IF(E108=0,"",F108/E108-1)</f>
        <v/>
      </c>
    </row>
    <row r="109">
      <c r="A109" t="inlineStr">
        <is>
          <t>30042062</t>
        </is>
      </c>
      <c r="B109" t="inlineStr">
        <is>
          <t>ROXITHROMYCIN</t>
        </is>
      </c>
      <c r="C109" t="inlineStr">
        <is>
          <t>Anti-infectives</t>
        </is>
      </c>
      <c r="D109" t="inlineStr">
        <is>
          <t>Medicaments for retail sale (formulations)</t>
        </is>
      </c>
      <c r="E109" s="3" t="n">
        <v>0</v>
      </c>
      <c r="F109" s="3" t="n">
        <v>0.19</v>
      </c>
      <c r="G109" s="4">
        <f>IF(E109=0,"",F109/E109-1)</f>
        <v/>
      </c>
    </row>
    <row r="110">
      <c r="A110" t="inlineStr">
        <is>
          <t>30051020</t>
        </is>
      </c>
      <c r="B110" t="inlineStr">
        <is>
          <t>ADHESIVE TAPE (MEDICINAL)</t>
        </is>
      </c>
      <c r="C110" t="inlineStr">
        <is>
          <t>Dressings, kits &amp; other</t>
        </is>
      </c>
      <c r="D110" t="inlineStr">
        <is>
          <t>Dressings &amp; bandages</t>
        </is>
      </c>
      <c r="E110" s="3" t="n">
        <v>0.18</v>
      </c>
      <c r="F110" s="3" t="n">
        <v>0.19</v>
      </c>
      <c r="G110" s="4">
        <f>IF(E110=0,"",F110/E110-1)</f>
        <v/>
      </c>
    </row>
    <row r="111">
      <c r="A111" t="inlineStr">
        <is>
          <t>30061020</t>
        </is>
      </c>
      <c r="B111" t="inlineStr">
        <is>
          <t>STERILE LAMINARIA AND LAMINARIA TENTS.AND STRILE ABSRBBLE SURGCL/DENTAL HAEMOSTATICS</t>
        </is>
      </c>
      <c r="C111" t="inlineStr">
        <is>
          <t>Dressings, kits &amp; other</t>
        </is>
      </c>
      <c r="D111" t="inlineStr">
        <is>
          <t>Other pharma goods (kits, sutures, etc.)</t>
        </is>
      </c>
      <c r="E111" s="3" t="n">
        <v>0.09</v>
      </c>
      <c r="F111" s="3" t="n">
        <v>0.17</v>
      </c>
      <c r="G111" s="4">
        <f>IF(E111=0,"",F111/E111-1)</f>
        <v/>
      </c>
    </row>
    <row r="112">
      <c r="A112" t="inlineStr">
        <is>
          <t>30024910</t>
        </is>
      </c>
      <c r="B112" t="inlineStr">
        <is>
          <t>CULTURES OF MICRO-ORGANISMS (EXCLUDING YEAST)</t>
        </is>
      </c>
      <c r="C112" t="inlineStr">
        <is>
          <t>Vaccines &amp; biologicals</t>
        </is>
      </c>
      <c r="D112" t="inlineStr">
        <is>
          <t>Vaccines, blood &amp; immunological products</t>
        </is>
      </c>
      <c r="E112" s="3" t="n">
        <v>0.03</v>
      </c>
      <c r="F112" s="3" t="n">
        <v>0.16</v>
      </c>
      <c r="G112" s="4">
        <f>IF(E112=0,"",F112/E112-1)</f>
        <v/>
      </c>
    </row>
    <row r="113">
      <c r="A113" t="inlineStr">
        <is>
          <t>30049045</t>
        </is>
      </c>
      <c r="B113" t="inlineStr">
        <is>
          <t>ETOPOSIDE</t>
        </is>
      </c>
      <c r="C113" t="inlineStr">
        <is>
          <t>Oncology</t>
        </is>
      </c>
      <c r="D113" t="inlineStr">
        <is>
          <t>Medicaments for retail sale (formulations)</t>
        </is>
      </c>
      <c r="E113" s="3" t="n">
        <v>0.13</v>
      </c>
      <c r="F113" s="3" t="n">
        <v>0.16</v>
      </c>
      <c r="G113" s="4">
        <f>IF(E113=0,"",F113/E113-1)</f>
        <v/>
      </c>
    </row>
    <row r="114">
      <c r="A114" t="inlineStr">
        <is>
          <t>30025900</t>
        </is>
      </c>
      <c r="B114" t="inlineStr">
        <is>
          <t>OTHERS-OF-OTHERS-OF-HUMN,ANML,BLD FR MDCNL USE; MDFD IMUNLGCL PRDT W/N_BITECH PRCS;VCCNS,TXNS,CLTR_MCRGNSM,ETHER SMLR P; CELL</t>
        </is>
      </c>
      <c r="C114" t="inlineStr">
        <is>
          <t>Vaccines &amp; biologicals</t>
        </is>
      </c>
      <c r="D114" t="inlineStr">
        <is>
          <t>Vaccines, blood &amp; immunological products</t>
        </is>
      </c>
      <c r="E114" s="3" t="n">
        <v>0</v>
      </c>
      <c r="F114" s="3" t="n">
        <v>0.14</v>
      </c>
      <c r="G114" s="4">
        <f>IF(E114=0,"",F114/E114-1)</f>
        <v/>
      </c>
    </row>
    <row r="115">
      <c r="A115" t="inlineStr">
        <is>
          <t>30039011</t>
        </is>
      </c>
      <c r="B115" t="inlineStr">
        <is>
          <t>MEDICANTS OF AYURVEDIC SYSTEM</t>
        </is>
      </c>
      <c r="C115" t="inlineStr">
        <is>
          <t>Bulk medicaments</t>
        </is>
      </c>
      <c r="D115" t="inlineStr">
        <is>
          <t>Medicaments in bulk (not retail)</t>
        </is>
      </c>
      <c r="E115" s="3" t="n">
        <v>0.33</v>
      </c>
      <c r="F115" s="3" t="n">
        <v>0.14</v>
      </c>
      <c r="G115" s="4">
        <f>IF(E115=0,"",F115/E115-1)</f>
        <v/>
      </c>
    </row>
    <row r="116">
      <c r="A116" t="inlineStr">
        <is>
          <t>30049024</t>
        </is>
      </c>
      <c r="B116" t="inlineStr">
        <is>
          <t>SECNIDAZOLE</t>
        </is>
      </c>
      <c r="C116" t="inlineStr">
        <is>
          <t>Anti-infectives</t>
        </is>
      </c>
      <c r="D116" t="inlineStr">
        <is>
          <t>Medicaments for retail sale (formulations)</t>
        </is>
      </c>
      <c r="E116" s="3" t="n">
        <v>0.18</v>
      </c>
      <c r="F116" s="3" t="n">
        <v>0.13</v>
      </c>
      <c r="G116" s="4">
        <f>IF(E116=0,"",F116/E116-1)</f>
        <v/>
      </c>
    </row>
    <row r="117">
      <c r="A117" t="inlineStr">
        <is>
          <t>30049081</t>
        </is>
      </c>
      <c r="B117" t="inlineStr">
        <is>
          <t>PHENOBARBITONE,MEPHOBARBITONE,PRIMIDONE, PHENYTOIN,CARBAMAZPIN,ETHOSUCIMID, VALPORICACID ,DIAZEPA,LAMOTRIGIN,GAB</t>
        </is>
      </c>
      <c r="C117" t="inlineStr">
        <is>
          <t>Nervous system</t>
        </is>
      </c>
      <c r="D117" t="inlineStr">
        <is>
          <t>Medicaments for retail sale (formulations)</t>
        </is>
      </c>
      <c r="E117" s="3" t="n">
        <v>0.02</v>
      </c>
      <c r="F117" s="3" t="n">
        <v>0.13</v>
      </c>
      <c r="G117" s="4">
        <f>IF(E117=0,"",F117/E117-1)</f>
        <v/>
      </c>
    </row>
    <row r="118">
      <c r="A118" t="inlineStr">
        <is>
          <t>30042061</t>
        </is>
      </c>
      <c r="B118" t="inlineStr">
        <is>
          <t>ERYTHROMYCIN IN CAPSULES,INJECTIONS, OINTMENTS ETC.</t>
        </is>
      </c>
      <c r="C118" t="inlineStr">
        <is>
          <t>Anti-infectives</t>
        </is>
      </c>
      <c r="D118" t="inlineStr">
        <is>
          <t>Medicaments for retail sale (formulations)</t>
        </is>
      </c>
      <c r="E118" s="3" t="n">
        <v>0.11</v>
      </c>
      <c r="F118" s="3" t="n">
        <v>0.12</v>
      </c>
      <c r="G118" s="4">
        <f>IF(E118=0,"",F118/E118-1)</f>
        <v/>
      </c>
    </row>
    <row r="119">
      <c r="A119" t="inlineStr">
        <is>
          <t>30049021</t>
        </is>
      </c>
      <c r="B119" t="inlineStr">
        <is>
          <t>ANTHELMINTICS AND PREPARATIONS THEREOF</t>
        </is>
      </c>
      <c r="C119" t="inlineStr">
        <is>
          <t>Anti-infectives</t>
        </is>
      </c>
      <c r="D119" t="inlineStr">
        <is>
          <t>Medicaments for retail sale (formulations)</t>
        </is>
      </c>
      <c r="E119" s="3" t="n">
        <v>0.12</v>
      </c>
      <c r="F119" s="3" t="n">
        <v>0.12</v>
      </c>
      <c r="G119" s="4">
        <f>IF(E119=0,"",F119/E119-1)</f>
        <v/>
      </c>
    </row>
    <row r="120">
      <c r="A120" t="inlineStr">
        <is>
          <t>30049042</t>
        </is>
      </c>
      <c r="B120" t="inlineStr">
        <is>
          <t>METHOTREXATE, 5-FLUOROURACIL(5-FU) AND FTORAFUR</t>
        </is>
      </c>
      <c r="C120" t="inlineStr">
        <is>
          <t>Oncology</t>
        </is>
      </c>
      <c r="D120" t="inlineStr">
        <is>
          <t>Medicaments for retail sale (formulations)</t>
        </is>
      </c>
      <c r="E120" s="3" t="n">
        <v>0.23</v>
      </c>
      <c r="F120" s="3" t="n">
        <v>0.12</v>
      </c>
      <c r="G120" s="4">
        <f>IF(E120=0,"",F120/E120-1)</f>
        <v/>
      </c>
    </row>
    <row r="121">
      <c r="A121" t="inlineStr">
        <is>
          <t>30046000</t>
        </is>
      </c>
      <c r="B121" t="inlineStr">
        <is>
          <t>OTHER, CONTAINING ANTIMALARIAL ACTIVE PRINCIPLES DESCRIBED IN SUBHEADING NOTE 2 OF CHAPTER 30</t>
        </is>
      </c>
      <c r="C121" t="inlineStr">
        <is>
          <t>Anti-infectives</t>
        </is>
      </c>
      <c r="D121" t="inlineStr">
        <is>
          <t>Medicaments for retail sale (formulations)</t>
        </is>
      </c>
      <c r="E121" s="3" t="n">
        <v>0</v>
      </c>
      <c r="F121" s="3" t="n">
        <v>0.1</v>
      </c>
      <c r="G121" s="4">
        <f>IF(E121=0,"",F121/E121-1)</f>
        <v/>
      </c>
    </row>
    <row r="122">
      <c r="A122" t="inlineStr">
        <is>
          <t>30049057</t>
        </is>
      </c>
      <c r="B122" t="inlineStr">
        <is>
          <t>OTHER ANTITUBERCULAR DRUGS</t>
        </is>
      </c>
      <c r="C122" t="inlineStr">
        <is>
          <t>Anti-infectives</t>
        </is>
      </c>
      <c r="D122" t="inlineStr">
        <is>
          <t>Medicaments for retail sale (formulations)</t>
        </is>
      </c>
      <c r="E122" s="3" t="n">
        <v>0.18</v>
      </c>
      <c r="F122" s="3" t="n">
        <v>0.1</v>
      </c>
      <c r="G122" s="4">
        <f>IF(E122=0,"",F122/E122-1)</f>
        <v/>
      </c>
    </row>
    <row r="123">
      <c r="A123" t="inlineStr">
        <is>
          <t>30049094</t>
        </is>
      </c>
      <c r="B123" t="inlineStr">
        <is>
          <t>THEOPHYLLINE, AMINOPHYLLINE AND OTHER BRONCHO DILATORS</t>
        </is>
      </c>
      <c r="C123" t="inlineStr">
        <is>
          <t>Respiratory</t>
        </is>
      </c>
      <c r="D123" t="inlineStr">
        <is>
          <t>Medicaments for retail sale (formulations)</t>
        </is>
      </c>
      <c r="E123" s="3" t="n">
        <v>0.14</v>
      </c>
      <c r="F123" s="3" t="n">
        <v>0.1</v>
      </c>
      <c r="G123" s="4">
        <f>IF(E123=0,"",F123/E123-1)</f>
        <v/>
      </c>
    </row>
    <row r="124">
      <c r="A124" t="inlineStr">
        <is>
          <t>30024115</t>
        </is>
      </c>
      <c r="B124" t="inlineStr">
        <is>
          <t>TUBERCULOSIS (SINGLE VACCINES FOR)</t>
        </is>
      </c>
      <c r="C124" t="inlineStr">
        <is>
          <t>Vaccines &amp; biologicals</t>
        </is>
      </c>
      <c r="D124" t="inlineStr">
        <is>
          <t>Vaccines, blood &amp; immunological products</t>
        </is>
      </c>
      <c r="E124" s="3" t="n">
        <v>0.58</v>
      </c>
      <c r="F124" s="3" t="n">
        <v>0.09</v>
      </c>
      <c r="G124" s="4">
        <f>IF(E124=0,"",F124/E124-1)</f>
        <v/>
      </c>
    </row>
    <row r="125">
      <c r="A125" t="inlineStr">
        <is>
          <t>30042013</t>
        </is>
      </c>
      <c r="B125" t="inlineStr">
        <is>
          <t>CIPROFLOXACINE- IN CAPSUL,TBLTS FORM ETC</t>
        </is>
      </c>
      <c r="C125" t="inlineStr">
        <is>
          <t>Anti-infectives</t>
        </is>
      </c>
      <c r="D125" t="inlineStr">
        <is>
          <t>Medicaments for retail sale (formulations)</t>
        </is>
      </c>
      <c r="E125" s="3" t="n">
        <v>0.1</v>
      </c>
      <c r="F125" s="3" t="n">
        <v>0.09</v>
      </c>
      <c r="G125" s="4">
        <f>IF(E125=0,"",F125/E125-1)</f>
        <v/>
      </c>
    </row>
    <row r="126">
      <c r="A126" t="inlineStr">
        <is>
          <t>30059060</t>
        </is>
      </c>
      <c r="B126" t="inlineStr">
        <is>
          <t>MICRO PORES SURGICAL TAPES</t>
        </is>
      </c>
      <c r="C126" t="inlineStr">
        <is>
          <t>Dressings, kits &amp; other</t>
        </is>
      </c>
      <c r="D126" t="inlineStr">
        <is>
          <t>Dressings &amp; bandages</t>
        </is>
      </c>
      <c r="E126" s="3" t="n">
        <v>0.11</v>
      </c>
      <c r="F126" s="3" t="n">
        <v>0.09</v>
      </c>
      <c r="G126" s="4">
        <f>IF(E126=0,"",F126/E126-1)</f>
        <v/>
      </c>
    </row>
    <row r="127">
      <c r="A127" t="inlineStr">
        <is>
          <t>30043911</t>
        </is>
      </c>
      <c r="B127" t="inlineStr">
        <is>
          <t>PITUITARY HORMONES</t>
        </is>
      </c>
      <c r="C127" t="inlineStr">
        <is>
          <t>Hormones &amp; insulin</t>
        </is>
      </c>
      <c r="D127" t="inlineStr">
        <is>
          <t>Medicaments for retail sale (formulations)</t>
        </is>
      </c>
      <c r="E127" s="3" t="n">
        <v>0.19</v>
      </c>
      <c r="F127" s="3" t="n">
        <v>0.08</v>
      </c>
      <c r="G127" s="4">
        <f>IF(E127=0,"",F127/E127-1)</f>
        <v/>
      </c>
    </row>
    <row r="128">
      <c r="A128" t="inlineStr">
        <is>
          <t>30043912</t>
        </is>
      </c>
      <c r="B128" t="inlineStr">
        <is>
          <t>PREDNISOLONE</t>
        </is>
      </c>
      <c r="C128" t="inlineStr">
        <is>
          <t>Hormones &amp; insulin</t>
        </is>
      </c>
      <c r="D128" t="inlineStr">
        <is>
          <t>Medicaments for retail sale (formulations)</t>
        </is>
      </c>
      <c r="E128" s="3" t="n">
        <v>0.1</v>
      </c>
      <c r="F128" s="3" t="n">
        <v>0.08</v>
      </c>
      <c r="G128" s="4">
        <f>IF(E128=0,"",F128/E128-1)</f>
        <v/>
      </c>
    </row>
    <row r="129">
      <c r="A129" t="inlineStr">
        <is>
          <t>30049074</t>
        </is>
      </c>
      <c r="B129" t="inlineStr">
        <is>
          <t>PROPRANOLOL, METOPROLOL, ATENOLOL AND LABETALOL</t>
        </is>
      </c>
      <c r="C129" t="inlineStr">
        <is>
          <t>Cardiovascular</t>
        </is>
      </c>
      <c r="D129" t="inlineStr">
        <is>
          <t>Medicaments for retail sale (formulations)</t>
        </is>
      </c>
      <c r="E129" s="3" t="n">
        <v>0.04</v>
      </c>
      <c r="F129" s="3" t="n">
        <v>0.08</v>
      </c>
      <c r="G129" s="4">
        <f>IF(E129=0,"",F129/E129-1)</f>
        <v/>
      </c>
    </row>
    <row r="130">
      <c r="A130" t="inlineStr">
        <is>
          <t>30049093</t>
        </is>
      </c>
      <c r="B130" t="inlineStr">
        <is>
          <t>CHLOROPHENIRAMINE MALEATE, WITH OR WITHOUTOTHER COMPOUNDS (EXCL. STERIODSAND ALKALOIDS)</t>
        </is>
      </c>
      <c r="C130" t="inlineStr">
        <is>
          <t>Respiratory</t>
        </is>
      </c>
      <c r="D130" t="inlineStr">
        <is>
          <t>Medicaments for retail sale (formulations)</t>
        </is>
      </c>
      <c r="E130" s="3" t="n">
        <v>0.03</v>
      </c>
      <c r="F130" s="3" t="n">
        <v>0.08</v>
      </c>
      <c r="G130" s="4">
        <f>IF(E130=0,"",F130/E130-1)</f>
        <v/>
      </c>
    </row>
    <row r="131">
      <c r="A131" t="inlineStr">
        <is>
          <t>30059010</t>
        </is>
      </c>
      <c r="B131" t="inlineStr">
        <is>
          <t>COTTON WOOL MEDICATED</t>
        </is>
      </c>
      <c r="C131" t="inlineStr">
        <is>
          <t>Dressings, kits &amp; other</t>
        </is>
      </c>
      <c r="D131" t="inlineStr">
        <is>
          <t>Dressings &amp; bandages</t>
        </is>
      </c>
      <c r="E131" s="3" t="n">
        <v>0.01</v>
      </c>
      <c r="F131" s="3" t="n">
        <v>0.08</v>
      </c>
      <c r="G131" s="4">
        <f>IF(E131=0,"",F131/E131-1)</f>
        <v/>
      </c>
    </row>
    <row r="132">
      <c r="A132" t="inlineStr">
        <is>
          <t>30066020</t>
        </is>
      </c>
      <c r="B132" t="inlineStr">
        <is>
          <t>CONTRCEPTIV BASE ON OTHR PROD.OF HDNG 2937</t>
        </is>
      </c>
      <c r="C132" t="inlineStr">
        <is>
          <t>Dressings, kits &amp; other</t>
        </is>
      </c>
      <c r="D132" t="inlineStr">
        <is>
          <t>Other pharma goods (kits, sutures, etc.)</t>
        </is>
      </c>
      <c r="E132" s="3" t="n">
        <v>0.07000000000000001</v>
      </c>
      <c r="F132" s="3" t="n">
        <v>0.08</v>
      </c>
      <c r="G132" s="4">
        <f>IF(E132=0,"",F132/E132-1)</f>
        <v/>
      </c>
    </row>
    <row r="133">
      <c r="A133" t="inlineStr">
        <is>
          <t>30021210</t>
        </is>
      </c>
      <c r="B133" t="inlineStr">
        <is>
          <t>FOR DIPHTHERIA</t>
        </is>
      </c>
      <c r="C133" t="inlineStr">
        <is>
          <t>Vaccines &amp; biologicals</t>
        </is>
      </c>
      <c r="D133" t="inlineStr">
        <is>
          <t>Vaccines, blood &amp; immunological products</t>
        </is>
      </c>
      <c r="E133" s="3" t="n">
        <v>0</v>
      </c>
      <c r="F133" s="3" t="n">
        <v>0.07000000000000001</v>
      </c>
      <c r="G133" s="4">
        <f>IF(E133=0,"",F133/E133-1)</f>
        <v/>
      </c>
    </row>
    <row r="134">
      <c r="A134" t="inlineStr">
        <is>
          <t>30039021</t>
        </is>
      </c>
      <c r="B134" t="inlineStr">
        <is>
          <t>MENTHOL CRYSTAL</t>
        </is>
      </c>
      <c r="C134" t="inlineStr">
        <is>
          <t>Bulk medicaments</t>
        </is>
      </c>
      <c r="D134" t="inlineStr">
        <is>
          <t>Medicaments in bulk (not retail)</t>
        </is>
      </c>
      <c r="E134" s="3" t="n">
        <v>0</v>
      </c>
      <c r="F134" s="3" t="n">
        <v>0.07000000000000001</v>
      </c>
      <c r="G134" s="4">
        <f>IF(E134=0,"",F134/E134-1)</f>
        <v/>
      </c>
    </row>
    <row r="135">
      <c r="A135" t="inlineStr">
        <is>
          <t>30041060</t>
        </is>
      </c>
      <c r="B135" t="inlineStr">
        <is>
          <t>AMCLOS IN CAPSULES INJECTIONS ETC.</t>
        </is>
      </c>
      <c r="C135" t="inlineStr">
        <is>
          <t>Anti-infectives</t>
        </is>
      </c>
      <c r="D135" t="inlineStr">
        <is>
          <t>Medicaments for retail sale (formulations)</t>
        </is>
      </c>
      <c r="E135" s="3" t="n">
        <v>0.03</v>
      </c>
      <c r="F135" s="3" t="n">
        <v>0.07000000000000001</v>
      </c>
      <c r="G135" s="4">
        <f>IF(E135=0,"",F135/E135-1)</f>
        <v/>
      </c>
    </row>
    <row r="136">
      <c r="A136" t="inlineStr">
        <is>
          <t>30042069</t>
        </is>
      </c>
      <c r="B136" t="inlineStr">
        <is>
          <t>OTHER MACROLIDE</t>
        </is>
      </c>
      <c r="C136" t="inlineStr">
        <is>
          <t>Anti-infectives</t>
        </is>
      </c>
      <c r="D136" t="inlineStr">
        <is>
          <t>Medicaments for retail sale (formulations)</t>
        </is>
      </c>
      <c r="E136" s="3" t="n">
        <v>0.15</v>
      </c>
      <c r="F136" s="3" t="n">
        <v>0.07000000000000001</v>
      </c>
      <c r="G136" s="4">
        <f>IF(E136=0,"",F136/E136-1)</f>
        <v/>
      </c>
    </row>
    <row r="137">
      <c r="A137" t="inlineStr">
        <is>
          <t>30045031</t>
        </is>
      </c>
      <c r="B137" t="inlineStr">
        <is>
          <t>TABLETS,CAPSULES,SYRUP ETC OF VITAMIN A INCLD) EXCEPT SALVES OINIMNTS AND VACCINES</t>
        </is>
      </c>
      <c r="C137" t="inlineStr">
        <is>
          <t>Vitamins &amp; nutrition</t>
        </is>
      </c>
      <c r="D137" t="inlineStr">
        <is>
          <t>Medicaments for retail sale (formulations)</t>
        </is>
      </c>
      <c r="E137" s="3" t="n">
        <v>0.3</v>
      </c>
      <c r="F137" s="3" t="n">
        <v>0.07000000000000001</v>
      </c>
      <c r="G137" s="4">
        <f>IF(E137=0,"",F137/E137-1)</f>
        <v/>
      </c>
    </row>
    <row r="138">
      <c r="A138" t="inlineStr">
        <is>
          <t>30049062</t>
        </is>
      </c>
      <c r="B138" t="inlineStr">
        <is>
          <t>ACETYL SALICYLIC ACID (ASPIRIN) AND FORMULATIONS THEREOF</t>
        </is>
      </c>
      <c r="C138" t="inlineStr">
        <is>
          <t>Pain &amp; inflammation</t>
        </is>
      </c>
      <c r="D138" t="inlineStr">
        <is>
          <t>Medicaments for retail sale (formulations)</t>
        </is>
      </c>
      <c r="E138" s="3" t="n">
        <v>0</v>
      </c>
      <c r="F138" s="3" t="n">
        <v>0.07000000000000001</v>
      </c>
      <c r="G138" s="4">
        <f>IF(E138=0,"",F138/E138-1)</f>
        <v/>
      </c>
    </row>
    <row r="139">
      <c r="A139" t="inlineStr">
        <is>
          <t>30049043</t>
        </is>
      </c>
      <c r="B139" t="inlineStr">
        <is>
          <t>BINCRISTINE AND VINBLASTINE</t>
        </is>
      </c>
      <c r="C139" t="inlineStr">
        <is>
          <t>Oncology</t>
        </is>
      </c>
      <c r="D139" t="inlineStr">
        <is>
          <t>Medicaments for retail sale (formulations)</t>
        </is>
      </c>
      <c r="E139" s="3" t="n">
        <v>0</v>
      </c>
      <c r="F139" s="3" t="n">
        <v>0.06</v>
      </c>
      <c r="G139" s="4">
        <f>IF(E139=0,"",F139/E139-1)</f>
        <v/>
      </c>
    </row>
    <row r="140">
      <c r="A140" t="inlineStr">
        <is>
          <t>30049052</t>
        </is>
      </c>
      <c r="B140" t="inlineStr">
        <is>
          <t>RIFAMPICIN</t>
        </is>
      </c>
      <c r="C140" t="inlineStr">
        <is>
          <t>Anti-infectives</t>
        </is>
      </c>
      <c r="D140" t="inlineStr">
        <is>
          <t>Medicaments for retail sale (formulations)</t>
        </is>
      </c>
      <c r="E140" s="3" t="n">
        <v>0.04</v>
      </c>
      <c r="F140" s="3" t="n">
        <v>0.06</v>
      </c>
      <c r="G140" s="4">
        <f>IF(E140=0,"",F140/E140-1)</f>
        <v/>
      </c>
    </row>
    <row r="141">
      <c r="A141" t="inlineStr">
        <is>
          <t>30021240</t>
        </is>
      </c>
      <c r="B141" t="inlineStr">
        <is>
          <t>FOR SNAKE VENOM</t>
        </is>
      </c>
      <c r="C141" t="inlineStr">
        <is>
          <t>Vaccines &amp; biologicals</t>
        </is>
      </c>
      <c r="D141" t="inlineStr">
        <is>
          <t>Vaccines, blood &amp; immunological products</t>
        </is>
      </c>
      <c r="E141" s="3" t="n">
        <v>0</v>
      </c>
      <c r="F141" s="3" t="n">
        <v>0.04</v>
      </c>
      <c r="G141" s="4">
        <f>IF(E141=0,"",F141/E141-1)</f>
        <v/>
      </c>
    </row>
    <row r="142">
      <c r="A142" t="inlineStr">
        <is>
          <t>30024113</t>
        </is>
      </c>
      <c r="B142" t="inlineStr">
        <is>
          <t>TETATUS (SINGLE VACCINES FOR)</t>
        </is>
      </c>
      <c r="C142" t="inlineStr">
        <is>
          <t>Vaccines &amp; biologicals</t>
        </is>
      </c>
      <c r="D142" t="inlineStr">
        <is>
          <t>Vaccines, blood &amp; immunological products</t>
        </is>
      </c>
      <c r="E142" s="3" t="n">
        <v>0.19</v>
      </c>
      <c r="F142" s="3" t="n">
        <v>0.04</v>
      </c>
      <c r="G142" s="4">
        <f>IF(E142=0,"",F142/E142-1)</f>
        <v/>
      </c>
    </row>
    <row r="143">
      <c r="A143" t="inlineStr">
        <is>
          <t>30024123</t>
        </is>
      </c>
      <c r="B143" t="inlineStr">
        <is>
          <t>MEASLES, MUMPS AND RUBELLA (MMR)</t>
        </is>
      </c>
      <c r="C143" t="inlineStr">
        <is>
          <t>Vaccines &amp; biologicals</t>
        </is>
      </c>
      <c r="D143" t="inlineStr">
        <is>
          <t>Vaccines, blood &amp; immunological products</t>
        </is>
      </c>
      <c r="E143" s="3" t="n">
        <v>0.06</v>
      </c>
      <c r="F143" s="3" t="n">
        <v>0.04</v>
      </c>
      <c r="G143" s="4">
        <f>IF(E143=0,"",F143/E143-1)</f>
        <v/>
      </c>
    </row>
    <row r="144">
      <c r="A144" t="inlineStr">
        <is>
          <t>30042034</t>
        </is>
      </c>
      <c r="B144" t="inlineStr">
        <is>
          <t>OFLOXACIN</t>
        </is>
      </c>
      <c r="C144" t="inlineStr">
        <is>
          <t>Anti-infectives</t>
        </is>
      </c>
      <c r="D144" t="inlineStr">
        <is>
          <t>Medicaments for retail sale (formulations)</t>
        </is>
      </c>
      <c r="E144" s="3" t="n">
        <v>0.17</v>
      </c>
      <c r="F144" s="3" t="n">
        <v>0.04</v>
      </c>
      <c r="G144" s="4">
        <f>IF(E144=0,"",F144/E144-1)</f>
        <v/>
      </c>
    </row>
    <row r="145">
      <c r="A145" t="inlineStr">
        <is>
          <t>30049064</t>
        </is>
      </c>
      <c r="B145" t="inlineStr">
        <is>
          <t>OXYPHEN BUTAZONE, PHENYL BUTAZONE AND FORMULATIONS THEREOF</t>
        </is>
      </c>
      <c r="C145" t="inlineStr">
        <is>
          <t>Pain &amp; inflammation</t>
        </is>
      </c>
      <c r="D145" t="inlineStr">
        <is>
          <t>Medicaments for retail sale (formulations)</t>
        </is>
      </c>
      <c r="E145" s="3" t="n">
        <v>0</v>
      </c>
      <c r="F145" s="3" t="n">
        <v>0.04</v>
      </c>
      <c r="G145" s="4">
        <f>IF(E145=0,"",F145/E145-1)</f>
        <v/>
      </c>
    </row>
    <row r="146">
      <c r="A146" t="inlineStr">
        <is>
          <t>30049089</t>
        </is>
      </c>
      <c r="B146" t="inlineStr">
        <is>
          <t>TRANQUILIZERS</t>
        </is>
      </c>
      <c r="C146" t="inlineStr">
        <is>
          <t>Nervous system</t>
        </is>
      </c>
      <c r="D146" t="inlineStr">
        <is>
          <t>Medicaments for retail sale (formulations)</t>
        </is>
      </c>
      <c r="E146" s="3" t="n">
        <v>0.06</v>
      </c>
      <c r="F146" s="3" t="n">
        <v>0.04</v>
      </c>
      <c r="G146" s="4">
        <f>IF(E146=0,"",F146/E146-1)</f>
        <v/>
      </c>
    </row>
    <row r="147">
      <c r="A147" t="inlineStr">
        <is>
          <t>30069100</t>
        </is>
      </c>
      <c r="B147" t="inlineStr">
        <is>
          <t>APPLIANCES IDENTIFIABLE FOR OSTOMY USE</t>
        </is>
      </c>
      <c r="C147" t="inlineStr">
        <is>
          <t>Dressings, kits &amp; other</t>
        </is>
      </c>
      <c r="D147" t="inlineStr">
        <is>
          <t>Other pharma goods (kits, sutures, etc.)</t>
        </is>
      </c>
      <c r="E147" s="3" t="n">
        <v>0</v>
      </c>
      <c r="F147" s="3" t="n">
        <v>0.04</v>
      </c>
      <c r="G147" s="4">
        <f>IF(E147=0,"",F147/E147-1)</f>
        <v/>
      </c>
    </row>
    <row r="148">
      <c r="A148" t="inlineStr">
        <is>
          <t>30012090</t>
        </is>
      </c>
      <c r="B148" t="inlineStr">
        <is>
          <t>OTHR EXTRACTS OF GLANDS OR OTHR ORGANS OR OF THEIR SECRETIONS</t>
        </is>
      </c>
      <c r="C148" t="inlineStr">
        <is>
          <t>Dressings, kits &amp; other</t>
        </is>
      </c>
      <c r="D148" t="inlineStr">
        <is>
          <t>Glands &amp; organ extracts</t>
        </is>
      </c>
      <c r="E148" s="3" t="n">
        <v>0.03</v>
      </c>
      <c r="F148" s="3" t="n">
        <v>0.03</v>
      </c>
      <c r="G148" s="4">
        <f>IF(E148=0,"",F148/E148-1)</f>
        <v/>
      </c>
    </row>
    <row r="149">
      <c r="A149" t="inlineStr">
        <is>
          <t>30021300</t>
        </is>
      </c>
      <c r="B149" t="inlineStr">
        <is>
          <t>IMMUNOLOGICAL PRODUCTS, UNMIXED, NOT PUT UP IN MEASURED DOSES OR IN FORMS OR PACKINGS FOR RETAIL SALE</t>
        </is>
      </c>
      <c r="C149" t="inlineStr">
        <is>
          <t>Vaccines &amp; biologicals</t>
        </is>
      </c>
      <c r="D149" t="inlineStr">
        <is>
          <t>Vaccines, blood &amp; immunological products</t>
        </is>
      </c>
      <c r="E149" s="3" t="n">
        <v>0</v>
      </c>
      <c r="F149" s="3" t="n">
        <v>0.03</v>
      </c>
      <c r="G149" s="4">
        <f>IF(E149=0,"",F149/E149-1)</f>
        <v/>
      </c>
    </row>
    <row r="150">
      <c r="A150" t="inlineStr">
        <is>
          <t>30024121</t>
        </is>
      </c>
      <c r="B150" t="inlineStr">
        <is>
          <t>DIPHTHERIA, PERTUSSIS AND TETATUS (DPT)</t>
        </is>
      </c>
      <c r="C150" t="inlineStr">
        <is>
          <t>Vaccines &amp; biologicals</t>
        </is>
      </c>
      <c r="D150" t="inlineStr">
        <is>
          <t>Vaccines, blood &amp; immunological products</t>
        </is>
      </c>
      <c r="E150" s="3" t="n">
        <v>0.12</v>
      </c>
      <c r="F150" s="3" t="n">
        <v>0.03</v>
      </c>
      <c r="G150" s="4">
        <f>IF(E150=0,"",F150/E150-1)</f>
        <v/>
      </c>
    </row>
    <row r="151">
      <c r="A151" t="inlineStr">
        <is>
          <t>30041020</t>
        </is>
      </c>
      <c r="B151" t="inlineStr">
        <is>
          <t>AMPICILLINE IN CAPSULES, INJECTIONS ETC.</t>
        </is>
      </c>
      <c r="C151" t="inlineStr">
        <is>
          <t>Anti-infectives</t>
        </is>
      </c>
      <c r="D151" t="inlineStr">
        <is>
          <t>Medicaments for retail sale (formulations)</t>
        </is>
      </c>
      <c r="E151" s="3" t="n">
        <v>0</v>
      </c>
      <c r="F151" s="3" t="n">
        <v>0.03</v>
      </c>
      <c r="G151" s="4">
        <f>IF(E151=0,"",F151/E151-1)</f>
        <v/>
      </c>
    </row>
    <row r="152">
      <c r="A152" t="inlineStr">
        <is>
          <t>30049041</t>
        </is>
      </c>
      <c r="B152" t="inlineStr">
        <is>
          <t>CYCLOPHOSPHAMIDE</t>
        </is>
      </c>
      <c r="C152" t="inlineStr">
        <is>
          <t>Oncology</t>
        </is>
      </c>
      <c r="D152" t="inlineStr">
        <is>
          <t>Medicaments for retail sale (formulations)</t>
        </is>
      </c>
      <c r="E152" s="3" t="n">
        <v>0</v>
      </c>
      <c r="F152" s="3" t="n">
        <v>0.03</v>
      </c>
      <c r="G152" s="4">
        <f>IF(E152=0,"",F152/E152-1)</f>
        <v/>
      </c>
    </row>
    <row r="153">
      <c r="A153" t="inlineStr">
        <is>
          <t>30049051</t>
        </is>
      </c>
      <c r="B153" t="inlineStr">
        <is>
          <t>ISONIAZID</t>
        </is>
      </c>
      <c r="C153" t="inlineStr">
        <is>
          <t>Anti-infectives</t>
        </is>
      </c>
      <c r="D153" t="inlineStr">
        <is>
          <t>Medicaments for retail sale (formulations)</t>
        </is>
      </c>
      <c r="E153" s="3" t="n">
        <v>0</v>
      </c>
      <c r="F153" s="3" t="n">
        <v>0.03</v>
      </c>
      <c r="G153" s="4">
        <f>IF(E153=0,"",F153/E153-1)</f>
        <v/>
      </c>
    </row>
    <row r="154">
      <c r="A154" t="inlineStr">
        <is>
          <t>30021230</t>
        </is>
      </c>
      <c r="B154" t="inlineStr">
        <is>
          <t>FOR RABIES</t>
        </is>
      </c>
      <c r="C154" t="inlineStr">
        <is>
          <t>Vaccines &amp; biologicals</t>
        </is>
      </c>
      <c r="D154" t="inlineStr">
        <is>
          <t>Vaccines, blood &amp; immunological products</t>
        </is>
      </c>
      <c r="E154" s="3" t="n">
        <v>0.03</v>
      </c>
      <c r="F154" s="3" t="n">
        <v>0.02</v>
      </c>
      <c r="G154" s="4">
        <f>IF(E154=0,"",F154/E154-1)</f>
        <v/>
      </c>
    </row>
    <row r="155">
      <c r="A155" t="inlineStr">
        <is>
          <t>30024990</t>
        </is>
      </c>
      <c r="B155" t="inlineStr">
        <is>
          <t>OTHERS-OF-OTHERS-OF-HUMN,ANML,BLD FR MDCNL USE; MDFD IMUNLGCL PRDT W/N_BITECH PRCS;VCCNS,TXNS,CLTR_MCRGNSM,ETHER SMLR P; CELL</t>
        </is>
      </c>
      <c r="C155" t="inlineStr">
        <is>
          <t>Vaccines &amp; biologicals</t>
        </is>
      </c>
      <c r="D155" t="inlineStr">
        <is>
          <t>Vaccines, blood &amp; immunological products</t>
        </is>
      </c>
      <c r="E155" s="3" t="n">
        <v>0.01</v>
      </c>
      <c r="F155" s="3" t="n">
        <v>0.02</v>
      </c>
      <c r="G155" s="4">
        <f>IF(E155=0,"",F155/E155-1)</f>
        <v/>
      </c>
    </row>
    <row r="156">
      <c r="A156" t="inlineStr">
        <is>
          <t>30044910</t>
        </is>
      </c>
      <c r="B156" t="inlineStr">
        <is>
          <t>ATROPIN AND SALTS THEREOF</t>
        </is>
      </c>
      <c r="C156" t="inlineStr">
        <is>
          <t>Other formulations</t>
        </is>
      </c>
      <c r="D156" t="inlineStr">
        <is>
          <t>Medicaments for retail sale (formulations)</t>
        </is>
      </c>
      <c r="E156" s="3" t="n">
        <v>0.02</v>
      </c>
      <c r="F156" s="3" t="n">
        <v>0.02</v>
      </c>
      <c r="G156" s="4">
        <f>IF(E156=0,"",F156/E156-1)</f>
        <v/>
      </c>
    </row>
    <row r="157">
      <c r="A157" t="inlineStr">
        <is>
          <t>30049053</t>
        </is>
      </c>
      <c r="B157" t="inlineStr">
        <is>
          <t>PYRAZINAMIDE AND ETHAMBUTOL</t>
        </is>
      </c>
      <c r="C157" t="inlineStr">
        <is>
          <t>Anti-infectives</t>
        </is>
      </c>
      <c r="D157" t="inlineStr">
        <is>
          <t>Medicaments for retail sale (formulations)</t>
        </is>
      </c>
      <c r="E157" s="3" t="n">
        <v>0.02</v>
      </c>
      <c r="F157" s="3" t="n">
        <v>0.02</v>
      </c>
      <c r="G157" s="4">
        <f>IF(E157=0,"",F157/E157-1)</f>
        <v/>
      </c>
    </row>
    <row r="158">
      <c r="A158" t="inlineStr">
        <is>
          <t>30049092</t>
        </is>
      </c>
      <c r="B158" t="inlineStr">
        <is>
          <t>PLASMA EXPANDERS</t>
        </is>
      </c>
      <c r="C158" t="inlineStr">
        <is>
          <t>Other formulations</t>
        </is>
      </c>
      <c r="D158" t="inlineStr">
        <is>
          <t>Medicaments for retail sale (formulations)</t>
        </is>
      </c>
      <c r="E158" s="3" t="n">
        <v>0</v>
      </c>
      <c r="F158" s="3" t="n">
        <v>0.02</v>
      </c>
      <c r="G158" s="4">
        <f>IF(E158=0,"",F158/E158-1)</f>
        <v/>
      </c>
    </row>
    <row r="159">
      <c r="A159" t="inlineStr">
        <is>
          <t>30019010</t>
        </is>
      </c>
      <c r="B159" t="inlineStr">
        <is>
          <t>OTHR SUBSTNCE PREPRD FOR THRUPTIC /PROPHYLACTIC USE OF OF HUMAN ORIGIN</t>
        </is>
      </c>
      <c r="C159" t="inlineStr">
        <is>
          <t>Dressings, kits &amp; other</t>
        </is>
      </c>
      <c r="D159" t="inlineStr">
        <is>
          <t>Glands &amp; organ extracts</t>
        </is>
      </c>
      <c r="E159" s="3" t="n">
        <v>0</v>
      </c>
      <c r="F159" s="3" t="n">
        <v>0.01</v>
      </c>
      <c r="G159" s="4">
        <f>IF(E159=0,"",F159/E159-1)</f>
        <v/>
      </c>
    </row>
    <row r="160">
      <c r="A160" t="inlineStr">
        <is>
          <t>30041010</t>
        </is>
      </c>
      <c r="B160" t="inlineStr">
        <is>
          <t>PENICILLIN IN CAPSULES, INJECTIONS ETC.</t>
        </is>
      </c>
      <c r="C160" t="inlineStr">
        <is>
          <t>Anti-infectives</t>
        </is>
      </c>
      <c r="D160" t="inlineStr">
        <is>
          <t>Medicaments for retail sale (formulations)</t>
        </is>
      </c>
      <c r="E160" s="3" t="n">
        <v>0.01</v>
      </c>
      <c r="F160" s="3" t="n">
        <v>0.01</v>
      </c>
      <c r="G160" s="4">
        <f>IF(E160=0,"",F160/E160-1)</f>
        <v/>
      </c>
    </row>
    <row r="161">
      <c r="A161" t="inlineStr">
        <is>
          <t>30042031</t>
        </is>
      </c>
      <c r="B161" t="inlineStr">
        <is>
          <t>NORFLOXACIN</t>
        </is>
      </c>
      <c r="C161" t="inlineStr">
        <is>
          <t>Anti-infectives</t>
        </is>
      </c>
      <c r="D161" t="inlineStr">
        <is>
          <t>Medicaments for retail sale (formulations)</t>
        </is>
      </c>
      <c r="E161" s="3" t="n">
        <v>0.01</v>
      </c>
      <c r="F161" s="3" t="n">
        <v>0.01</v>
      </c>
      <c r="G161" s="4">
        <f>IF(E161=0,"",F161/E161-1)</f>
        <v/>
      </c>
    </row>
    <row r="162">
      <c r="A162" t="inlineStr">
        <is>
          <t>30042092</t>
        </is>
      </c>
      <c r="B162" t="inlineStr">
        <is>
          <t>RIFAMPICIN</t>
        </is>
      </c>
      <c r="C162" t="inlineStr">
        <is>
          <t>Anti-infectives</t>
        </is>
      </c>
      <c r="D162" t="inlineStr">
        <is>
          <t>Medicaments for retail sale (formulations)</t>
        </is>
      </c>
      <c r="E162" s="3" t="n">
        <v>0</v>
      </c>
      <c r="F162" s="3" t="n">
        <v>0.01</v>
      </c>
      <c r="G162" s="4">
        <f>IF(E162=0,"",F162/E162-1)</f>
        <v/>
      </c>
    </row>
    <row r="163">
      <c r="A163" t="inlineStr">
        <is>
          <t>30043914</t>
        </is>
      </c>
      <c r="B163" t="inlineStr">
        <is>
          <t>DANAZOL</t>
        </is>
      </c>
      <c r="C163" t="inlineStr">
        <is>
          <t>Hormones &amp; insulin</t>
        </is>
      </c>
      <c r="D163" t="inlineStr">
        <is>
          <t>Medicaments for retail sale (formulations)</t>
        </is>
      </c>
      <c r="E163" s="3" t="n">
        <v>0</v>
      </c>
      <c r="F163" s="3" t="n">
        <v>0.01</v>
      </c>
      <c r="G163" s="4">
        <f>IF(E163=0,"",F163/E163-1)</f>
        <v/>
      </c>
    </row>
    <row r="164">
      <c r="A164" t="inlineStr">
        <is>
          <t>30049048</t>
        </is>
      </c>
      <c r="B164" t="inlineStr">
        <is>
          <t>TAMOXIFEN</t>
        </is>
      </c>
      <c r="C164" t="inlineStr">
        <is>
          <t>Oncology</t>
        </is>
      </c>
      <c r="D164" t="inlineStr">
        <is>
          <t>Medicaments for retail sale (formulations)</t>
        </is>
      </c>
      <c r="E164" s="3" t="n">
        <v>0</v>
      </c>
      <c r="F164" s="3" t="n">
        <v>0.01</v>
      </c>
      <c r="G164" s="4">
        <f>IF(E164=0,"",F164/E164-1)</f>
        <v/>
      </c>
    </row>
    <row r="165">
      <c r="A165" t="inlineStr">
        <is>
          <t>30049071</t>
        </is>
      </c>
      <c r="B165" t="inlineStr">
        <is>
          <t>CAPTOPRIL, ENALAPRIL, LISINOPRIL, PERINDOPRIL AND RAMIPRIL</t>
        </is>
      </c>
      <c r="C165" t="inlineStr">
        <is>
          <t>Cardiovascular</t>
        </is>
      </c>
      <c r="D165" t="inlineStr">
        <is>
          <t>Medicaments for retail sale (formulations)</t>
        </is>
      </c>
      <c r="E165" s="3" t="n">
        <v>0</v>
      </c>
      <c r="F165" s="3" t="n">
        <v>0.01</v>
      </c>
      <c r="G165" s="4">
        <f>IF(E165=0,"",F165/E165-1)</f>
        <v/>
      </c>
    </row>
    <row r="166">
      <c r="A166" t="inlineStr">
        <is>
          <t>30049075</t>
        </is>
      </c>
      <c r="B166" t="inlineStr">
        <is>
          <t>PRAZOSIN, TERAZOSIN, PHENTOLAMINE AND PHENOXYBENZAMINE</t>
        </is>
      </c>
      <c r="C166" t="inlineStr">
        <is>
          <t>Cardiovascular</t>
        </is>
      </c>
      <c r="D166" t="inlineStr">
        <is>
          <t>Medicaments for retail sale (formulations)</t>
        </is>
      </c>
      <c r="E166" s="3" t="n">
        <v>0.01</v>
      </c>
      <c r="F166" s="3" t="n">
        <v>0.01</v>
      </c>
      <c r="G166" s="4">
        <f>IF(E166=0,"",F166/E166-1)</f>
        <v/>
      </c>
    </row>
    <row r="167">
      <c r="A167" t="inlineStr">
        <is>
          <t>30049077</t>
        </is>
      </c>
      <c r="B167" t="inlineStr">
        <is>
          <t>HYDRALAZINE, MINOXIDIL AND DIAZOXIDE</t>
        </is>
      </c>
      <c r="C167" t="inlineStr">
        <is>
          <t>Cardiovascular</t>
        </is>
      </c>
      <c r="D167" t="inlineStr">
        <is>
          <t>Medicaments for retail sale (formulations)</t>
        </is>
      </c>
      <c r="E167" s="3" t="n">
        <v>0.01</v>
      </c>
      <c r="F167" s="3" t="n">
        <v>0.01</v>
      </c>
      <c r="G167" s="4">
        <f>IF(E167=0,"",F167/E167-1)</f>
        <v/>
      </c>
    </row>
    <row r="168">
      <c r="A168" t="inlineStr">
        <is>
          <t>30059050</t>
        </is>
      </c>
      <c r="B168" t="inlineStr">
        <is>
          <t>BURN THERAPY DRESSING SOAKED IN PROTECTIVEGEL</t>
        </is>
      </c>
      <c r="C168" t="inlineStr">
        <is>
          <t>Dressings, kits &amp; other</t>
        </is>
      </c>
      <c r="D168" t="inlineStr">
        <is>
          <t>Dressings &amp; bandages</t>
        </is>
      </c>
      <c r="E168" s="3" t="n">
        <v>0.16</v>
      </c>
      <c r="F168" s="3" t="n">
        <v>0.01</v>
      </c>
      <c r="G168" s="4">
        <f>IF(E168=0,"",F168/E168-1)</f>
        <v/>
      </c>
    </row>
    <row r="169">
      <c r="A169" t="inlineStr">
        <is>
          <t>30012010</t>
        </is>
      </c>
      <c r="B169" t="inlineStr">
        <is>
          <t>LIQUID EXTRACTS OF LIVER</t>
        </is>
      </c>
      <c r="C169" t="inlineStr">
        <is>
          <t>Dressings, kits &amp; other</t>
        </is>
      </c>
      <c r="D169" t="inlineStr">
        <is>
          <t>Glands &amp; organ extracts</t>
        </is>
      </c>
      <c r="E169" s="3" t="n">
        <v>0</v>
      </c>
      <c r="F169" s="3" t="n">
        <v>0</v>
      </c>
      <c r="G169" s="4">
        <f>IF(E169=0,"",F169/E169-1)</f>
        <v/>
      </c>
    </row>
    <row r="170">
      <c r="A170" t="inlineStr">
        <is>
          <t>30024114</t>
        </is>
      </c>
      <c r="B170" t="inlineStr">
        <is>
          <t>POLIO (SINGLE VACCINES FOR)</t>
        </is>
      </c>
      <c r="C170" t="inlineStr">
        <is>
          <t>Vaccines &amp; biologicals</t>
        </is>
      </c>
      <c r="D170" t="inlineStr">
        <is>
          <t>Vaccines, blood &amp; immunological products</t>
        </is>
      </c>
      <c r="E170" s="3" t="n">
        <v>0.01</v>
      </c>
      <c r="F170" s="3" t="n">
        <v>0</v>
      </c>
      <c r="G170" s="4">
        <f>IF(E170=0,"",F170/E170-1)</f>
        <v/>
      </c>
    </row>
    <row r="171">
      <c r="A171" t="inlineStr">
        <is>
          <t>30029010</t>
        </is>
      </c>
      <c r="B171" t="inlineStr">
        <is>
          <t>HUMAN BLOOD</t>
        </is>
      </c>
      <c r="C171" t="inlineStr">
        <is>
          <t>Vaccines &amp; biologicals</t>
        </is>
      </c>
      <c r="D171" t="inlineStr">
        <is>
          <t>Vaccines, blood &amp; immunological products</t>
        </is>
      </c>
      <c r="E171" s="3" t="n">
        <v>0.03</v>
      </c>
      <c r="F171" s="3" t="n">
        <v>0</v>
      </c>
      <c r="G171" s="4">
        <f>IF(E171=0,"",F171/E171-1)</f>
        <v/>
      </c>
    </row>
    <row r="172">
      <c r="A172" t="inlineStr">
        <is>
          <t>30029020</t>
        </is>
      </c>
      <c r="B172" t="inlineStr">
        <is>
          <t>ANIMAL BLOOD PREPARED FOR THERAPEUTIC, PROPHYLACTIC OR DIAGNOSTIC USES</t>
        </is>
      </c>
      <c r="C172" t="inlineStr">
        <is>
          <t>Vaccines &amp; biologicals</t>
        </is>
      </c>
      <c r="D172" t="inlineStr">
        <is>
          <t>Vaccines, blood &amp; immunological products</t>
        </is>
      </c>
      <c r="E172" s="3" t="n">
        <v>0.06</v>
      </c>
      <c r="F172" s="3" t="n">
        <v>0</v>
      </c>
      <c r="G172" s="4">
        <f>IF(E172=0,"",F172/E172-1)</f>
        <v/>
      </c>
    </row>
    <row r="173">
      <c r="A173" t="inlineStr">
        <is>
          <t>30032000</t>
        </is>
      </c>
      <c r="B173" t="inlineStr">
        <is>
          <t>OTHER, CONTAINING ANTIBIOTICS</t>
        </is>
      </c>
      <c r="C173" t="inlineStr">
        <is>
          <t>Bulk medicaments</t>
        </is>
      </c>
      <c r="D173" t="inlineStr">
        <is>
          <t>Medicaments in bulk (not retail)</t>
        </is>
      </c>
      <c r="E173" s="3" t="n">
        <v>0.01</v>
      </c>
      <c r="F173" s="3" t="n">
        <v>0</v>
      </c>
      <c r="G173" s="4">
        <f>IF(E173=0,"",F173/E173-1)</f>
        <v/>
      </c>
    </row>
    <row r="174">
      <c r="A174" t="inlineStr">
        <is>
          <t>30041070</t>
        </is>
      </c>
      <c r="B174" t="inlineStr">
        <is>
          <t>STRPTMYCN AND ITS SLTS IN CPSLS INJCTNS ETC</t>
        </is>
      </c>
      <c r="C174" t="inlineStr">
        <is>
          <t>Anti-infectives</t>
        </is>
      </c>
      <c r="D174" t="inlineStr">
        <is>
          <t>Medicaments for retail sale (formulations)</t>
        </is>
      </c>
      <c r="E174" s="3" t="n">
        <v>0</v>
      </c>
      <c r="F174" s="3" t="n">
        <v>0</v>
      </c>
      <c r="G174" s="4">
        <f>IF(E174=0,"",F174/E174-1)</f>
        <v/>
      </c>
    </row>
    <row r="175">
      <c r="A175" t="inlineStr">
        <is>
          <t>30042042</t>
        </is>
      </c>
      <c r="B175" t="inlineStr">
        <is>
          <t>OXYTETRACYCLINE</t>
        </is>
      </c>
      <c r="C175" t="inlineStr">
        <is>
          <t>Anti-infectives</t>
        </is>
      </c>
      <c r="D175" t="inlineStr">
        <is>
          <t>Medicaments for retail sale (formulations)</t>
        </is>
      </c>
      <c r="E175" s="3" t="n">
        <v>0</v>
      </c>
      <c r="F175" s="3" t="n">
        <v>0</v>
      </c>
      <c r="G175" s="4">
        <f>IF(E175=0,"",F175/E175-1)</f>
        <v/>
      </c>
    </row>
    <row r="176">
      <c r="A176" t="inlineStr">
        <is>
          <t>30042050</t>
        </is>
      </c>
      <c r="B176" t="inlineStr">
        <is>
          <t>CHLORMPHENICOL CAPSULES, INJECTIONS ETC.</t>
        </is>
      </c>
      <c r="C176" t="inlineStr">
        <is>
          <t>Anti-infectives</t>
        </is>
      </c>
      <c r="D176" t="inlineStr">
        <is>
          <t>Medicaments for retail sale (formulations)</t>
        </is>
      </c>
      <c r="E176" s="3" t="n">
        <v>0.02</v>
      </c>
      <c r="F176" s="3" t="n">
        <v>0</v>
      </c>
      <c r="G176" s="4">
        <f>IF(E176=0,"",F176/E176-1)</f>
        <v/>
      </c>
    </row>
    <row r="177">
      <c r="A177" t="inlineStr">
        <is>
          <t>30042093</t>
        </is>
      </c>
      <c r="B177" t="inlineStr">
        <is>
          <t>PYRAZINAMIDE</t>
        </is>
      </c>
      <c r="C177" t="inlineStr">
        <is>
          <t>Anti-infectives</t>
        </is>
      </c>
      <c r="D177" t="inlineStr">
        <is>
          <t>Medicaments for retail sale (formulations)</t>
        </is>
      </c>
      <c r="E177" s="3" t="n">
        <v>0</v>
      </c>
      <c r="F177" s="3" t="n">
        <v>0</v>
      </c>
      <c r="G177" s="4">
        <f>IF(E177=0,"",F177/E177-1)</f>
        <v/>
      </c>
    </row>
    <row r="178">
      <c r="A178" t="inlineStr">
        <is>
          <t>30043922</t>
        </is>
      </c>
      <c r="B178" t="inlineStr">
        <is>
          <t>LUTEINISING HORMONE</t>
        </is>
      </c>
      <c r="C178" t="inlineStr">
        <is>
          <t>Hormones &amp; insulin</t>
        </is>
      </c>
      <c r="D178" t="inlineStr">
        <is>
          <t>Medicaments for retail sale (formulations)</t>
        </is>
      </c>
      <c r="E178" s="3" t="n">
        <v>0.63</v>
      </c>
      <c r="F178" s="3" t="n">
        <v>0</v>
      </c>
      <c r="G178" s="4">
        <f>IF(E178=0,"",F178/E178-1)</f>
        <v/>
      </c>
    </row>
    <row r="179">
      <c r="A179" t="inlineStr">
        <is>
          <t>30044300</t>
        </is>
      </c>
      <c r="B179" t="inlineStr">
        <is>
          <t>CONTAINING NOREPHEDRINE OR ITS SALTS</t>
        </is>
      </c>
      <c r="C179" t="inlineStr">
        <is>
          <t>Other formulations</t>
        </is>
      </c>
      <c r="D179" t="inlineStr">
        <is>
          <t>Medicaments for retail sale (formulations)</t>
        </is>
      </c>
      <c r="E179" s="3" t="n">
        <v>0</v>
      </c>
      <c r="F179" s="3" t="n">
        <v>0</v>
      </c>
      <c r="G179" s="4">
        <f>IF(E179=0,"",F179/E179-1)</f>
        <v/>
      </c>
    </row>
    <row r="180">
      <c r="A180" t="inlineStr">
        <is>
          <t>30044920</t>
        </is>
      </c>
      <c r="B180" t="inlineStr">
        <is>
          <t>CAFFEIN AND SALTS THEREOF</t>
        </is>
      </c>
      <c r="C180" t="inlineStr">
        <is>
          <t>Other formulations</t>
        </is>
      </c>
      <c r="D180" t="inlineStr">
        <is>
          <t>Medicaments for retail sale (formulations)</t>
        </is>
      </c>
      <c r="E180" s="3" t="n">
        <v>0.24</v>
      </c>
      <c r="F180" s="3" t="n">
        <v>0</v>
      </c>
      <c r="G180" s="4">
        <f>IF(E180=0,"",F180/E180-1)</f>
        <v/>
      </c>
    </row>
    <row r="181">
      <c r="A181" t="inlineStr">
        <is>
          <t>30044930</t>
        </is>
      </c>
      <c r="B181" t="inlineStr">
        <is>
          <t>CODEINE AND DERIVATIVES, WITH OR WITHOUT EPHIDRINE HYDROCHLORIDE</t>
        </is>
      </c>
      <c r="C181" t="inlineStr">
        <is>
          <t>Other formulations</t>
        </is>
      </c>
      <c r="D181" t="inlineStr">
        <is>
          <t>Medicaments for retail sale (formulations)</t>
        </is>
      </c>
      <c r="E181" s="3" t="n">
        <v>0</v>
      </c>
      <c r="F181" s="3" t="n">
        <v>0</v>
      </c>
      <c r="G181" s="4">
        <f>IF(E181=0,"",F181/E181-1)</f>
        <v/>
      </c>
    </row>
    <row r="182">
      <c r="A182" t="inlineStr">
        <is>
          <t>30044950</t>
        </is>
      </c>
      <c r="B182" t="inlineStr">
        <is>
          <t>PAPAVARINE HYDROCHLORIDE</t>
        </is>
      </c>
      <c r="C182" t="inlineStr">
        <is>
          <t>Other formulations</t>
        </is>
      </c>
      <c r="D182" t="inlineStr">
        <is>
          <t>Medicaments for retail sale (formulations)</t>
        </is>
      </c>
      <c r="E182" s="3" t="n">
        <v>0</v>
      </c>
      <c r="F182" s="3" t="n">
        <v>0</v>
      </c>
      <c r="G182" s="4">
        <f>IF(E182=0,"",F182/E182-1)</f>
        <v/>
      </c>
    </row>
    <row r="183">
      <c r="A183" t="inlineStr">
        <is>
          <t>30045032</t>
        </is>
      </c>
      <c r="B183" t="inlineStr">
        <is>
          <t>PREPARATION OF VITAMIN B1AND B2ANDSALT THAEROF</t>
        </is>
      </c>
      <c r="C183" t="inlineStr">
        <is>
          <t>Vitamins &amp; nutrition</t>
        </is>
      </c>
      <c r="D183" t="inlineStr">
        <is>
          <t>Medicaments for retail sale (formulations)</t>
        </is>
      </c>
      <c r="E183" s="3" t="n">
        <v>0</v>
      </c>
      <c r="F183" s="3" t="n">
        <v>0</v>
      </c>
      <c r="G183" s="4">
        <f>IF(E183=0,"",F183/E183-1)</f>
        <v/>
      </c>
    </row>
    <row r="184">
      <c r="A184" t="inlineStr">
        <is>
          <t>30045037</t>
        </is>
      </c>
      <c r="B184" t="inlineStr">
        <is>
          <t>VITAMIN E IN CAPS.TABS,SYRUP ETC</t>
        </is>
      </c>
      <c r="C184" t="inlineStr">
        <is>
          <t>Vitamins &amp; nutrition</t>
        </is>
      </c>
      <c r="D184" t="inlineStr">
        <is>
          <t>Medicaments for retail sale (formulations)</t>
        </is>
      </c>
      <c r="E184" s="3" t="n">
        <v>0</v>
      </c>
      <c r="F184" s="3" t="n">
        <v>0</v>
      </c>
      <c r="G184" s="4">
        <f>IF(E184=0,"",F184/E184-1)</f>
        <v/>
      </c>
    </row>
    <row r="185">
      <c r="A185" t="inlineStr">
        <is>
          <t>30049015</t>
        </is>
      </c>
      <c r="B185" t="inlineStr">
        <is>
          <t>MEDICAMENTS OF BIO-CHEMIC SYSTEM</t>
        </is>
      </c>
      <c r="C185" t="inlineStr">
        <is>
          <t>AYUSH (Ayurveda, Unani)</t>
        </is>
      </c>
      <c r="D185" t="inlineStr">
        <is>
          <t>Medicaments for retail sale (formulations)</t>
        </is>
      </c>
      <c r="E185" s="3" t="n">
        <v>0</v>
      </c>
      <c r="F185" s="3" t="n">
        <v>0</v>
      </c>
      <c r="G185" s="4">
        <f>IF(E185=0,"",F185/E185-1)</f>
        <v/>
      </c>
    </row>
    <row r="186">
      <c r="A186" t="inlineStr">
        <is>
          <t>30049025</t>
        </is>
      </c>
      <c r="B186" t="inlineStr">
        <is>
          <t>DILUXAMIDE FUROATE</t>
        </is>
      </c>
      <c r="C186" t="inlineStr">
        <is>
          <t>Anti-infectives</t>
        </is>
      </c>
      <c r="D186" t="inlineStr">
        <is>
          <t>Medicaments for retail sale (formulations)</t>
        </is>
      </c>
      <c r="E186" s="3" t="n">
        <v>0</v>
      </c>
      <c r="F186" s="3" t="n">
        <v>0</v>
      </c>
      <c r="G186" s="4">
        <f>IF(E186=0,"",F186/E186-1)</f>
        <v/>
      </c>
    </row>
    <row r="187">
      <c r="A187" t="inlineStr">
        <is>
          <t>30049033</t>
        </is>
      </c>
      <c r="B187" t="inlineStr">
        <is>
          <t>CIMETIDINE, RANTIDINE, NIZATIDINE AND R ROXATIDINE</t>
        </is>
      </c>
      <c r="C187" t="inlineStr">
        <is>
          <t>Gastro &amp; anti-allergy</t>
        </is>
      </c>
      <c r="D187" t="inlineStr">
        <is>
          <t>Medicaments for retail sale (formulations)</t>
        </is>
      </c>
      <c r="E187" s="3" t="n">
        <v>0</v>
      </c>
      <c r="F187" s="3" t="n">
        <v>0</v>
      </c>
      <c r="G187" s="4">
        <f>IF(E187=0,"",F187/E187-1)</f>
        <v/>
      </c>
    </row>
    <row r="188">
      <c r="A188" t="inlineStr">
        <is>
          <t>30049055</t>
        </is>
      </c>
      <c r="B188" t="inlineStr">
        <is>
          <t>DAPSONE (DDS), ACEDAPSONE (DADDS), SOLOPSONE AND CLOFAZIMINE</t>
        </is>
      </c>
      <c r="C188" t="inlineStr">
        <is>
          <t>Anti-infectives</t>
        </is>
      </c>
      <c r="D188" t="inlineStr">
        <is>
          <t>Medicaments for retail sale (formulations)</t>
        </is>
      </c>
      <c r="E188" s="3" t="n">
        <v>0</v>
      </c>
      <c r="F188" s="3" t="n">
        <v>0</v>
      </c>
      <c r="G188" s="4">
        <f>IF(E188=0,"",F188/E188-1)</f>
        <v/>
      </c>
    </row>
    <row r="189">
      <c r="A189" t="inlineStr">
        <is>
          <t>30049056</t>
        </is>
      </c>
      <c r="B189" t="inlineStr">
        <is>
          <t>CHLOROQUINE, AMODIAQUINE, MEFLOQUINE, QUININE, CHLOROGUAMIDE, PYRIMETHAMINE</t>
        </is>
      </c>
      <c r="C189" t="inlineStr">
        <is>
          <t>Anti-infectives</t>
        </is>
      </c>
      <c r="D189" t="inlineStr">
        <is>
          <t>Medicaments for retail sale (formulations)</t>
        </is>
      </c>
      <c r="E189" s="3" t="n">
        <v>0</v>
      </c>
      <c r="F189" s="3" t="n">
        <v>0</v>
      </c>
      <c r="G189" s="4">
        <f>IF(E189=0,"",F189/E189-1)</f>
        <v/>
      </c>
    </row>
    <row r="190">
      <c r="A190" t="inlineStr">
        <is>
          <t>30049067</t>
        </is>
      </c>
      <c r="B190" t="inlineStr">
        <is>
          <t>KETOROLAC, NIMESULIDE, NABUMETONE AND NEFOPAM</t>
        </is>
      </c>
      <c r="C190" t="inlineStr">
        <is>
          <t>Pain &amp; inflammation</t>
        </is>
      </c>
      <c r="D190" t="inlineStr">
        <is>
          <t>Medicaments for retail sale (formulations)</t>
        </is>
      </c>
      <c r="E190" s="3" t="n">
        <v>0</v>
      </c>
      <c r="F190" s="3" t="n">
        <v>0</v>
      </c>
      <c r="G190" s="4">
        <f>IF(E190=0,"",F190/E190-1)</f>
        <v/>
      </c>
    </row>
    <row r="191">
      <c r="A191" t="inlineStr">
        <is>
          <t>30049076</t>
        </is>
      </c>
      <c r="B191" t="inlineStr">
        <is>
          <t>CLONIDINE, METHYLDOPA</t>
        </is>
      </c>
      <c r="C191" t="inlineStr">
        <is>
          <t>Cardiovascular</t>
        </is>
      </c>
      <c r="D191" t="inlineStr">
        <is>
          <t>Medicaments for retail sale (formulations)</t>
        </is>
      </c>
      <c r="E191" s="3" t="n">
        <v>0</v>
      </c>
      <c r="F191" s="3" t="n">
        <v>0</v>
      </c>
      <c r="G191" s="4">
        <f>IF(E191=0,"",F191/E191-1)</f>
        <v/>
      </c>
    </row>
    <row r="192">
      <c r="A192" t="inlineStr">
        <is>
          <t>30049083</t>
        </is>
      </c>
      <c r="B192" t="inlineStr">
        <is>
          <t>SULPHA DRUGS NOT ELSEWHERE SPECIFIED</t>
        </is>
      </c>
      <c r="C192" t="inlineStr">
        <is>
          <t>Other formulations</t>
        </is>
      </c>
      <c r="D192" t="inlineStr">
        <is>
          <t>Medicaments for retail sale (formulations)</t>
        </is>
      </c>
      <c r="E192" s="3" t="n">
        <v>0.12</v>
      </c>
      <c r="F192" s="3" t="n">
        <v>0</v>
      </c>
      <c r="G192" s="4">
        <f>IF(E192=0,"",F192/E192-1)</f>
        <v/>
      </c>
    </row>
    <row r="193">
      <c r="A193" t="inlineStr">
        <is>
          <t>30049096</t>
        </is>
      </c>
      <c r="B193" t="inlineStr">
        <is>
          <t>KETAMINE</t>
        </is>
      </c>
      <c r="C193" t="inlineStr">
        <is>
          <t>Other formulations</t>
        </is>
      </c>
      <c r="D193" t="inlineStr">
        <is>
          <t>Medicaments for retail sale (formulations)</t>
        </is>
      </c>
      <c r="E193" s="3" t="n">
        <v>0.03</v>
      </c>
      <c r="F193" s="3" t="n">
        <v>0</v>
      </c>
      <c r="G193" s="4">
        <f>IF(E193=0,"",F193/E193-1)</f>
        <v/>
      </c>
    </row>
    <row r="194">
      <c r="A194" t="inlineStr">
        <is>
          <t>30051010</t>
        </is>
      </c>
      <c r="B194" t="inlineStr">
        <is>
          <t>ADHESIVE GAUZE BANDAGE</t>
        </is>
      </c>
      <c r="C194" t="inlineStr">
        <is>
          <t>Dressings, kits &amp; other</t>
        </is>
      </c>
      <c r="D194" t="inlineStr">
        <is>
          <t>Dressings &amp; bandages</t>
        </is>
      </c>
      <c r="E194" s="3" t="n">
        <v>0</v>
      </c>
      <c r="F194" s="3" t="n">
        <v>0</v>
      </c>
      <c r="G194" s="4">
        <f>IF(E194=0,"",F194/E194-1)</f>
        <v/>
      </c>
    </row>
    <row r="195">
      <c r="A195" t="inlineStr">
        <is>
          <t>30059020</t>
        </is>
      </c>
      <c r="B195" t="inlineStr">
        <is>
          <t>POULTICE OF KAOLIN</t>
        </is>
      </c>
      <c r="C195" t="inlineStr">
        <is>
          <t>Dressings, kits &amp; other</t>
        </is>
      </c>
      <c r="D195" t="inlineStr">
        <is>
          <t>Dressings &amp; bandages</t>
        </is>
      </c>
      <c r="E195" s="3" t="n">
        <v>0</v>
      </c>
      <c r="F195" s="3" t="n">
        <v>0</v>
      </c>
      <c r="G195" s="4">
        <f>IF(E195=0,"",F195/E195-1)</f>
        <v/>
      </c>
    </row>
    <row r="196">
      <c r="A196" t="inlineStr">
        <is>
          <t>30059070</t>
        </is>
      </c>
      <c r="B196" t="inlineStr">
        <is>
          <t>CORN REMOVERS AND CALLOUS REMOVERS</t>
        </is>
      </c>
      <c r="C196" t="inlineStr">
        <is>
          <t>Dressings, kits &amp; other</t>
        </is>
      </c>
      <c r="D196" t="inlineStr">
        <is>
          <t>Dressings &amp; bandages</t>
        </is>
      </c>
      <c r="E196" s="3" t="n">
        <v>0</v>
      </c>
      <c r="F196" s="3" t="n">
        <v>0</v>
      </c>
      <c r="G196" s="4">
        <f>IF(E196=0,"",F196/E196-1)</f>
        <v/>
      </c>
    </row>
    <row r="197">
      <c r="A197" t="inlineStr">
        <is>
          <t>30065000</t>
        </is>
      </c>
      <c r="B197" t="inlineStr">
        <is>
          <t>FIRST-AID BOXES AND KITS</t>
        </is>
      </c>
      <c r="C197" t="inlineStr">
        <is>
          <t>Dressings, kits &amp; other</t>
        </is>
      </c>
      <c r="D197" t="inlineStr">
        <is>
          <t>Other pharma goods (kits, sutures, etc.)</t>
        </is>
      </c>
      <c r="E197" s="3" t="n">
        <v>0</v>
      </c>
      <c r="F197" s="3" t="n">
        <v>0</v>
      </c>
      <c r="G197" s="4">
        <f>IF(E197=0,"",F197/E197-1)</f>
        <v/>
      </c>
    </row>
  </sheetData>
  <conditionalFormatting sqref="F6:F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6:D20">
    <cfRule type="dataBar" priority="3">
      <dataBar>
        <cfvo type="num" val="0"/>
        <cfvo type="max"/>
        <color rgb="001BAF7A"/>
      </dataBar>
    </cfRule>
  </conditionalFormatting>
  <conditionalFormatting sqref="G25:G197">
    <cfRule type="cellIs" priority="4" operator="greaterThan" dxfId="0">
      <formula>0</formula>
    </cfRule>
    <cfRule type="cellIs" priority="5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2026-10-27T08:36:47Z</dcterms:created>
  <dcterms:modified xmlns:dcterms="http://purl.org/dc/terms/" xmlns:xsi="http://www.w3.org/2001/XMLSchema-instance" xsi:type="dcterms:W3CDTF">2026-10-27T08:36:51Z</dcterms:modified>
</cp:coreProperties>
</file>